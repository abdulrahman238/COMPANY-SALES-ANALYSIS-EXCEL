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 Analyst projects Projects\"/>
    </mc:Choice>
  </mc:AlternateContent>
  <xr:revisionPtr revIDLastSave="0" documentId="13_ncr:1_{28CF2C7C-4718-4C75-AD61-9268025CB22D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Customers" sheetId="1" r:id="rId1"/>
    <sheet name="Products" sheetId="2" r:id="rId2"/>
    <sheet name="Orders" sheetId="3" r:id="rId3"/>
    <sheet name="Pivot table " sheetId="4" r:id="rId4"/>
    <sheet name="TOP 10" sheetId="11" r:id="rId5"/>
    <sheet name="REVENUE BY CATEGORY" sheetId="10" r:id="rId6"/>
    <sheet name="REVENUE BY COUNTRY" sheetId="9" r:id="rId7"/>
    <sheet name="column percentage" sheetId="6" r:id="rId8"/>
    <sheet name="Dashboard" sheetId="5" r:id="rId9"/>
  </sheets>
  <definedNames>
    <definedName name="_xlnm._FilterDatabase" localSheetId="2" hidden="1">Orders!$A$1:$J$3001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J2" i="3"/>
  <c r="G3" i="3"/>
  <c r="G2" i="3"/>
  <c r="J261" i="3"/>
  <c r="J354" i="3"/>
  <c r="J418" i="3"/>
  <c r="J450" i="3"/>
  <c r="J706" i="3"/>
  <c r="J950" i="3"/>
  <c r="J1078" i="3"/>
  <c r="J1309" i="3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 s="1"/>
  <c r="I416" i="3"/>
  <c r="J416" i="3" s="1"/>
  <c r="I417" i="3"/>
  <c r="J417" i="3" s="1"/>
  <c r="I418" i="3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J447" i="3" s="1"/>
  <c r="I448" i="3"/>
  <c r="J448" i="3" s="1"/>
  <c r="I449" i="3"/>
  <c r="J449" i="3" s="1"/>
  <c r="I450" i="3"/>
  <c r="I451" i="3"/>
  <c r="J451" i="3" s="1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 s="1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J727" i="3" s="1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 s="1"/>
  <c r="I754" i="3"/>
  <c r="J754" i="3" s="1"/>
  <c r="I755" i="3"/>
  <c r="J755" i="3" s="1"/>
  <c r="I756" i="3"/>
  <c r="J756" i="3" s="1"/>
  <c r="I757" i="3"/>
  <c r="J757" i="3" s="1"/>
  <c r="I758" i="3"/>
  <c r="J758" i="3" s="1"/>
  <c r="I759" i="3"/>
  <c r="J759" i="3" s="1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I775" i="3"/>
  <c r="J775" i="3" s="1"/>
  <c r="I776" i="3"/>
  <c r="J776" i="3" s="1"/>
  <c r="I777" i="3"/>
  <c r="J777" i="3" s="1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 s="1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 s="1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19" i="3"/>
  <c r="J819" i="3" s="1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J831" i="3" s="1"/>
  <c r="I832" i="3"/>
  <c r="J832" i="3" s="1"/>
  <c r="I833" i="3"/>
  <c r="J833" i="3" s="1"/>
  <c r="I834" i="3"/>
  <c r="J834" i="3" s="1"/>
  <c r="I835" i="3"/>
  <c r="J835" i="3" s="1"/>
  <c r="I836" i="3"/>
  <c r="J836" i="3" s="1"/>
  <c r="I837" i="3"/>
  <c r="J837" i="3" s="1"/>
  <c r="I838" i="3"/>
  <c r="J838" i="3" s="1"/>
  <c r="I839" i="3"/>
  <c r="J839" i="3" s="1"/>
  <c r="I840" i="3"/>
  <c r="J840" i="3" s="1"/>
  <c r="I841" i="3"/>
  <c r="J841" i="3" s="1"/>
  <c r="I842" i="3"/>
  <c r="J842" i="3" s="1"/>
  <c r="I843" i="3"/>
  <c r="J843" i="3" s="1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J863" i="3" s="1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J870" i="3" s="1"/>
  <c r="I871" i="3"/>
  <c r="J871" i="3" s="1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 s="1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 s="1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 s="1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 s="1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 s="1"/>
  <c r="I914" i="3"/>
  <c r="J914" i="3" s="1"/>
  <c r="I915" i="3"/>
  <c r="J915" i="3" s="1"/>
  <c r="I916" i="3"/>
  <c r="J916" i="3" s="1"/>
  <c r="I917" i="3"/>
  <c r="J917" i="3" s="1"/>
  <c r="I918" i="3"/>
  <c r="J918" i="3" s="1"/>
  <c r="I919" i="3"/>
  <c r="J919" i="3" s="1"/>
  <c r="I920" i="3"/>
  <c r="J920" i="3" s="1"/>
  <c r="I921" i="3"/>
  <c r="J921" i="3" s="1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 s="1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 s="1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 s="1"/>
  <c r="I946" i="3"/>
  <c r="J946" i="3" s="1"/>
  <c r="I947" i="3"/>
  <c r="J947" i="3" s="1"/>
  <c r="I948" i="3"/>
  <c r="J948" i="3" s="1"/>
  <c r="I949" i="3"/>
  <c r="J949" i="3" s="1"/>
  <c r="I950" i="3"/>
  <c r="I951" i="3"/>
  <c r="J951" i="3" s="1"/>
  <c r="I952" i="3"/>
  <c r="J952" i="3" s="1"/>
  <c r="I953" i="3"/>
  <c r="J953" i="3" s="1"/>
  <c r="I954" i="3"/>
  <c r="J954" i="3" s="1"/>
  <c r="I955" i="3"/>
  <c r="J955" i="3" s="1"/>
  <c r="I956" i="3"/>
  <c r="J956" i="3" s="1"/>
  <c r="I957" i="3"/>
  <c r="J957" i="3" s="1"/>
  <c r="I958" i="3"/>
  <c r="J958" i="3" s="1"/>
  <c r="I959" i="3"/>
  <c r="J959" i="3" s="1"/>
  <c r="I960" i="3"/>
  <c r="J960" i="3" s="1"/>
  <c r="I961" i="3"/>
  <c r="J961" i="3" s="1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 s="1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 s="1"/>
  <c r="I979" i="3"/>
  <c r="J979" i="3" s="1"/>
  <c r="I980" i="3"/>
  <c r="J980" i="3" s="1"/>
  <c r="I981" i="3"/>
  <c r="J981" i="3" s="1"/>
  <c r="I982" i="3"/>
  <c r="J982" i="3" s="1"/>
  <c r="I983" i="3"/>
  <c r="J983" i="3" s="1"/>
  <c r="I984" i="3"/>
  <c r="J984" i="3" s="1"/>
  <c r="I985" i="3"/>
  <c r="J985" i="3" s="1"/>
  <c r="I986" i="3"/>
  <c r="J986" i="3" s="1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 s="1"/>
  <c r="I995" i="3"/>
  <c r="J995" i="3" s="1"/>
  <c r="I996" i="3"/>
  <c r="J996" i="3" s="1"/>
  <c r="I997" i="3"/>
  <c r="J997" i="3" s="1"/>
  <c r="I998" i="3"/>
  <c r="J998" i="3" s="1"/>
  <c r="I999" i="3"/>
  <c r="J999" i="3" s="1"/>
  <c r="I1000" i="3"/>
  <c r="J1000" i="3" s="1"/>
  <c r="I1001" i="3"/>
  <c r="J1001" i="3" s="1"/>
  <c r="I1002" i="3"/>
  <c r="J1002" i="3" s="1"/>
  <c r="I1003" i="3"/>
  <c r="J1003" i="3" s="1"/>
  <c r="I1004" i="3"/>
  <c r="J1004" i="3" s="1"/>
  <c r="I1005" i="3"/>
  <c r="J1005" i="3" s="1"/>
  <c r="I1006" i="3"/>
  <c r="J1006" i="3" s="1"/>
  <c r="I1007" i="3"/>
  <c r="J1007" i="3" s="1"/>
  <c r="I1008" i="3"/>
  <c r="J1008" i="3" s="1"/>
  <c r="I1009" i="3"/>
  <c r="J1009" i="3" s="1"/>
  <c r="I1010" i="3"/>
  <c r="J1010" i="3" s="1"/>
  <c r="I1011" i="3"/>
  <c r="J1011" i="3" s="1"/>
  <c r="I1012" i="3"/>
  <c r="J1012" i="3" s="1"/>
  <c r="I1013" i="3"/>
  <c r="J1013" i="3" s="1"/>
  <c r="I1014" i="3"/>
  <c r="J1014" i="3" s="1"/>
  <c r="I1015" i="3"/>
  <c r="J1015" i="3" s="1"/>
  <c r="I1016" i="3"/>
  <c r="J1016" i="3" s="1"/>
  <c r="I1017" i="3"/>
  <c r="J1017" i="3" s="1"/>
  <c r="I1018" i="3"/>
  <c r="J1018" i="3" s="1"/>
  <c r="I1019" i="3"/>
  <c r="J1019" i="3" s="1"/>
  <c r="I1020" i="3"/>
  <c r="J1020" i="3" s="1"/>
  <c r="I1021" i="3"/>
  <c r="J1021" i="3" s="1"/>
  <c r="I1022" i="3"/>
  <c r="J1022" i="3" s="1"/>
  <c r="I1023" i="3"/>
  <c r="J1023" i="3" s="1"/>
  <c r="I1024" i="3"/>
  <c r="J1024" i="3" s="1"/>
  <c r="I1025" i="3"/>
  <c r="J1025" i="3" s="1"/>
  <c r="I1026" i="3"/>
  <c r="J1026" i="3" s="1"/>
  <c r="I1027" i="3"/>
  <c r="J1027" i="3" s="1"/>
  <c r="I1028" i="3"/>
  <c r="J1028" i="3" s="1"/>
  <c r="I1029" i="3"/>
  <c r="J1029" i="3" s="1"/>
  <c r="I1030" i="3"/>
  <c r="J1030" i="3" s="1"/>
  <c r="I1031" i="3"/>
  <c r="J1031" i="3" s="1"/>
  <c r="I1032" i="3"/>
  <c r="J1032" i="3" s="1"/>
  <c r="I1033" i="3"/>
  <c r="J1033" i="3" s="1"/>
  <c r="I1034" i="3"/>
  <c r="J1034" i="3" s="1"/>
  <c r="I1035" i="3"/>
  <c r="J1035" i="3" s="1"/>
  <c r="I1036" i="3"/>
  <c r="J1036" i="3" s="1"/>
  <c r="I1037" i="3"/>
  <c r="J1037" i="3" s="1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 s="1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 s="1"/>
  <c r="I1052" i="3"/>
  <c r="J1052" i="3" s="1"/>
  <c r="I1053" i="3"/>
  <c r="J1053" i="3" s="1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 s="1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I1066" i="3"/>
  <c r="J1066" i="3" s="1"/>
  <c r="I1067" i="3"/>
  <c r="J1067" i="3" s="1"/>
  <c r="I1068" i="3"/>
  <c r="J1068" i="3" s="1"/>
  <c r="I1069" i="3"/>
  <c r="J1069" i="3" s="1"/>
  <c r="I1070" i="3"/>
  <c r="J1070" i="3" s="1"/>
  <c r="I1071" i="3"/>
  <c r="J1071" i="3" s="1"/>
  <c r="I1072" i="3"/>
  <c r="J1072" i="3" s="1"/>
  <c r="I1073" i="3"/>
  <c r="J1073" i="3" s="1"/>
  <c r="I1074" i="3"/>
  <c r="J1074" i="3" s="1"/>
  <c r="I1075" i="3"/>
  <c r="J1075" i="3" s="1"/>
  <c r="I1076" i="3"/>
  <c r="J1076" i="3" s="1"/>
  <c r="I1077" i="3"/>
  <c r="J1077" i="3" s="1"/>
  <c r="I1078" i="3"/>
  <c r="I1079" i="3"/>
  <c r="J1079" i="3" s="1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 s="1"/>
  <c r="I1090" i="3"/>
  <c r="J1090" i="3" s="1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 s="1"/>
  <c r="I1099" i="3"/>
  <c r="J1099" i="3" s="1"/>
  <c r="I1100" i="3"/>
  <c r="J1100" i="3" s="1"/>
  <c r="I1101" i="3"/>
  <c r="J1101" i="3" s="1"/>
  <c r="I1102" i="3"/>
  <c r="J1102" i="3" s="1"/>
  <c r="I1103" i="3"/>
  <c r="J1103" i="3" s="1"/>
  <c r="I1104" i="3"/>
  <c r="J1104" i="3" s="1"/>
  <c r="I1105" i="3"/>
  <c r="J1105" i="3" s="1"/>
  <c r="I1106" i="3"/>
  <c r="J1106" i="3" s="1"/>
  <c r="I1107" i="3"/>
  <c r="J1107" i="3" s="1"/>
  <c r="I1108" i="3"/>
  <c r="J1108" i="3" s="1"/>
  <c r="I1109" i="3"/>
  <c r="J1109" i="3" s="1"/>
  <c r="I1110" i="3"/>
  <c r="J1110" i="3" s="1"/>
  <c r="I1111" i="3"/>
  <c r="J1111" i="3" s="1"/>
  <c r="I1112" i="3"/>
  <c r="J1112" i="3" s="1"/>
  <c r="I1113" i="3"/>
  <c r="J1113" i="3" s="1"/>
  <c r="I1114" i="3"/>
  <c r="J1114" i="3" s="1"/>
  <c r="I1115" i="3"/>
  <c r="J1115" i="3" s="1"/>
  <c r="I1116" i="3"/>
  <c r="J1116" i="3" s="1"/>
  <c r="I1117" i="3"/>
  <c r="J1117" i="3" s="1"/>
  <c r="I1118" i="3"/>
  <c r="J1118" i="3" s="1"/>
  <c r="I1119" i="3"/>
  <c r="J1119" i="3" s="1"/>
  <c r="I1120" i="3"/>
  <c r="J1120" i="3" s="1"/>
  <c r="I1121" i="3"/>
  <c r="J1121" i="3" s="1"/>
  <c r="I1122" i="3"/>
  <c r="J1122" i="3" s="1"/>
  <c r="I1123" i="3"/>
  <c r="J1123" i="3" s="1"/>
  <c r="I1124" i="3"/>
  <c r="J1124" i="3" s="1"/>
  <c r="I1125" i="3"/>
  <c r="J1125" i="3" s="1"/>
  <c r="I1126" i="3"/>
  <c r="J1126" i="3" s="1"/>
  <c r="I1127" i="3"/>
  <c r="J1127" i="3" s="1"/>
  <c r="I1128" i="3"/>
  <c r="J1128" i="3" s="1"/>
  <c r="I1129" i="3"/>
  <c r="J1129" i="3" s="1"/>
  <c r="I1130" i="3"/>
  <c r="J1130" i="3" s="1"/>
  <c r="I1131" i="3"/>
  <c r="J1131" i="3" s="1"/>
  <c r="I1132" i="3"/>
  <c r="J1132" i="3" s="1"/>
  <c r="I1133" i="3"/>
  <c r="J1133" i="3" s="1"/>
  <c r="I1134" i="3"/>
  <c r="J1134" i="3" s="1"/>
  <c r="I1135" i="3"/>
  <c r="J1135" i="3" s="1"/>
  <c r="I1136" i="3"/>
  <c r="J1136" i="3" s="1"/>
  <c r="I1137" i="3"/>
  <c r="J1137" i="3" s="1"/>
  <c r="I1138" i="3"/>
  <c r="J1138" i="3" s="1"/>
  <c r="I1139" i="3"/>
  <c r="J1139" i="3" s="1"/>
  <c r="I1140" i="3"/>
  <c r="J1140" i="3" s="1"/>
  <c r="I1141" i="3"/>
  <c r="J1141" i="3" s="1"/>
  <c r="I1142" i="3"/>
  <c r="J1142" i="3" s="1"/>
  <c r="I1143" i="3"/>
  <c r="J1143" i="3" s="1"/>
  <c r="I1144" i="3"/>
  <c r="J1144" i="3" s="1"/>
  <c r="I1145" i="3"/>
  <c r="J1145" i="3" s="1"/>
  <c r="I1146" i="3"/>
  <c r="J1146" i="3" s="1"/>
  <c r="I1147" i="3"/>
  <c r="J1147" i="3" s="1"/>
  <c r="I1148" i="3"/>
  <c r="J1148" i="3" s="1"/>
  <c r="I1149" i="3"/>
  <c r="J1149" i="3" s="1"/>
  <c r="I1150" i="3"/>
  <c r="J1150" i="3" s="1"/>
  <c r="I1151" i="3"/>
  <c r="J1151" i="3" s="1"/>
  <c r="I1152" i="3"/>
  <c r="J1152" i="3" s="1"/>
  <c r="I1153" i="3"/>
  <c r="J1153" i="3" s="1"/>
  <c r="I1154" i="3"/>
  <c r="J1154" i="3" s="1"/>
  <c r="I1155" i="3"/>
  <c r="J1155" i="3" s="1"/>
  <c r="I1156" i="3"/>
  <c r="J1156" i="3" s="1"/>
  <c r="I1157" i="3"/>
  <c r="J1157" i="3" s="1"/>
  <c r="I1158" i="3"/>
  <c r="J1158" i="3" s="1"/>
  <c r="I1159" i="3"/>
  <c r="J1159" i="3" s="1"/>
  <c r="I1160" i="3"/>
  <c r="J1160" i="3" s="1"/>
  <c r="I1161" i="3"/>
  <c r="J1161" i="3" s="1"/>
  <c r="I1162" i="3"/>
  <c r="J1162" i="3" s="1"/>
  <c r="I1163" i="3"/>
  <c r="J1163" i="3" s="1"/>
  <c r="I1164" i="3"/>
  <c r="J1164" i="3" s="1"/>
  <c r="I1165" i="3"/>
  <c r="J1165" i="3" s="1"/>
  <c r="I1166" i="3"/>
  <c r="J1166" i="3" s="1"/>
  <c r="I1167" i="3"/>
  <c r="J1167" i="3" s="1"/>
  <c r="I1168" i="3"/>
  <c r="J1168" i="3" s="1"/>
  <c r="I1169" i="3"/>
  <c r="J1169" i="3" s="1"/>
  <c r="I1170" i="3"/>
  <c r="J1170" i="3" s="1"/>
  <c r="I1171" i="3"/>
  <c r="J1171" i="3" s="1"/>
  <c r="I1172" i="3"/>
  <c r="J1172" i="3" s="1"/>
  <c r="I1173" i="3"/>
  <c r="J1173" i="3" s="1"/>
  <c r="I1174" i="3"/>
  <c r="J1174" i="3" s="1"/>
  <c r="I1175" i="3"/>
  <c r="J1175" i="3" s="1"/>
  <c r="I1176" i="3"/>
  <c r="J1176" i="3" s="1"/>
  <c r="I1177" i="3"/>
  <c r="J1177" i="3" s="1"/>
  <c r="I1178" i="3"/>
  <c r="J1178" i="3" s="1"/>
  <c r="I1179" i="3"/>
  <c r="J1179" i="3" s="1"/>
  <c r="I1180" i="3"/>
  <c r="J1180" i="3" s="1"/>
  <c r="I1181" i="3"/>
  <c r="J1181" i="3" s="1"/>
  <c r="I1182" i="3"/>
  <c r="J1182" i="3" s="1"/>
  <c r="I1183" i="3"/>
  <c r="J1183" i="3" s="1"/>
  <c r="I1184" i="3"/>
  <c r="J1184" i="3" s="1"/>
  <c r="I1185" i="3"/>
  <c r="J1185" i="3" s="1"/>
  <c r="I1186" i="3"/>
  <c r="J1186" i="3" s="1"/>
  <c r="I1187" i="3"/>
  <c r="J1187" i="3" s="1"/>
  <c r="I1188" i="3"/>
  <c r="J1188" i="3" s="1"/>
  <c r="I1189" i="3"/>
  <c r="J1189" i="3" s="1"/>
  <c r="I1190" i="3"/>
  <c r="J1190" i="3" s="1"/>
  <c r="I1191" i="3"/>
  <c r="J1191" i="3" s="1"/>
  <c r="I1192" i="3"/>
  <c r="J1192" i="3" s="1"/>
  <c r="I1193" i="3"/>
  <c r="J1193" i="3" s="1"/>
  <c r="I1194" i="3"/>
  <c r="J1194" i="3" s="1"/>
  <c r="I1195" i="3"/>
  <c r="J1195" i="3" s="1"/>
  <c r="I1196" i="3"/>
  <c r="J1196" i="3" s="1"/>
  <c r="I1197" i="3"/>
  <c r="J1197" i="3" s="1"/>
  <c r="I1198" i="3"/>
  <c r="J1198" i="3" s="1"/>
  <c r="I1199" i="3"/>
  <c r="J1199" i="3" s="1"/>
  <c r="I1200" i="3"/>
  <c r="J1200" i="3" s="1"/>
  <c r="I1201" i="3"/>
  <c r="J1201" i="3" s="1"/>
  <c r="I1202" i="3"/>
  <c r="J1202" i="3" s="1"/>
  <c r="I1203" i="3"/>
  <c r="J1203" i="3" s="1"/>
  <c r="I1204" i="3"/>
  <c r="J1204" i="3" s="1"/>
  <c r="I1205" i="3"/>
  <c r="J1205" i="3" s="1"/>
  <c r="I1206" i="3"/>
  <c r="J1206" i="3" s="1"/>
  <c r="I1207" i="3"/>
  <c r="J1207" i="3" s="1"/>
  <c r="I1208" i="3"/>
  <c r="J1208" i="3" s="1"/>
  <c r="I1209" i="3"/>
  <c r="J1209" i="3" s="1"/>
  <c r="I1210" i="3"/>
  <c r="J1210" i="3" s="1"/>
  <c r="I1211" i="3"/>
  <c r="J1211" i="3" s="1"/>
  <c r="I1212" i="3"/>
  <c r="J1212" i="3" s="1"/>
  <c r="I1213" i="3"/>
  <c r="J1213" i="3" s="1"/>
  <c r="I1214" i="3"/>
  <c r="J1214" i="3" s="1"/>
  <c r="I1215" i="3"/>
  <c r="J1215" i="3" s="1"/>
  <c r="I1216" i="3"/>
  <c r="J1216" i="3" s="1"/>
  <c r="I1217" i="3"/>
  <c r="J1217" i="3" s="1"/>
  <c r="I1218" i="3"/>
  <c r="J1218" i="3" s="1"/>
  <c r="I1219" i="3"/>
  <c r="J1219" i="3" s="1"/>
  <c r="I1220" i="3"/>
  <c r="J1220" i="3" s="1"/>
  <c r="I1221" i="3"/>
  <c r="J1221" i="3" s="1"/>
  <c r="I1222" i="3"/>
  <c r="J1222" i="3" s="1"/>
  <c r="I1223" i="3"/>
  <c r="J1223" i="3" s="1"/>
  <c r="I1224" i="3"/>
  <c r="J1224" i="3" s="1"/>
  <c r="I1225" i="3"/>
  <c r="J1225" i="3" s="1"/>
  <c r="I1226" i="3"/>
  <c r="J1226" i="3" s="1"/>
  <c r="I1227" i="3"/>
  <c r="J1227" i="3" s="1"/>
  <c r="I1228" i="3"/>
  <c r="J1228" i="3" s="1"/>
  <c r="I1229" i="3"/>
  <c r="J1229" i="3" s="1"/>
  <c r="I1230" i="3"/>
  <c r="J1230" i="3" s="1"/>
  <c r="I1231" i="3"/>
  <c r="J1231" i="3" s="1"/>
  <c r="I1232" i="3"/>
  <c r="J1232" i="3" s="1"/>
  <c r="I1233" i="3"/>
  <c r="J1233" i="3" s="1"/>
  <c r="I1234" i="3"/>
  <c r="J1234" i="3" s="1"/>
  <c r="I1235" i="3"/>
  <c r="J1235" i="3" s="1"/>
  <c r="I1236" i="3"/>
  <c r="J1236" i="3" s="1"/>
  <c r="I1237" i="3"/>
  <c r="J1237" i="3" s="1"/>
  <c r="I1238" i="3"/>
  <c r="J1238" i="3" s="1"/>
  <c r="I1239" i="3"/>
  <c r="J1239" i="3" s="1"/>
  <c r="I1240" i="3"/>
  <c r="J1240" i="3" s="1"/>
  <c r="I1241" i="3"/>
  <c r="J1241" i="3" s="1"/>
  <c r="I1242" i="3"/>
  <c r="J1242" i="3" s="1"/>
  <c r="I1243" i="3"/>
  <c r="J1243" i="3" s="1"/>
  <c r="I1244" i="3"/>
  <c r="J1244" i="3" s="1"/>
  <c r="I1245" i="3"/>
  <c r="J1245" i="3" s="1"/>
  <c r="I1246" i="3"/>
  <c r="J1246" i="3" s="1"/>
  <c r="I1247" i="3"/>
  <c r="J1247" i="3" s="1"/>
  <c r="I1248" i="3"/>
  <c r="J1248" i="3" s="1"/>
  <c r="I1249" i="3"/>
  <c r="J1249" i="3" s="1"/>
  <c r="I1250" i="3"/>
  <c r="J1250" i="3" s="1"/>
  <c r="I1251" i="3"/>
  <c r="J1251" i="3" s="1"/>
  <c r="I1252" i="3"/>
  <c r="J1252" i="3" s="1"/>
  <c r="I1253" i="3"/>
  <c r="J1253" i="3" s="1"/>
  <c r="I1254" i="3"/>
  <c r="J1254" i="3" s="1"/>
  <c r="I1255" i="3"/>
  <c r="J1255" i="3" s="1"/>
  <c r="I1256" i="3"/>
  <c r="J1256" i="3" s="1"/>
  <c r="I1257" i="3"/>
  <c r="J1257" i="3" s="1"/>
  <c r="I1258" i="3"/>
  <c r="J1258" i="3" s="1"/>
  <c r="I1259" i="3"/>
  <c r="J1259" i="3" s="1"/>
  <c r="I1260" i="3"/>
  <c r="J1260" i="3" s="1"/>
  <c r="I1261" i="3"/>
  <c r="J1261" i="3" s="1"/>
  <c r="I1262" i="3"/>
  <c r="J1262" i="3" s="1"/>
  <c r="I1263" i="3"/>
  <c r="J1263" i="3" s="1"/>
  <c r="I1264" i="3"/>
  <c r="J1264" i="3" s="1"/>
  <c r="I1265" i="3"/>
  <c r="J1265" i="3" s="1"/>
  <c r="I1266" i="3"/>
  <c r="J1266" i="3" s="1"/>
  <c r="I1267" i="3"/>
  <c r="J1267" i="3" s="1"/>
  <c r="I1268" i="3"/>
  <c r="J1268" i="3" s="1"/>
  <c r="I1269" i="3"/>
  <c r="J1269" i="3" s="1"/>
  <c r="I1270" i="3"/>
  <c r="J1270" i="3" s="1"/>
  <c r="I1271" i="3"/>
  <c r="J1271" i="3" s="1"/>
  <c r="I1272" i="3"/>
  <c r="J1272" i="3" s="1"/>
  <c r="I1273" i="3"/>
  <c r="J1273" i="3" s="1"/>
  <c r="I1274" i="3"/>
  <c r="J1274" i="3" s="1"/>
  <c r="I1275" i="3"/>
  <c r="J1275" i="3" s="1"/>
  <c r="I1276" i="3"/>
  <c r="J1276" i="3" s="1"/>
  <c r="I1277" i="3"/>
  <c r="J1277" i="3" s="1"/>
  <c r="I1278" i="3"/>
  <c r="J1278" i="3" s="1"/>
  <c r="I1279" i="3"/>
  <c r="J1279" i="3" s="1"/>
  <c r="I1280" i="3"/>
  <c r="J1280" i="3" s="1"/>
  <c r="I1281" i="3"/>
  <c r="J1281" i="3" s="1"/>
  <c r="I1282" i="3"/>
  <c r="J1282" i="3" s="1"/>
  <c r="I1283" i="3"/>
  <c r="J1283" i="3" s="1"/>
  <c r="I1284" i="3"/>
  <c r="J1284" i="3" s="1"/>
  <c r="I1285" i="3"/>
  <c r="J1285" i="3" s="1"/>
  <c r="I1286" i="3"/>
  <c r="J1286" i="3" s="1"/>
  <c r="I1287" i="3"/>
  <c r="J1287" i="3" s="1"/>
  <c r="I1288" i="3"/>
  <c r="J1288" i="3" s="1"/>
  <c r="I1289" i="3"/>
  <c r="J1289" i="3" s="1"/>
  <c r="I1290" i="3"/>
  <c r="J1290" i="3" s="1"/>
  <c r="I1291" i="3"/>
  <c r="J1291" i="3" s="1"/>
  <c r="I1292" i="3"/>
  <c r="J1292" i="3" s="1"/>
  <c r="I1293" i="3"/>
  <c r="J1293" i="3" s="1"/>
  <c r="I1294" i="3"/>
  <c r="J1294" i="3" s="1"/>
  <c r="I1295" i="3"/>
  <c r="J1295" i="3" s="1"/>
  <c r="I1296" i="3"/>
  <c r="J1296" i="3" s="1"/>
  <c r="I1297" i="3"/>
  <c r="J1297" i="3" s="1"/>
  <c r="I1298" i="3"/>
  <c r="J1298" i="3" s="1"/>
  <c r="I1299" i="3"/>
  <c r="J1299" i="3" s="1"/>
  <c r="I1300" i="3"/>
  <c r="J1300" i="3" s="1"/>
  <c r="I1301" i="3"/>
  <c r="J1301" i="3" s="1"/>
  <c r="I1302" i="3"/>
  <c r="J1302" i="3" s="1"/>
  <c r="I1303" i="3"/>
  <c r="J1303" i="3" s="1"/>
  <c r="I1304" i="3"/>
  <c r="J1304" i="3" s="1"/>
  <c r="I1305" i="3"/>
  <c r="J1305" i="3" s="1"/>
  <c r="I1306" i="3"/>
  <c r="J1306" i="3" s="1"/>
  <c r="I1307" i="3"/>
  <c r="J1307" i="3" s="1"/>
  <c r="I1308" i="3"/>
  <c r="J1308" i="3" s="1"/>
  <c r="I1309" i="3"/>
  <c r="I1310" i="3"/>
  <c r="J1310" i="3" s="1"/>
  <c r="I1311" i="3"/>
  <c r="J1311" i="3" s="1"/>
  <c r="I1312" i="3"/>
  <c r="J1312" i="3" s="1"/>
  <c r="I1313" i="3"/>
  <c r="J1313" i="3" s="1"/>
  <c r="I1314" i="3"/>
  <c r="J1314" i="3" s="1"/>
  <c r="I1315" i="3"/>
  <c r="J1315" i="3" s="1"/>
  <c r="I1316" i="3"/>
  <c r="J1316" i="3" s="1"/>
  <c r="I1317" i="3"/>
  <c r="J1317" i="3" s="1"/>
  <c r="I1318" i="3"/>
  <c r="J1318" i="3" s="1"/>
  <c r="I1319" i="3"/>
  <c r="J1319" i="3" s="1"/>
  <c r="I1320" i="3"/>
  <c r="J1320" i="3" s="1"/>
  <c r="I1321" i="3"/>
  <c r="J1321" i="3" s="1"/>
  <c r="I1322" i="3"/>
  <c r="J1322" i="3" s="1"/>
  <c r="I1323" i="3"/>
  <c r="J1323" i="3" s="1"/>
  <c r="I1324" i="3"/>
  <c r="J1324" i="3" s="1"/>
  <c r="I1325" i="3"/>
  <c r="J1325" i="3" s="1"/>
  <c r="I1326" i="3"/>
  <c r="J1326" i="3" s="1"/>
  <c r="I1327" i="3"/>
  <c r="J1327" i="3" s="1"/>
  <c r="I1328" i="3"/>
  <c r="J1328" i="3" s="1"/>
  <c r="I1329" i="3"/>
  <c r="J1329" i="3" s="1"/>
  <c r="I1330" i="3"/>
  <c r="J1330" i="3" s="1"/>
  <c r="I1331" i="3"/>
  <c r="J1331" i="3" s="1"/>
  <c r="I1332" i="3"/>
  <c r="J1332" i="3" s="1"/>
  <c r="I1333" i="3"/>
  <c r="J1333" i="3" s="1"/>
  <c r="I1334" i="3"/>
  <c r="J1334" i="3" s="1"/>
  <c r="I1335" i="3"/>
  <c r="J1335" i="3" s="1"/>
  <c r="I1336" i="3"/>
  <c r="J1336" i="3" s="1"/>
  <c r="I1337" i="3"/>
  <c r="J1337" i="3" s="1"/>
  <c r="I1338" i="3"/>
  <c r="J1338" i="3" s="1"/>
  <c r="I1339" i="3"/>
  <c r="J1339" i="3" s="1"/>
  <c r="I1340" i="3"/>
  <c r="J1340" i="3" s="1"/>
  <c r="I1341" i="3"/>
  <c r="J1341" i="3" s="1"/>
  <c r="I1342" i="3"/>
  <c r="J1342" i="3" s="1"/>
  <c r="I1343" i="3"/>
  <c r="J1343" i="3" s="1"/>
  <c r="I1344" i="3"/>
  <c r="J1344" i="3" s="1"/>
  <c r="I1345" i="3"/>
  <c r="J1345" i="3" s="1"/>
  <c r="I1346" i="3"/>
  <c r="J1346" i="3" s="1"/>
  <c r="I1347" i="3"/>
  <c r="J1347" i="3" s="1"/>
  <c r="I1348" i="3"/>
  <c r="J1348" i="3" s="1"/>
  <c r="I1349" i="3"/>
  <c r="J1349" i="3" s="1"/>
  <c r="I1350" i="3"/>
  <c r="J1350" i="3" s="1"/>
  <c r="I1351" i="3"/>
  <c r="J1351" i="3" s="1"/>
  <c r="I1352" i="3"/>
  <c r="J1352" i="3" s="1"/>
  <c r="I1353" i="3"/>
  <c r="J1353" i="3" s="1"/>
  <c r="I1354" i="3"/>
  <c r="J1354" i="3" s="1"/>
  <c r="I1355" i="3"/>
  <c r="J1355" i="3" s="1"/>
  <c r="I1356" i="3"/>
  <c r="J1356" i="3" s="1"/>
  <c r="I1357" i="3"/>
  <c r="J1357" i="3" s="1"/>
  <c r="I1358" i="3"/>
  <c r="J1358" i="3" s="1"/>
  <c r="I1359" i="3"/>
  <c r="J1359" i="3" s="1"/>
  <c r="I1360" i="3"/>
  <c r="J1360" i="3" s="1"/>
  <c r="I1361" i="3"/>
  <c r="J1361" i="3" s="1"/>
  <c r="I1362" i="3"/>
  <c r="J1362" i="3" s="1"/>
  <c r="I1363" i="3"/>
  <c r="J1363" i="3" s="1"/>
  <c r="I1364" i="3"/>
  <c r="J1364" i="3" s="1"/>
  <c r="I1365" i="3"/>
  <c r="J1365" i="3" s="1"/>
  <c r="I1366" i="3"/>
  <c r="J1366" i="3" s="1"/>
  <c r="I1367" i="3"/>
  <c r="J1367" i="3" s="1"/>
  <c r="I1368" i="3"/>
  <c r="J1368" i="3" s="1"/>
  <c r="I1369" i="3"/>
  <c r="J1369" i="3" s="1"/>
  <c r="I1370" i="3"/>
  <c r="J1370" i="3" s="1"/>
  <c r="I1371" i="3"/>
  <c r="J1371" i="3" s="1"/>
  <c r="I1372" i="3"/>
  <c r="J1372" i="3" s="1"/>
  <c r="I1373" i="3"/>
  <c r="J1373" i="3" s="1"/>
  <c r="I1374" i="3"/>
  <c r="J1374" i="3" s="1"/>
  <c r="I1375" i="3"/>
  <c r="J1375" i="3" s="1"/>
  <c r="I1376" i="3"/>
  <c r="J1376" i="3" s="1"/>
  <c r="I1377" i="3"/>
  <c r="J1377" i="3" s="1"/>
  <c r="I1378" i="3"/>
  <c r="J1378" i="3" s="1"/>
  <c r="I1379" i="3"/>
  <c r="J1379" i="3" s="1"/>
  <c r="I1380" i="3"/>
  <c r="J1380" i="3" s="1"/>
  <c r="I1381" i="3"/>
  <c r="J1381" i="3" s="1"/>
  <c r="I1382" i="3"/>
  <c r="J1382" i="3" s="1"/>
  <c r="I1383" i="3"/>
  <c r="J1383" i="3" s="1"/>
  <c r="I1384" i="3"/>
  <c r="J1384" i="3" s="1"/>
  <c r="I1385" i="3"/>
  <c r="J1385" i="3" s="1"/>
  <c r="I1386" i="3"/>
  <c r="J1386" i="3" s="1"/>
  <c r="I1387" i="3"/>
  <c r="J1387" i="3" s="1"/>
  <c r="I1388" i="3"/>
  <c r="J1388" i="3" s="1"/>
  <c r="I1389" i="3"/>
  <c r="J1389" i="3" s="1"/>
  <c r="I1390" i="3"/>
  <c r="J1390" i="3" s="1"/>
  <c r="I1391" i="3"/>
  <c r="J1391" i="3" s="1"/>
  <c r="I1392" i="3"/>
  <c r="J1392" i="3" s="1"/>
  <c r="I1393" i="3"/>
  <c r="J1393" i="3" s="1"/>
  <c r="I1394" i="3"/>
  <c r="J1394" i="3" s="1"/>
  <c r="I1395" i="3"/>
  <c r="J1395" i="3" s="1"/>
  <c r="I1396" i="3"/>
  <c r="J1396" i="3" s="1"/>
  <c r="I1397" i="3"/>
  <c r="J1397" i="3" s="1"/>
  <c r="I1398" i="3"/>
  <c r="J1398" i="3" s="1"/>
  <c r="I1399" i="3"/>
  <c r="J1399" i="3" s="1"/>
  <c r="I1400" i="3"/>
  <c r="J1400" i="3" s="1"/>
  <c r="I1401" i="3"/>
  <c r="J1401" i="3" s="1"/>
  <c r="I1402" i="3"/>
  <c r="J1402" i="3" s="1"/>
  <c r="I1403" i="3"/>
  <c r="J1403" i="3" s="1"/>
  <c r="I1404" i="3"/>
  <c r="J1404" i="3" s="1"/>
  <c r="I1405" i="3"/>
  <c r="J1405" i="3" s="1"/>
  <c r="I1406" i="3"/>
  <c r="J1406" i="3" s="1"/>
  <c r="I1407" i="3"/>
  <c r="J1407" i="3" s="1"/>
  <c r="I1408" i="3"/>
  <c r="J1408" i="3" s="1"/>
  <c r="I1409" i="3"/>
  <c r="J1409" i="3" s="1"/>
  <c r="I1410" i="3"/>
  <c r="J1410" i="3" s="1"/>
  <c r="I1411" i="3"/>
  <c r="J1411" i="3" s="1"/>
  <c r="I1412" i="3"/>
  <c r="J1412" i="3" s="1"/>
  <c r="I1413" i="3"/>
  <c r="J1413" i="3" s="1"/>
  <c r="I1414" i="3"/>
  <c r="J1414" i="3" s="1"/>
  <c r="I1415" i="3"/>
  <c r="J1415" i="3" s="1"/>
  <c r="I1416" i="3"/>
  <c r="J1416" i="3" s="1"/>
  <c r="I1417" i="3"/>
  <c r="J1417" i="3" s="1"/>
  <c r="I1418" i="3"/>
  <c r="J1418" i="3" s="1"/>
  <c r="I1419" i="3"/>
  <c r="J1419" i="3" s="1"/>
  <c r="I1420" i="3"/>
  <c r="J1420" i="3" s="1"/>
  <c r="I1421" i="3"/>
  <c r="J1421" i="3" s="1"/>
  <c r="I1422" i="3"/>
  <c r="J1422" i="3" s="1"/>
  <c r="I1423" i="3"/>
  <c r="J1423" i="3" s="1"/>
  <c r="I1424" i="3"/>
  <c r="J1424" i="3" s="1"/>
  <c r="I1425" i="3"/>
  <c r="J1425" i="3" s="1"/>
  <c r="I1426" i="3"/>
  <c r="J1426" i="3" s="1"/>
  <c r="I1427" i="3"/>
  <c r="J1427" i="3" s="1"/>
  <c r="I1428" i="3"/>
  <c r="J1428" i="3" s="1"/>
  <c r="I1429" i="3"/>
  <c r="J1429" i="3" s="1"/>
  <c r="I1430" i="3"/>
  <c r="J1430" i="3" s="1"/>
  <c r="I1431" i="3"/>
  <c r="J1431" i="3" s="1"/>
  <c r="I1432" i="3"/>
  <c r="J1432" i="3" s="1"/>
  <c r="I1433" i="3"/>
  <c r="J1433" i="3" s="1"/>
  <c r="I1434" i="3"/>
  <c r="J1434" i="3" s="1"/>
  <c r="I1435" i="3"/>
  <c r="J1435" i="3" s="1"/>
  <c r="I1436" i="3"/>
  <c r="J1436" i="3" s="1"/>
  <c r="I1437" i="3"/>
  <c r="J1437" i="3" s="1"/>
  <c r="I1438" i="3"/>
  <c r="J1438" i="3" s="1"/>
  <c r="I1439" i="3"/>
  <c r="J1439" i="3" s="1"/>
  <c r="I1440" i="3"/>
  <c r="J1440" i="3" s="1"/>
  <c r="I1441" i="3"/>
  <c r="J1441" i="3" s="1"/>
  <c r="I1442" i="3"/>
  <c r="J1442" i="3" s="1"/>
  <c r="I1443" i="3"/>
  <c r="J1443" i="3" s="1"/>
  <c r="I1444" i="3"/>
  <c r="J1444" i="3" s="1"/>
  <c r="I1445" i="3"/>
  <c r="J1445" i="3" s="1"/>
  <c r="I1446" i="3"/>
  <c r="J1446" i="3" s="1"/>
  <c r="I1447" i="3"/>
  <c r="J1447" i="3" s="1"/>
  <c r="I1448" i="3"/>
  <c r="J1448" i="3" s="1"/>
  <c r="I1449" i="3"/>
  <c r="J1449" i="3" s="1"/>
  <c r="I1450" i="3"/>
  <c r="J1450" i="3" s="1"/>
  <c r="I1451" i="3"/>
  <c r="J1451" i="3" s="1"/>
  <c r="I1452" i="3"/>
  <c r="J1452" i="3" s="1"/>
  <c r="I1453" i="3"/>
  <c r="J1453" i="3" s="1"/>
  <c r="I1454" i="3"/>
  <c r="J1454" i="3" s="1"/>
  <c r="I1455" i="3"/>
  <c r="J1455" i="3" s="1"/>
  <c r="I1456" i="3"/>
  <c r="J1456" i="3" s="1"/>
  <c r="I1457" i="3"/>
  <c r="J1457" i="3" s="1"/>
  <c r="I1458" i="3"/>
  <c r="J1458" i="3" s="1"/>
  <c r="I1459" i="3"/>
  <c r="J1459" i="3" s="1"/>
  <c r="I1460" i="3"/>
  <c r="J1460" i="3" s="1"/>
  <c r="I1461" i="3"/>
  <c r="J1461" i="3" s="1"/>
  <c r="I1462" i="3"/>
  <c r="J1462" i="3" s="1"/>
  <c r="I1463" i="3"/>
  <c r="J1463" i="3" s="1"/>
  <c r="I1464" i="3"/>
  <c r="J1464" i="3" s="1"/>
  <c r="I1465" i="3"/>
  <c r="J1465" i="3" s="1"/>
  <c r="I1466" i="3"/>
  <c r="J1466" i="3" s="1"/>
  <c r="I1467" i="3"/>
  <c r="J1467" i="3" s="1"/>
  <c r="I1468" i="3"/>
  <c r="J1468" i="3" s="1"/>
  <c r="I1469" i="3"/>
  <c r="J1469" i="3" s="1"/>
  <c r="I1470" i="3"/>
  <c r="J1470" i="3" s="1"/>
  <c r="I1471" i="3"/>
  <c r="J1471" i="3" s="1"/>
  <c r="I1472" i="3"/>
  <c r="J1472" i="3" s="1"/>
  <c r="I1473" i="3"/>
  <c r="J1473" i="3" s="1"/>
  <c r="I1474" i="3"/>
  <c r="J1474" i="3" s="1"/>
  <c r="I1475" i="3"/>
  <c r="J1475" i="3" s="1"/>
  <c r="I1476" i="3"/>
  <c r="J1476" i="3" s="1"/>
  <c r="I1477" i="3"/>
  <c r="J1477" i="3" s="1"/>
  <c r="I1478" i="3"/>
  <c r="J1478" i="3" s="1"/>
  <c r="I1479" i="3"/>
  <c r="J1479" i="3" s="1"/>
  <c r="I1480" i="3"/>
  <c r="J1480" i="3" s="1"/>
  <c r="I1481" i="3"/>
  <c r="J1481" i="3" s="1"/>
  <c r="I1482" i="3"/>
  <c r="J1482" i="3" s="1"/>
  <c r="I1483" i="3"/>
  <c r="J1483" i="3" s="1"/>
  <c r="I1484" i="3"/>
  <c r="J1484" i="3" s="1"/>
  <c r="I1485" i="3"/>
  <c r="J1485" i="3" s="1"/>
  <c r="I1486" i="3"/>
  <c r="J1486" i="3" s="1"/>
  <c r="I1487" i="3"/>
  <c r="J1487" i="3" s="1"/>
  <c r="I1488" i="3"/>
  <c r="J1488" i="3" s="1"/>
  <c r="I1489" i="3"/>
  <c r="J1489" i="3" s="1"/>
  <c r="I1490" i="3"/>
  <c r="J1490" i="3" s="1"/>
  <c r="I1491" i="3"/>
  <c r="J1491" i="3" s="1"/>
  <c r="I1492" i="3"/>
  <c r="J1492" i="3" s="1"/>
  <c r="I1493" i="3"/>
  <c r="J1493" i="3" s="1"/>
  <c r="I1494" i="3"/>
  <c r="J1494" i="3" s="1"/>
  <c r="I1495" i="3"/>
  <c r="J1495" i="3" s="1"/>
  <c r="I1496" i="3"/>
  <c r="J1496" i="3" s="1"/>
  <c r="I1497" i="3"/>
  <c r="J1497" i="3" s="1"/>
  <c r="I1498" i="3"/>
  <c r="J1498" i="3" s="1"/>
  <c r="I1499" i="3"/>
  <c r="J1499" i="3" s="1"/>
  <c r="I1500" i="3"/>
  <c r="J1500" i="3" s="1"/>
  <c r="I1501" i="3"/>
  <c r="J1501" i="3" s="1"/>
  <c r="I1502" i="3"/>
  <c r="J1502" i="3" s="1"/>
  <c r="I1503" i="3"/>
  <c r="J1503" i="3" s="1"/>
  <c r="I1504" i="3"/>
  <c r="J1504" i="3" s="1"/>
  <c r="I1505" i="3"/>
  <c r="J1505" i="3" s="1"/>
  <c r="I1506" i="3"/>
  <c r="J1506" i="3" s="1"/>
  <c r="I1507" i="3"/>
  <c r="J1507" i="3" s="1"/>
  <c r="I1508" i="3"/>
  <c r="J1508" i="3" s="1"/>
  <c r="I1509" i="3"/>
  <c r="J1509" i="3" s="1"/>
  <c r="I1510" i="3"/>
  <c r="J1510" i="3" s="1"/>
  <c r="I1511" i="3"/>
  <c r="J1511" i="3" s="1"/>
  <c r="I1512" i="3"/>
  <c r="J1512" i="3" s="1"/>
  <c r="I1513" i="3"/>
  <c r="J1513" i="3" s="1"/>
  <c r="I1514" i="3"/>
  <c r="J1514" i="3" s="1"/>
  <c r="I1515" i="3"/>
  <c r="J1515" i="3" s="1"/>
  <c r="I1516" i="3"/>
  <c r="J1516" i="3" s="1"/>
  <c r="I1517" i="3"/>
  <c r="J1517" i="3" s="1"/>
  <c r="I1518" i="3"/>
  <c r="J1518" i="3" s="1"/>
  <c r="I1519" i="3"/>
  <c r="J1519" i="3" s="1"/>
  <c r="I1520" i="3"/>
  <c r="J1520" i="3" s="1"/>
  <c r="I1521" i="3"/>
  <c r="J1521" i="3" s="1"/>
  <c r="I1522" i="3"/>
  <c r="J1522" i="3" s="1"/>
  <c r="I1523" i="3"/>
  <c r="J1523" i="3" s="1"/>
  <c r="I1524" i="3"/>
  <c r="J1524" i="3" s="1"/>
  <c r="I1525" i="3"/>
  <c r="J1525" i="3" s="1"/>
  <c r="I1526" i="3"/>
  <c r="J1526" i="3" s="1"/>
  <c r="I1527" i="3"/>
  <c r="J1527" i="3" s="1"/>
  <c r="I1528" i="3"/>
  <c r="J1528" i="3" s="1"/>
  <c r="I1529" i="3"/>
  <c r="J1529" i="3" s="1"/>
  <c r="I1530" i="3"/>
  <c r="J1530" i="3" s="1"/>
  <c r="I1531" i="3"/>
  <c r="J1531" i="3" s="1"/>
  <c r="I1532" i="3"/>
  <c r="J1532" i="3" s="1"/>
  <c r="I1533" i="3"/>
  <c r="J1533" i="3" s="1"/>
  <c r="I1534" i="3"/>
  <c r="J1534" i="3" s="1"/>
  <c r="I1535" i="3"/>
  <c r="J1535" i="3" s="1"/>
  <c r="I1536" i="3"/>
  <c r="J1536" i="3" s="1"/>
  <c r="I1537" i="3"/>
  <c r="J1537" i="3" s="1"/>
  <c r="I1538" i="3"/>
  <c r="J1538" i="3" s="1"/>
  <c r="I1539" i="3"/>
  <c r="J1539" i="3" s="1"/>
  <c r="I1540" i="3"/>
  <c r="J1540" i="3" s="1"/>
  <c r="I1541" i="3"/>
  <c r="J1541" i="3" s="1"/>
  <c r="I1542" i="3"/>
  <c r="J1542" i="3" s="1"/>
  <c r="I1543" i="3"/>
  <c r="J1543" i="3" s="1"/>
  <c r="I1544" i="3"/>
  <c r="J1544" i="3" s="1"/>
  <c r="I1545" i="3"/>
  <c r="J1545" i="3" s="1"/>
  <c r="I1546" i="3"/>
  <c r="J1546" i="3" s="1"/>
  <c r="I1547" i="3"/>
  <c r="J1547" i="3" s="1"/>
  <c r="I1548" i="3"/>
  <c r="J1548" i="3" s="1"/>
  <c r="I1549" i="3"/>
  <c r="J1549" i="3" s="1"/>
  <c r="I1550" i="3"/>
  <c r="J1550" i="3" s="1"/>
  <c r="I1551" i="3"/>
  <c r="J1551" i="3" s="1"/>
  <c r="I1552" i="3"/>
  <c r="J1552" i="3" s="1"/>
  <c r="I1553" i="3"/>
  <c r="J1553" i="3" s="1"/>
  <c r="I1554" i="3"/>
  <c r="J1554" i="3" s="1"/>
  <c r="I1555" i="3"/>
  <c r="J1555" i="3" s="1"/>
  <c r="I1556" i="3"/>
  <c r="J1556" i="3" s="1"/>
  <c r="I1557" i="3"/>
  <c r="J1557" i="3" s="1"/>
  <c r="I1558" i="3"/>
  <c r="J1558" i="3" s="1"/>
  <c r="I1559" i="3"/>
  <c r="J1559" i="3" s="1"/>
  <c r="I1560" i="3"/>
  <c r="J1560" i="3" s="1"/>
  <c r="I1561" i="3"/>
  <c r="J1561" i="3" s="1"/>
  <c r="I1562" i="3"/>
  <c r="J1562" i="3" s="1"/>
  <c r="I1563" i="3"/>
  <c r="J1563" i="3" s="1"/>
  <c r="I1564" i="3"/>
  <c r="J1564" i="3" s="1"/>
  <c r="I1565" i="3"/>
  <c r="J1565" i="3" s="1"/>
  <c r="I1566" i="3"/>
  <c r="J1566" i="3" s="1"/>
  <c r="I1567" i="3"/>
  <c r="J1567" i="3" s="1"/>
  <c r="I1568" i="3"/>
  <c r="J1568" i="3" s="1"/>
  <c r="I1569" i="3"/>
  <c r="J1569" i="3" s="1"/>
  <c r="I1570" i="3"/>
  <c r="J1570" i="3" s="1"/>
  <c r="I1571" i="3"/>
  <c r="J1571" i="3" s="1"/>
  <c r="I1572" i="3"/>
  <c r="J1572" i="3" s="1"/>
  <c r="I1573" i="3"/>
  <c r="J1573" i="3" s="1"/>
  <c r="I1574" i="3"/>
  <c r="J1574" i="3" s="1"/>
  <c r="I1575" i="3"/>
  <c r="J1575" i="3" s="1"/>
  <c r="I1576" i="3"/>
  <c r="J1576" i="3" s="1"/>
  <c r="I1577" i="3"/>
  <c r="J1577" i="3" s="1"/>
  <c r="I1578" i="3"/>
  <c r="J1578" i="3" s="1"/>
  <c r="I1579" i="3"/>
  <c r="J1579" i="3" s="1"/>
  <c r="I1580" i="3"/>
  <c r="J1580" i="3" s="1"/>
  <c r="I1581" i="3"/>
  <c r="J1581" i="3" s="1"/>
  <c r="I1582" i="3"/>
  <c r="J1582" i="3" s="1"/>
  <c r="I1583" i="3"/>
  <c r="J1583" i="3" s="1"/>
  <c r="I1584" i="3"/>
  <c r="J1584" i="3" s="1"/>
  <c r="I1585" i="3"/>
  <c r="J1585" i="3" s="1"/>
  <c r="I1586" i="3"/>
  <c r="J1586" i="3" s="1"/>
  <c r="I1587" i="3"/>
  <c r="J1587" i="3" s="1"/>
  <c r="I1588" i="3"/>
  <c r="J1588" i="3" s="1"/>
  <c r="I1589" i="3"/>
  <c r="J1589" i="3" s="1"/>
  <c r="I1590" i="3"/>
  <c r="J1590" i="3" s="1"/>
  <c r="I1591" i="3"/>
  <c r="J1591" i="3" s="1"/>
  <c r="I1592" i="3"/>
  <c r="J1592" i="3" s="1"/>
  <c r="I1593" i="3"/>
  <c r="J1593" i="3" s="1"/>
  <c r="I1594" i="3"/>
  <c r="J1594" i="3" s="1"/>
  <c r="I1595" i="3"/>
  <c r="J1595" i="3" s="1"/>
  <c r="I1596" i="3"/>
  <c r="J1596" i="3" s="1"/>
  <c r="I1597" i="3"/>
  <c r="J1597" i="3" s="1"/>
  <c r="I1598" i="3"/>
  <c r="J1598" i="3" s="1"/>
  <c r="I1599" i="3"/>
  <c r="J1599" i="3" s="1"/>
  <c r="I1600" i="3"/>
  <c r="J1600" i="3" s="1"/>
  <c r="I1601" i="3"/>
  <c r="J1601" i="3" s="1"/>
  <c r="I1602" i="3"/>
  <c r="J1602" i="3" s="1"/>
  <c r="I1603" i="3"/>
  <c r="J1603" i="3" s="1"/>
  <c r="I1604" i="3"/>
  <c r="J1604" i="3" s="1"/>
  <c r="I1605" i="3"/>
  <c r="J1605" i="3" s="1"/>
  <c r="I1606" i="3"/>
  <c r="J1606" i="3" s="1"/>
  <c r="I1607" i="3"/>
  <c r="J1607" i="3" s="1"/>
  <c r="I1608" i="3"/>
  <c r="J1608" i="3" s="1"/>
  <c r="I1609" i="3"/>
  <c r="J1609" i="3" s="1"/>
  <c r="I1610" i="3"/>
  <c r="J1610" i="3" s="1"/>
  <c r="I1611" i="3"/>
  <c r="J1611" i="3" s="1"/>
  <c r="I1612" i="3"/>
  <c r="J1612" i="3" s="1"/>
  <c r="I1613" i="3"/>
  <c r="J1613" i="3" s="1"/>
  <c r="I1614" i="3"/>
  <c r="J1614" i="3" s="1"/>
  <c r="I1615" i="3"/>
  <c r="J1615" i="3" s="1"/>
  <c r="I1616" i="3"/>
  <c r="J1616" i="3" s="1"/>
  <c r="I1617" i="3"/>
  <c r="J1617" i="3" s="1"/>
  <c r="I1618" i="3"/>
  <c r="J1618" i="3" s="1"/>
  <c r="I1619" i="3"/>
  <c r="J1619" i="3" s="1"/>
  <c r="I1620" i="3"/>
  <c r="J1620" i="3" s="1"/>
  <c r="I1621" i="3"/>
  <c r="J1621" i="3" s="1"/>
  <c r="I1622" i="3"/>
  <c r="J1622" i="3" s="1"/>
  <c r="I1623" i="3"/>
  <c r="J1623" i="3" s="1"/>
  <c r="I1624" i="3"/>
  <c r="J1624" i="3" s="1"/>
  <c r="I1625" i="3"/>
  <c r="J1625" i="3" s="1"/>
  <c r="I1626" i="3"/>
  <c r="J1626" i="3" s="1"/>
  <c r="I1627" i="3"/>
  <c r="J1627" i="3" s="1"/>
  <c r="I1628" i="3"/>
  <c r="J1628" i="3" s="1"/>
  <c r="I1629" i="3"/>
  <c r="J1629" i="3" s="1"/>
  <c r="I1630" i="3"/>
  <c r="J1630" i="3" s="1"/>
  <c r="I1631" i="3"/>
  <c r="J1631" i="3" s="1"/>
  <c r="I1632" i="3"/>
  <c r="J1632" i="3" s="1"/>
  <c r="I1633" i="3"/>
  <c r="J1633" i="3" s="1"/>
  <c r="I1634" i="3"/>
  <c r="J1634" i="3" s="1"/>
  <c r="I1635" i="3"/>
  <c r="J1635" i="3" s="1"/>
  <c r="I1636" i="3"/>
  <c r="J1636" i="3" s="1"/>
  <c r="I1637" i="3"/>
  <c r="J1637" i="3" s="1"/>
  <c r="I1638" i="3"/>
  <c r="J1638" i="3" s="1"/>
  <c r="I1639" i="3"/>
  <c r="J1639" i="3" s="1"/>
  <c r="I1640" i="3"/>
  <c r="J1640" i="3" s="1"/>
  <c r="I1641" i="3"/>
  <c r="J1641" i="3" s="1"/>
  <c r="I1642" i="3"/>
  <c r="J1642" i="3" s="1"/>
  <c r="I1643" i="3"/>
  <c r="J1643" i="3" s="1"/>
  <c r="I1644" i="3"/>
  <c r="J1644" i="3" s="1"/>
  <c r="I1645" i="3"/>
  <c r="J1645" i="3" s="1"/>
  <c r="I1646" i="3"/>
  <c r="J1646" i="3" s="1"/>
  <c r="I1647" i="3"/>
  <c r="J1647" i="3" s="1"/>
  <c r="I1648" i="3"/>
  <c r="J1648" i="3" s="1"/>
  <c r="I1649" i="3"/>
  <c r="J1649" i="3" s="1"/>
  <c r="I1650" i="3"/>
  <c r="J1650" i="3" s="1"/>
  <c r="I1651" i="3"/>
  <c r="J1651" i="3" s="1"/>
  <c r="I1652" i="3"/>
  <c r="J1652" i="3" s="1"/>
  <c r="I1653" i="3"/>
  <c r="J1653" i="3" s="1"/>
  <c r="I1654" i="3"/>
  <c r="J1654" i="3" s="1"/>
  <c r="I1655" i="3"/>
  <c r="J1655" i="3" s="1"/>
  <c r="I1656" i="3"/>
  <c r="J1656" i="3" s="1"/>
  <c r="I1657" i="3"/>
  <c r="J1657" i="3" s="1"/>
  <c r="I1658" i="3"/>
  <c r="J1658" i="3" s="1"/>
  <c r="I1659" i="3"/>
  <c r="J1659" i="3" s="1"/>
  <c r="I1660" i="3"/>
  <c r="J1660" i="3" s="1"/>
  <c r="I1661" i="3"/>
  <c r="J1661" i="3" s="1"/>
  <c r="I1662" i="3"/>
  <c r="J1662" i="3" s="1"/>
  <c r="I1663" i="3"/>
  <c r="J1663" i="3" s="1"/>
  <c r="I1664" i="3"/>
  <c r="J1664" i="3" s="1"/>
  <c r="I1665" i="3"/>
  <c r="J1665" i="3" s="1"/>
  <c r="I1666" i="3"/>
  <c r="J1666" i="3" s="1"/>
  <c r="I1667" i="3"/>
  <c r="J1667" i="3" s="1"/>
  <c r="I1668" i="3"/>
  <c r="J1668" i="3" s="1"/>
  <c r="I1669" i="3"/>
  <c r="J1669" i="3" s="1"/>
  <c r="I1670" i="3"/>
  <c r="J1670" i="3" s="1"/>
  <c r="I1671" i="3"/>
  <c r="J1671" i="3" s="1"/>
  <c r="I1672" i="3"/>
  <c r="J1672" i="3" s="1"/>
  <c r="I1673" i="3"/>
  <c r="J1673" i="3" s="1"/>
  <c r="I1674" i="3"/>
  <c r="J1674" i="3" s="1"/>
  <c r="I1675" i="3"/>
  <c r="J1675" i="3" s="1"/>
  <c r="I1676" i="3"/>
  <c r="J1676" i="3" s="1"/>
  <c r="I1677" i="3"/>
  <c r="J1677" i="3" s="1"/>
  <c r="I1678" i="3"/>
  <c r="J1678" i="3" s="1"/>
  <c r="I1679" i="3"/>
  <c r="J1679" i="3" s="1"/>
  <c r="I1680" i="3"/>
  <c r="J1680" i="3" s="1"/>
  <c r="I1681" i="3"/>
  <c r="J1681" i="3" s="1"/>
  <c r="I1682" i="3"/>
  <c r="J1682" i="3" s="1"/>
  <c r="I1683" i="3"/>
  <c r="J1683" i="3" s="1"/>
  <c r="I1684" i="3"/>
  <c r="J1684" i="3" s="1"/>
  <c r="I1685" i="3"/>
  <c r="J1685" i="3" s="1"/>
  <c r="I1686" i="3"/>
  <c r="J1686" i="3" s="1"/>
  <c r="I1687" i="3"/>
  <c r="J1687" i="3" s="1"/>
  <c r="I1688" i="3"/>
  <c r="J1688" i="3" s="1"/>
  <c r="I1689" i="3"/>
  <c r="J1689" i="3" s="1"/>
  <c r="I1690" i="3"/>
  <c r="J1690" i="3" s="1"/>
  <c r="I1691" i="3"/>
  <c r="J1691" i="3" s="1"/>
  <c r="I1692" i="3"/>
  <c r="J1692" i="3" s="1"/>
  <c r="I1693" i="3"/>
  <c r="J1693" i="3" s="1"/>
  <c r="I1694" i="3"/>
  <c r="J1694" i="3" s="1"/>
  <c r="I1695" i="3"/>
  <c r="J1695" i="3" s="1"/>
  <c r="I1696" i="3"/>
  <c r="J1696" i="3" s="1"/>
  <c r="I1697" i="3"/>
  <c r="J1697" i="3" s="1"/>
  <c r="I1698" i="3"/>
  <c r="J1698" i="3" s="1"/>
  <c r="I1699" i="3"/>
  <c r="J1699" i="3" s="1"/>
  <c r="I1700" i="3"/>
  <c r="J1700" i="3" s="1"/>
  <c r="I1701" i="3"/>
  <c r="J1701" i="3" s="1"/>
  <c r="I1702" i="3"/>
  <c r="J1702" i="3" s="1"/>
  <c r="I1703" i="3"/>
  <c r="J1703" i="3" s="1"/>
  <c r="I1704" i="3"/>
  <c r="J1704" i="3" s="1"/>
  <c r="I1705" i="3"/>
  <c r="J1705" i="3" s="1"/>
  <c r="I1706" i="3"/>
  <c r="J1706" i="3" s="1"/>
  <c r="I1707" i="3"/>
  <c r="J1707" i="3" s="1"/>
  <c r="I1708" i="3"/>
  <c r="J1708" i="3" s="1"/>
  <c r="I1709" i="3"/>
  <c r="J1709" i="3" s="1"/>
  <c r="I1710" i="3"/>
  <c r="J1710" i="3" s="1"/>
  <c r="I1711" i="3"/>
  <c r="J1711" i="3" s="1"/>
  <c r="I1712" i="3"/>
  <c r="J1712" i="3" s="1"/>
  <c r="I1713" i="3"/>
  <c r="J1713" i="3" s="1"/>
  <c r="I1714" i="3"/>
  <c r="J1714" i="3" s="1"/>
  <c r="I1715" i="3"/>
  <c r="J1715" i="3" s="1"/>
  <c r="I1716" i="3"/>
  <c r="J1716" i="3" s="1"/>
  <c r="I1717" i="3"/>
  <c r="J1717" i="3" s="1"/>
  <c r="I1718" i="3"/>
  <c r="J1718" i="3" s="1"/>
  <c r="I1719" i="3"/>
  <c r="J1719" i="3" s="1"/>
  <c r="I1720" i="3"/>
  <c r="J1720" i="3" s="1"/>
  <c r="I1721" i="3"/>
  <c r="J1721" i="3" s="1"/>
  <c r="I1722" i="3"/>
  <c r="J1722" i="3" s="1"/>
  <c r="I1723" i="3"/>
  <c r="J1723" i="3" s="1"/>
  <c r="I1724" i="3"/>
  <c r="J1724" i="3" s="1"/>
  <c r="I1725" i="3"/>
  <c r="J1725" i="3" s="1"/>
  <c r="I1726" i="3"/>
  <c r="J1726" i="3" s="1"/>
  <c r="I1727" i="3"/>
  <c r="J1727" i="3" s="1"/>
  <c r="I1728" i="3"/>
  <c r="J1728" i="3" s="1"/>
  <c r="I1729" i="3"/>
  <c r="J1729" i="3" s="1"/>
  <c r="I1730" i="3"/>
  <c r="J1730" i="3" s="1"/>
  <c r="I1731" i="3"/>
  <c r="J1731" i="3" s="1"/>
  <c r="I1732" i="3"/>
  <c r="J1732" i="3" s="1"/>
  <c r="I1733" i="3"/>
  <c r="J1733" i="3" s="1"/>
  <c r="I1734" i="3"/>
  <c r="J1734" i="3" s="1"/>
  <c r="I1735" i="3"/>
  <c r="J1735" i="3" s="1"/>
  <c r="I1736" i="3"/>
  <c r="J1736" i="3" s="1"/>
  <c r="I1737" i="3"/>
  <c r="J1737" i="3" s="1"/>
  <c r="I1738" i="3"/>
  <c r="J1738" i="3" s="1"/>
  <c r="I1739" i="3"/>
  <c r="J1739" i="3" s="1"/>
  <c r="I1740" i="3"/>
  <c r="J1740" i="3" s="1"/>
  <c r="I1741" i="3"/>
  <c r="J1741" i="3" s="1"/>
  <c r="I1742" i="3"/>
  <c r="J1742" i="3" s="1"/>
  <c r="I1743" i="3"/>
  <c r="J1743" i="3" s="1"/>
  <c r="I1744" i="3"/>
  <c r="J1744" i="3" s="1"/>
  <c r="I1745" i="3"/>
  <c r="J1745" i="3" s="1"/>
  <c r="I1746" i="3"/>
  <c r="J1746" i="3" s="1"/>
  <c r="I1747" i="3"/>
  <c r="J1747" i="3" s="1"/>
  <c r="I1748" i="3"/>
  <c r="J1748" i="3" s="1"/>
  <c r="I1749" i="3"/>
  <c r="J1749" i="3" s="1"/>
  <c r="I1750" i="3"/>
  <c r="J1750" i="3" s="1"/>
  <c r="I1751" i="3"/>
  <c r="J1751" i="3" s="1"/>
  <c r="I1752" i="3"/>
  <c r="J1752" i="3" s="1"/>
  <c r="I1753" i="3"/>
  <c r="J1753" i="3" s="1"/>
  <c r="I1754" i="3"/>
  <c r="J1754" i="3" s="1"/>
  <c r="I1755" i="3"/>
  <c r="J1755" i="3" s="1"/>
  <c r="I1756" i="3"/>
  <c r="J1756" i="3" s="1"/>
  <c r="I1757" i="3"/>
  <c r="J1757" i="3" s="1"/>
  <c r="I1758" i="3"/>
  <c r="J1758" i="3" s="1"/>
  <c r="I1759" i="3"/>
  <c r="J1759" i="3" s="1"/>
  <c r="I1760" i="3"/>
  <c r="J1760" i="3" s="1"/>
  <c r="I1761" i="3"/>
  <c r="J1761" i="3" s="1"/>
  <c r="I1762" i="3"/>
  <c r="J1762" i="3" s="1"/>
  <c r="I1763" i="3"/>
  <c r="J1763" i="3" s="1"/>
  <c r="I1764" i="3"/>
  <c r="J1764" i="3" s="1"/>
  <c r="I1765" i="3"/>
  <c r="J1765" i="3" s="1"/>
  <c r="I1766" i="3"/>
  <c r="J1766" i="3" s="1"/>
  <c r="I1767" i="3"/>
  <c r="J1767" i="3" s="1"/>
  <c r="I1768" i="3"/>
  <c r="J1768" i="3" s="1"/>
  <c r="I1769" i="3"/>
  <c r="J1769" i="3" s="1"/>
  <c r="I1770" i="3"/>
  <c r="J1770" i="3" s="1"/>
  <c r="I1771" i="3"/>
  <c r="J1771" i="3" s="1"/>
  <c r="I1772" i="3"/>
  <c r="J1772" i="3" s="1"/>
  <c r="I1773" i="3"/>
  <c r="J1773" i="3" s="1"/>
  <c r="I1774" i="3"/>
  <c r="J1774" i="3" s="1"/>
  <c r="I1775" i="3"/>
  <c r="J1775" i="3" s="1"/>
  <c r="I1776" i="3"/>
  <c r="J1776" i="3" s="1"/>
  <c r="I1777" i="3"/>
  <c r="J1777" i="3" s="1"/>
  <c r="I1778" i="3"/>
  <c r="J1778" i="3" s="1"/>
  <c r="I1779" i="3"/>
  <c r="J1779" i="3" s="1"/>
  <c r="I1780" i="3"/>
  <c r="J1780" i="3" s="1"/>
  <c r="I1781" i="3"/>
  <c r="J1781" i="3" s="1"/>
  <c r="I1782" i="3"/>
  <c r="J1782" i="3" s="1"/>
  <c r="I1783" i="3"/>
  <c r="J1783" i="3" s="1"/>
  <c r="I1784" i="3"/>
  <c r="J1784" i="3" s="1"/>
  <c r="I1785" i="3"/>
  <c r="J1785" i="3" s="1"/>
  <c r="I1786" i="3"/>
  <c r="J1786" i="3" s="1"/>
  <c r="I1787" i="3"/>
  <c r="J1787" i="3" s="1"/>
  <c r="I1788" i="3"/>
  <c r="J1788" i="3" s="1"/>
  <c r="I1789" i="3"/>
  <c r="J1789" i="3" s="1"/>
  <c r="I1790" i="3"/>
  <c r="J1790" i="3" s="1"/>
  <c r="I1791" i="3"/>
  <c r="J1791" i="3" s="1"/>
  <c r="I1792" i="3"/>
  <c r="J1792" i="3" s="1"/>
  <c r="I1793" i="3"/>
  <c r="J1793" i="3" s="1"/>
  <c r="I1794" i="3"/>
  <c r="J1794" i="3" s="1"/>
  <c r="I1795" i="3"/>
  <c r="J1795" i="3" s="1"/>
  <c r="I1796" i="3"/>
  <c r="J1796" i="3" s="1"/>
  <c r="I1797" i="3"/>
  <c r="J1797" i="3" s="1"/>
  <c r="I1798" i="3"/>
  <c r="J1798" i="3" s="1"/>
  <c r="I1799" i="3"/>
  <c r="J1799" i="3" s="1"/>
  <c r="I1800" i="3"/>
  <c r="J1800" i="3" s="1"/>
  <c r="I1801" i="3"/>
  <c r="J1801" i="3" s="1"/>
  <c r="I1802" i="3"/>
  <c r="J1802" i="3" s="1"/>
  <c r="I1803" i="3"/>
  <c r="J1803" i="3" s="1"/>
  <c r="I1804" i="3"/>
  <c r="J1804" i="3" s="1"/>
  <c r="I1805" i="3"/>
  <c r="J1805" i="3" s="1"/>
  <c r="I1806" i="3"/>
  <c r="J1806" i="3" s="1"/>
  <c r="I1807" i="3"/>
  <c r="J1807" i="3" s="1"/>
  <c r="I1808" i="3"/>
  <c r="J1808" i="3" s="1"/>
  <c r="I1809" i="3"/>
  <c r="J1809" i="3" s="1"/>
  <c r="I1810" i="3"/>
  <c r="J1810" i="3" s="1"/>
  <c r="I1811" i="3"/>
  <c r="J1811" i="3" s="1"/>
  <c r="I1812" i="3"/>
  <c r="J1812" i="3" s="1"/>
  <c r="I1813" i="3"/>
  <c r="J1813" i="3" s="1"/>
  <c r="I1814" i="3"/>
  <c r="J1814" i="3" s="1"/>
  <c r="I1815" i="3"/>
  <c r="J1815" i="3" s="1"/>
  <c r="I1816" i="3"/>
  <c r="J1816" i="3" s="1"/>
  <c r="I1817" i="3"/>
  <c r="J1817" i="3" s="1"/>
  <c r="I1818" i="3"/>
  <c r="J1818" i="3" s="1"/>
  <c r="I1819" i="3"/>
  <c r="J1819" i="3" s="1"/>
  <c r="I1820" i="3"/>
  <c r="J1820" i="3" s="1"/>
  <c r="I1821" i="3"/>
  <c r="J1821" i="3" s="1"/>
  <c r="I1822" i="3"/>
  <c r="J1822" i="3" s="1"/>
  <c r="I1823" i="3"/>
  <c r="J1823" i="3" s="1"/>
  <c r="I1824" i="3"/>
  <c r="J1824" i="3" s="1"/>
  <c r="I1825" i="3"/>
  <c r="J1825" i="3" s="1"/>
  <c r="I1826" i="3"/>
  <c r="J1826" i="3" s="1"/>
  <c r="I1827" i="3"/>
  <c r="J1827" i="3" s="1"/>
  <c r="I1828" i="3"/>
  <c r="J1828" i="3" s="1"/>
  <c r="I1829" i="3"/>
  <c r="J1829" i="3" s="1"/>
  <c r="I1830" i="3"/>
  <c r="J1830" i="3" s="1"/>
  <c r="I1831" i="3"/>
  <c r="J1831" i="3" s="1"/>
  <c r="I1832" i="3"/>
  <c r="J1832" i="3" s="1"/>
  <c r="I1833" i="3"/>
  <c r="J1833" i="3" s="1"/>
  <c r="I1834" i="3"/>
  <c r="J1834" i="3" s="1"/>
  <c r="I1835" i="3"/>
  <c r="J1835" i="3" s="1"/>
  <c r="I1836" i="3"/>
  <c r="J1836" i="3" s="1"/>
  <c r="I1837" i="3"/>
  <c r="J1837" i="3" s="1"/>
  <c r="I1838" i="3"/>
  <c r="J1838" i="3" s="1"/>
  <c r="I1839" i="3"/>
  <c r="J1839" i="3" s="1"/>
  <c r="I1840" i="3"/>
  <c r="J1840" i="3" s="1"/>
  <c r="I1841" i="3"/>
  <c r="J1841" i="3" s="1"/>
  <c r="I1842" i="3"/>
  <c r="J1842" i="3" s="1"/>
  <c r="I1843" i="3"/>
  <c r="J1843" i="3" s="1"/>
  <c r="I1844" i="3"/>
  <c r="J1844" i="3" s="1"/>
  <c r="I1845" i="3"/>
  <c r="J1845" i="3" s="1"/>
  <c r="I1846" i="3"/>
  <c r="J1846" i="3" s="1"/>
  <c r="I1847" i="3"/>
  <c r="J1847" i="3" s="1"/>
  <c r="I1848" i="3"/>
  <c r="J1848" i="3" s="1"/>
  <c r="I1849" i="3"/>
  <c r="J1849" i="3" s="1"/>
  <c r="I1850" i="3"/>
  <c r="J1850" i="3" s="1"/>
  <c r="I1851" i="3"/>
  <c r="J1851" i="3" s="1"/>
  <c r="I1852" i="3"/>
  <c r="J1852" i="3" s="1"/>
  <c r="I1853" i="3"/>
  <c r="J1853" i="3" s="1"/>
  <c r="I1854" i="3"/>
  <c r="J1854" i="3" s="1"/>
  <c r="I1855" i="3"/>
  <c r="J1855" i="3" s="1"/>
  <c r="I1856" i="3"/>
  <c r="J1856" i="3" s="1"/>
  <c r="I1857" i="3"/>
  <c r="J1857" i="3" s="1"/>
  <c r="I1858" i="3"/>
  <c r="J1858" i="3" s="1"/>
  <c r="I1859" i="3"/>
  <c r="J1859" i="3" s="1"/>
  <c r="I1860" i="3"/>
  <c r="J1860" i="3" s="1"/>
  <c r="I1861" i="3"/>
  <c r="J1861" i="3" s="1"/>
  <c r="I1862" i="3"/>
  <c r="J1862" i="3" s="1"/>
  <c r="I1863" i="3"/>
  <c r="J1863" i="3" s="1"/>
  <c r="I1864" i="3"/>
  <c r="J1864" i="3" s="1"/>
  <c r="I1865" i="3"/>
  <c r="J1865" i="3" s="1"/>
  <c r="I1866" i="3"/>
  <c r="J1866" i="3" s="1"/>
  <c r="I1867" i="3"/>
  <c r="J1867" i="3" s="1"/>
  <c r="I1868" i="3"/>
  <c r="J1868" i="3" s="1"/>
  <c r="I1869" i="3"/>
  <c r="J1869" i="3" s="1"/>
  <c r="I1870" i="3"/>
  <c r="J1870" i="3" s="1"/>
  <c r="I1871" i="3"/>
  <c r="J1871" i="3" s="1"/>
  <c r="I1872" i="3"/>
  <c r="J1872" i="3" s="1"/>
  <c r="I1873" i="3"/>
  <c r="J1873" i="3" s="1"/>
  <c r="I1874" i="3"/>
  <c r="J1874" i="3" s="1"/>
  <c r="I1875" i="3"/>
  <c r="J1875" i="3" s="1"/>
  <c r="I1876" i="3"/>
  <c r="J1876" i="3" s="1"/>
  <c r="I1877" i="3"/>
  <c r="J1877" i="3" s="1"/>
  <c r="I1878" i="3"/>
  <c r="J1878" i="3" s="1"/>
  <c r="I1879" i="3"/>
  <c r="J1879" i="3" s="1"/>
  <c r="I1880" i="3"/>
  <c r="J1880" i="3" s="1"/>
  <c r="I1881" i="3"/>
  <c r="J1881" i="3" s="1"/>
  <c r="I1882" i="3"/>
  <c r="J1882" i="3" s="1"/>
  <c r="I1883" i="3"/>
  <c r="J1883" i="3" s="1"/>
  <c r="I1884" i="3"/>
  <c r="J1884" i="3" s="1"/>
  <c r="I1885" i="3"/>
  <c r="J1885" i="3" s="1"/>
  <c r="I1886" i="3"/>
  <c r="J1886" i="3" s="1"/>
  <c r="I1887" i="3"/>
  <c r="J1887" i="3" s="1"/>
  <c r="I1888" i="3"/>
  <c r="J1888" i="3" s="1"/>
  <c r="I1889" i="3"/>
  <c r="J1889" i="3" s="1"/>
  <c r="I1890" i="3"/>
  <c r="J1890" i="3" s="1"/>
  <c r="I1891" i="3"/>
  <c r="J1891" i="3" s="1"/>
  <c r="I1892" i="3"/>
  <c r="J1892" i="3" s="1"/>
  <c r="I1893" i="3"/>
  <c r="J1893" i="3" s="1"/>
  <c r="I1894" i="3"/>
  <c r="J1894" i="3" s="1"/>
  <c r="I1895" i="3"/>
  <c r="J1895" i="3" s="1"/>
  <c r="I1896" i="3"/>
  <c r="J1896" i="3" s="1"/>
  <c r="I1897" i="3"/>
  <c r="J1897" i="3" s="1"/>
  <c r="I1898" i="3"/>
  <c r="J1898" i="3" s="1"/>
  <c r="I1899" i="3"/>
  <c r="J1899" i="3" s="1"/>
  <c r="I1900" i="3"/>
  <c r="J1900" i="3" s="1"/>
  <c r="I1901" i="3"/>
  <c r="J1901" i="3" s="1"/>
  <c r="I1902" i="3"/>
  <c r="J1902" i="3" s="1"/>
  <c r="I1903" i="3"/>
  <c r="J1903" i="3" s="1"/>
  <c r="I1904" i="3"/>
  <c r="J1904" i="3" s="1"/>
  <c r="I1905" i="3"/>
  <c r="J1905" i="3" s="1"/>
  <c r="I1906" i="3"/>
  <c r="J1906" i="3" s="1"/>
  <c r="I1907" i="3"/>
  <c r="J1907" i="3" s="1"/>
  <c r="I1908" i="3"/>
  <c r="J1908" i="3" s="1"/>
  <c r="I1909" i="3"/>
  <c r="J1909" i="3" s="1"/>
  <c r="I1910" i="3"/>
  <c r="J1910" i="3" s="1"/>
  <c r="I1911" i="3"/>
  <c r="J1911" i="3" s="1"/>
  <c r="I1912" i="3"/>
  <c r="J1912" i="3" s="1"/>
  <c r="I1913" i="3"/>
  <c r="J1913" i="3" s="1"/>
  <c r="I1914" i="3"/>
  <c r="J1914" i="3" s="1"/>
  <c r="I1915" i="3"/>
  <c r="J1915" i="3" s="1"/>
  <c r="I1916" i="3"/>
  <c r="J1916" i="3" s="1"/>
  <c r="I1917" i="3"/>
  <c r="J1917" i="3" s="1"/>
  <c r="I1918" i="3"/>
  <c r="J1918" i="3" s="1"/>
  <c r="I1919" i="3"/>
  <c r="J1919" i="3" s="1"/>
  <c r="I1920" i="3"/>
  <c r="J1920" i="3" s="1"/>
  <c r="I1921" i="3"/>
  <c r="J1921" i="3" s="1"/>
  <c r="I1922" i="3"/>
  <c r="J1922" i="3" s="1"/>
  <c r="I1923" i="3"/>
  <c r="J1923" i="3" s="1"/>
  <c r="I1924" i="3"/>
  <c r="J1924" i="3" s="1"/>
  <c r="I1925" i="3"/>
  <c r="J1925" i="3" s="1"/>
  <c r="I1926" i="3"/>
  <c r="J1926" i="3" s="1"/>
  <c r="I1927" i="3"/>
  <c r="J1927" i="3" s="1"/>
  <c r="I1928" i="3"/>
  <c r="J1928" i="3" s="1"/>
  <c r="I1929" i="3"/>
  <c r="J1929" i="3" s="1"/>
  <c r="I1930" i="3"/>
  <c r="J1930" i="3" s="1"/>
  <c r="I1931" i="3"/>
  <c r="J1931" i="3" s="1"/>
  <c r="I1932" i="3"/>
  <c r="J1932" i="3" s="1"/>
  <c r="I1933" i="3"/>
  <c r="J1933" i="3" s="1"/>
  <c r="I1934" i="3"/>
  <c r="J1934" i="3" s="1"/>
  <c r="I1935" i="3"/>
  <c r="J1935" i="3" s="1"/>
  <c r="I1936" i="3"/>
  <c r="J1936" i="3" s="1"/>
  <c r="I1937" i="3"/>
  <c r="J1937" i="3" s="1"/>
  <c r="I1938" i="3"/>
  <c r="J1938" i="3" s="1"/>
  <c r="I1939" i="3"/>
  <c r="J1939" i="3" s="1"/>
  <c r="I1940" i="3"/>
  <c r="J1940" i="3" s="1"/>
  <c r="I1941" i="3"/>
  <c r="J1941" i="3" s="1"/>
  <c r="I1942" i="3"/>
  <c r="J1942" i="3" s="1"/>
  <c r="I1943" i="3"/>
  <c r="J1943" i="3" s="1"/>
  <c r="I1944" i="3"/>
  <c r="J1944" i="3" s="1"/>
  <c r="I1945" i="3"/>
  <c r="J1945" i="3" s="1"/>
  <c r="I1946" i="3"/>
  <c r="J1946" i="3" s="1"/>
  <c r="I1947" i="3"/>
  <c r="J1947" i="3" s="1"/>
  <c r="I1948" i="3"/>
  <c r="J1948" i="3" s="1"/>
  <c r="I1949" i="3"/>
  <c r="J1949" i="3" s="1"/>
  <c r="I1950" i="3"/>
  <c r="J1950" i="3" s="1"/>
  <c r="I1951" i="3"/>
  <c r="J1951" i="3" s="1"/>
  <c r="I1952" i="3"/>
  <c r="J1952" i="3" s="1"/>
  <c r="I1953" i="3"/>
  <c r="J1953" i="3" s="1"/>
  <c r="I1954" i="3"/>
  <c r="J1954" i="3" s="1"/>
  <c r="I1955" i="3"/>
  <c r="J1955" i="3" s="1"/>
  <c r="I1956" i="3"/>
  <c r="J1956" i="3" s="1"/>
  <c r="I1957" i="3"/>
  <c r="J1957" i="3" s="1"/>
  <c r="I1958" i="3"/>
  <c r="J1958" i="3" s="1"/>
  <c r="I1959" i="3"/>
  <c r="J1959" i="3" s="1"/>
  <c r="I1960" i="3"/>
  <c r="J1960" i="3" s="1"/>
  <c r="I1961" i="3"/>
  <c r="J1961" i="3" s="1"/>
  <c r="I1962" i="3"/>
  <c r="J1962" i="3" s="1"/>
  <c r="I1963" i="3"/>
  <c r="J1963" i="3" s="1"/>
  <c r="I1964" i="3"/>
  <c r="J1964" i="3" s="1"/>
  <c r="I1965" i="3"/>
  <c r="J1965" i="3" s="1"/>
  <c r="I1966" i="3"/>
  <c r="J1966" i="3" s="1"/>
  <c r="I1967" i="3"/>
  <c r="J1967" i="3" s="1"/>
  <c r="I1968" i="3"/>
  <c r="J1968" i="3" s="1"/>
  <c r="I1969" i="3"/>
  <c r="J1969" i="3" s="1"/>
  <c r="I1970" i="3"/>
  <c r="J1970" i="3" s="1"/>
  <c r="I1971" i="3"/>
  <c r="J1971" i="3" s="1"/>
  <c r="I1972" i="3"/>
  <c r="J1972" i="3" s="1"/>
  <c r="I1973" i="3"/>
  <c r="J1973" i="3" s="1"/>
  <c r="I1974" i="3"/>
  <c r="J1974" i="3" s="1"/>
  <c r="I1975" i="3"/>
  <c r="J1975" i="3" s="1"/>
  <c r="I1976" i="3"/>
  <c r="J1976" i="3" s="1"/>
  <c r="I1977" i="3"/>
  <c r="J1977" i="3" s="1"/>
  <c r="I1978" i="3"/>
  <c r="J1978" i="3" s="1"/>
  <c r="I1979" i="3"/>
  <c r="J1979" i="3" s="1"/>
  <c r="I1980" i="3"/>
  <c r="J1980" i="3" s="1"/>
  <c r="I1981" i="3"/>
  <c r="J1981" i="3" s="1"/>
  <c r="I1982" i="3"/>
  <c r="J1982" i="3" s="1"/>
  <c r="I1983" i="3"/>
  <c r="J1983" i="3" s="1"/>
  <c r="I1984" i="3"/>
  <c r="J1984" i="3" s="1"/>
  <c r="I1985" i="3"/>
  <c r="J1985" i="3" s="1"/>
  <c r="I1986" i="3"/>
  <c r="J1986" i="3" s="1"/>
  <c r="I1987" i="3"/>
  <c r="J1987" i="3" s="1"/>
  <c r="I1988" i="3"/>
  <c r="J1988" i="3" s="1"/>
  <c r="I1989" i="3"/>
  <c r="J1989" i="3" s="1"/>
  <c r="I1990" i="3"/>
  <c r="J1990" i="3" s="1"/>
  <c r="I1991" i="3"/>
  <c r="J1991" i="3" s="1"/>
  <c r="I1992" i="3"/>
  <c r="J1992" i="3" s="1"/>
  <c r="I1993" i="3"/>
  <c r="J1993" i="3" s="1"/>
  <c r="I1994" i="3"/>
  <c r="J1994" i="3" s="1"/>
  <c r="I1995" i="3"/>
  <c r="J1995" i="3" s="1"/>
  <c r="I1996" i="3"/>
  <c r="J1996" i="3" s="1"/>
  <c r="I1997" i="3"/>
  <c r="J1997" i="3" s="1"/>
  <c r="I1998" i="3"/>
  <c r="J1998" i="3" s="1"/>
  <c r="I1999" i="3"/>
  <c r="J1999" i="3" s="1"/>
  <c r="I2000" i="3"/>
  <c r="J2000" i="3" s="1"/>
  <c r="I2001" i="3"/>
  <c r="J2001" i="3" s="1"/>
  <c r="I2002" i="3"/>
  <c r="J2002" i="3" s="1"/>
  <c r="I2003" i="3"/>
  <c r="J2003" i="3" s="1"/>
  <c r="I2004" i="3"/>
  <c r="J2004" i="3" s="1"/>
  <c r="I2005" i="3"/>
  <c r="J2005" i="3" s="1"/>
  <c r="I2006" i="3"/>
  <c r="J2006" i="3" s="1"/>
  <c r="I2007" i="3"/>
  <c r="J2007" i="3" s="1"/>
  <c r="I2008" i="3"/>
  <c r="J2008" i="3" s="1"/>
  <c r="I2009" i="3"/>
  <c r="J2009" i="3" s="1"/>
  <c r="I2010" i="3"/>
  <c r="J2010" i="3" s="1"/>
  <c r="I2011" i="3"/>
  <c r="J2011" i="3" s="1"/>
  <c r="I2012" i="3"/>
  <c r="J2012" i="3" s="1"/>
  <c r="I2013" i="3"/>
  <c r="J2013" i="3" s="1"/>
  <c r="I2014" i="3"/>
  <c r="J2014" i="3" s="1"/>
  <c r="I2015" i="3"/>
  <c r="J2015" i="3" s="1"/>
  <c r="I2016" i="3"/>
  <c r="J2016" i="3" s="1"/>
  <c r="I2017" i="3"/>
  <c r="J2017" i="3" s="1"/>
  <c r="I2018" i="3"/>
  <c r="J2018" i="3" s="1"/>
  <c r="I2019" i="3"/>
  <c r="J2019" i="3" s="1"/>
  <c r="I2020" i="3"/>
  <c r="J2020" i="3" s="1"/>
  <c r="I2021" i="3"/>
  <c r="J2021" i="3" s="1"/>
  <c r="I2022" i="3"/>
  <c r="J2022" i="3" s="1"/>
  <c r="I2023" i="3"/>
  <c r="J2023" i="3" s="1"/>
  <c r="I2024" i="3"/>
  <c r="J2024" i="3" s="1"/>
  <c r="I2025" i="3"/>
  <c r="J2025" i="3" s="1"/>
  <c r="I2026" i="3"/>
  <c r="J2026" i="3" s="1"/>
  <c r="I2027" i="3"/>
  <c r="J2027" i="3" s="1"/>
  <c r="I2028" i="3"/>
  <c r="J2028" i="3" s="1"/>
  <c r="I2029" i="3"/>
  <c r="J2029" i="3" s="1"/>
  <c r="I2030" i="3"/>
  <c r="J2030" i="3" s="1"/>
  <c r="I2031" i="3"/>
  <c r="J2031" i="3" s="1"/>
  <c r="I2032" i="3"/>
  <c r="J2032" i="3" s="1"/>
  <c r="I2033" i="3"/>
  <c r="J2033" i="3" s="1"/>
  <c r="I2034" i="3"/>
  <c r="J2034" i="3" s="1"/>
  <c r="I2035" i="3"/>
  <c r="J2035" i="3" s="1"/>
  <c r="I2036" i="3"/>
  <c r="J2036" i="3" s="1"/>
  <c r="I2037" i="3"/>
  <c r="J2037" i="3" s="1"/>
  <c r="I2038" i="3"/>
  <c r="J2038" i="3" s="1"/>
  <c r="I2039" i="3"/>
  <c r="J2039" i="3" s="1"/>
  <c r="I2040" i="3"/>
  <c r="J2040" i="3" s="1"/>
  <c r="I2041" i="3"/>
  <c r="J2041" i="3" s="1"/>
  <c r="I2042" i="3"/>
  <c r="J2042" i="3" s="1"/>
  <c r="I2043" i="3"/>
  <c r="J2043" i="3" s="1"/>
  <c r="I2044" i="3"/>
  <c r="J2044" i="3" s="1"/>
  <c r="I2045" i="3"/>
  <c r="J2045" i="3" s="1"/>
  <c r="I2046" i="3"/>
  <c r="J2046" i="3" s="1"/>
  <c r="I2047" i="3"/>
  <c r="J2047" i="3" s="1"/>
  <c r="I2048" i="3"/>
  <c r="J2048" i="3" s="1"/>
  <c r="I2049" i="3"/>
  <c r="J2049" i="3" s="1"/>
  <c r="I2050" i="3"/>
  <c r="J2050" i="3" s="1"/>
  <c r="I2051" i="3"/>
  <c r="J2051" i="3" s="1"/>
  <c r="I2052" i="3"/>
  <c r="J2052" i="3" s="1"/>
  <c r="I2053" i="3"/>
  <c r="J2053" i="3" s="1"/>
  <c r="I2054" i="3"/>
  <c r="J2054" i="3" s="1"/>
  <c r="I2055" i="3"/>
  <c r="J2055" i="3" s="1"/>
  <c r="I2056" i="3"/>
  <c r="J2056" i="3" s="1"/>
  <c r="I2057" i="3"/>
  <c r="J2057" i="3" s="1"/>
  <c r="I2058" i="3"/>
  <c r="J2058" i="3" s="1"/>
  <c r="I2059" i="3"/>
  <c r="J2059" i="3" s="1"/>
  <c r="I2060" i="3"/>
  <c r="J2060" i="3" s="1"/>
  <c r="I2061" i="3"/>
  <c r="J2061" i="3" s="1"/>
  <c r="I2062" i="3"/>
  <c r="J2062" i="3" s="1"/>
  <c r="I2063" i="3"/>
  <c r="J2063" i="3" s="1"/>
  <c r="I2064" i="3"/>
  <c r="J2064" i="3" s="1"/>
  <c r="I2065" i="3"/>
  <c r="J2065" i="3" s="1"/>
  <c r="I2066" i="3"/>
  <c r="J2066" i="3" s="1"/>
  <c r="I2067" i="3"/>
  <c r="J2067" i="3" s="1"/>
  <c r="I2068" i="3"/>
  <c r="J2068" i="3" s="1"/>
  <c r="I2069" i="3"/>
  <c r="J2069" i="3" s="1"/>
  <c r="I2070" i="3"/>
  <c r="J2070" i="3" s="1"/>
  <c r="I2071" i="3"/>
  <c r="J2071" i="3" s="1"/>
  <c r="I2072" i="3"/>
  <c r="J2072" i="3" s="1"/>
  <c r="I2073" i="3"/>
  <c r="J2073" i="3" s="1"/>
  <c r="I2074" i="3"/>
  <c r="J2074" i="3" s="1"/>
  <c r="I2075" i="3"/>
  <c r="J2075" i="3" s="1"/>
  <c r="I2076" i="3"/>
  <c r="J2076" i="3" s="1"/>
  <c r="I2077" i="3"/>
  <c r="J2077" i="3" s="1"/>
  <c r="I2078" i="3"/>
  <c r="J2078" i="3" s="1"/>
  <c r="I2079" i="3"/>
  <c r="J2079" i="3" s="1"/>
  <c r="I2080" i="3"/>
  <c r="J2080" i="3" s="1"/>
  <c r="I2081" i="3"/>
  <c r="J2081" i="3" s="1"/>
  <c r="I2082" i="3"/>
  <c r="J2082" i="3" s="1"/>
  <c r="I2083" i="3"/>
  <c r="J2083" i="3" s="1"/>
  <c r="I2084" i="3"/>
  <c r="J2084" i="3" s="1"/>
  <c r="I2085" i="3"/>
  <c r="J2085" i="3" s="1"/>
  <c r="I2086" i="3"/>
  <c r="J2086" i="3" s="1"/>
  <c r="I2087" i="3"/>
  <c r="J2087" i="3" s="1"/>
  <c r="I2088" i="3"/>
  <c r="J2088" i="3" s="1"/>
  <c r="I2089" i="3"/>
  <c r="J2089" i="3" s="1"/>
  <c r="I2090" i="3"/>
  <c r="J2090" i="3" s="1"/>
  <c r="I2091" i="3"/>
  <c r="J2091" i="3" s="1"/>
  <c r="I2092" i="3"/>
  <c r="J2092" i="3" s="1"/>
  <c r="I2093" i="3"/>
  <c r="J2093" i="3" s="1"/>
  <c r="I2094" i="3"/>
  <c r="J2094" i="3" s="1"/>
  <c r="I2095" i="3"/>
  <c r="J2095" i="3" s="1"/>
  <c r="I2096" i="3"/>
  <c r="J2096" i="3" s="1"/>
  <c r="I2097" i="3"/>
  <c r="J2097" i="3" s="1"/>
  <c r="I2098" i="3"/>
  <c r="J2098" i="3" s="1"/>
  <c r="I2099" i="3"/>
  <c r="J2099" i="3" s="1"/>
  <c r="I2100" i="3"/>
  <c r="J2100" i="3" s="1"/>
  <c r="I2101" i="3"/>
  <c r="J2101" i="3" s="1"/>
  <c r="I2102" i="3"/>
  <c r="J2102" i="3" s="1"/>
  <c r="I2103" i="3"/>
  <c r="J2103" i="3" s="1"/>
  <c r="I2104" i="3"/>
  <c r="J2104" i="3" s="1"/>
  <c r="I2105" i="3"/>
  <c r="J2105" i="3" s="1"/>
  <c r="I2106" i="3"/>
  <c r="J2106" i="3" s="1"/>
  <c r="I2107" i="3"/>
  <c r="J2107" i="3" s="1"/>
  <c r="I2108" i="3"/>
  <c r="J2108" i="3" s="1"/>
  <c r="I2109" i="3"/>
  <c r="J2109" i="3" s="1"/>
  <c r="I2110" i="3"/>
  <c r="J2110" i="3" s="1"/>
  <c r="I2111" i="3"/>
  <c r="J2111" i="3" s="1"/>
  <c r="I2112" i="3"/>
  <c r="J2112" i="3" s="1"/>
  <c r="I2113" i="3"/>
  <c r="J2113" i="3" s="1"/>
  <c r="I2114" i="3"/>
  <c r="J2114" i="3" s="1"/>
  <c r="I2115" i="3"/>
  <c r="J2115" i="3" s="1"/>
  <c r="I2116" i="3"/>
  <c r="J2116" i="3" s="1"/>
  <c r="I2117" i="3"/>
  <c r="J2117" i="3" s="1"/>
  <c r="I2118" i="3"/>
  <c r="J2118" i="3" s="1"/>
  <c r="I2119" i="3"/>
  <c r="J2119" i="3" s="1"/>
  <c r="I2120" i="3"/>
  <c r="J2120" i="3" s="1"/>
  <c r="I2121" i="3"/>
  <c r="J2121" i="3" s="1"/>
  <c r="I2122" i="3"/>
  <c r="J2122" i="3" s="1"/>
  <c r="I2123" i="3"/>
  <c r="J2123" i="3" s="1"/>
  <c r="I2124" i="3"/>
  <c r="J2124" i="3" s="1"/>
  <c r="I2125" i="3"/>
  <c r="J2125" i="3" s="1"/>
  <c r="I2126" i="3"/>
  <c r="J2126" i="3" s="1"/>
  <c r="I2127" i="3"/>
  <c r="J2127" i="3" s="1"/>
  <c r="I2128" i="3"/>
  <c r="J2128" i="3" s="1"/>
  <c r="I2129" i="3"/>
  <c r="J2129" i="3" s="1"/>
  <c r="I2130" i="3"/>
  <c r="J2130" i="3" s="1"/>
  <c r="I2131" i="3"/>
  <c r="J2131" i="3" s="1"/>
  <c r="I2132" i="3"/>
  <c r="J2132" i="3" s="1"/>
  <c r="I2133" i="3"/>
  <c r="J2133" i="3" s="1"/>
  <c r="I2134" i="3"/>
  <c r="J2134" i="3" s="1"/>
  <c r="I2135" i="3"/>
  <c r="J2135" i="3" s="1"/>
  <c r="I2136" i="3"/>
  <c r="J2136" i="3" s="1"/>
  <c r="I2137" i="3"/>
  <c r="J2137" i="3" s="1"/>
  <c r="I2138" i="3"/>
  <c r="J2138" i="3" s="1"/>
  <c r="I2139" i="3"/>
  <c r="J2139" i="3" s="1"/>
  <c r="I2140" i="3"/>
  <c r="J2140" i="3" s="1"/>
  <c r="I2141" i="3"/>
  <c r="J2141" i="3" s="1"/>
  <c r="I2142" i="3"/>
  <c r="J2142" i="3" s="1"/>
  <c r="I2143" i="3"/>
  <c r="J2143" i="3" s="1"/>
  <c r="I2144" i="3"/>
  <c r="J2144" i="3" s="1"/>
  <c r="I2145" i="3"/>
  <c r="J2145" i="3" s="1"/>
  <c r="I2146" i="3"/>
  <c r="J2146" i="3" s="1"/>
  <c r="I2147" i="3"/>
  <c r="J2147" i="3" s="1"/>
  <c r="I2148" i="3"/>
  <c r="J2148" i="3" s="1"/>
  <c r="I2149" i="3"/>
  <c r="J2149" i="3" s="1"/>
  <c r="I2150" i="3"/>
  <c r="J2150" i="3" s="1"/>
  <c r="I2151" i="3"/>
  <c r="J2151" i="3" s="1"/>
  <c r="I2152" i="3"/>
  <c r="J2152" i="3" s="1"/>
  <c r="I2153" i="3"/>
  <c r="J2153" i="3" s="1"/>
  <c r="I2154" i="3"/>
  <c r="J2154" i="3" s="1"/>
  <c r="I2155" i="3"/>
  <c r="J2155" i="3" s="1"/>
  <c r="I2156" i="3"/>
  <c r="J2156" i="3" s="1"/>
  <c r="I2157" i="3"/>
  <c r="J2157" i="3" s="1"/>
  <c r="I2158" i="3"/>
  <c r="J2158" i="3" s="1"/>
  <c r="I2159" i="3"/>
  <c r="J2159" i="3" s="1"/>
  <c r="I2160" i="3"/>
  <c r="J2160" i="3" s="1"/>
  <c r="I2161" i="3"/>
  <c r="J2161" i="3" s="1"/>
  <c r="I2162" i="3"/>
  <c r="J2162" i="3" s="1"/>
  <c r="I2163" i="3"/>
  <c r="J2163" i="3" s="1"/>
  <c r="I2164" i="3"/>
  <c r="J2164" i="3" s="1"/>
  <c r="I2165" i="3"/>
  <c r="J2165" i="3" s="1"/>
  <c r="I2166" i="3"/>
  <c r="J2166" i="3" s="1"/>
  <c r="I2167" i="3"/>
  <c r="J2167" i="3" s="1"/>
  <c r="I2168" i="3"/>
  <c r="J2168" i="3" s="1"/>
  <c r="I2169" i="3"/>
  <c r="J2169" i="3" s="1"/>
  <c r="I2170" i="3"/>
  <c r="J2170" i="3" s="1"/>
  <c r="I2171" i="3"/>
  <c r="J2171" i="3" s="1"/>
  <c r="I2172" i="3"/>
  <c r="J2172" i="3" s="1"/>
  <c r="I2173" i="3"/>
  <c r="J2173" i="3" s="1"/>
  <c r="I2174" i="3"/>
  <c r="J2174" i="3" s="1"/>
  <c r="I2175" i="3"/>
  <c r="J2175" i="3" s="1"/>
  <c r="I2176" i="3"/>
  <c r="J2176" i="3" s="1"/>
  <c r="I2177" i="3"/>
  <c r="J2177" i="3" s="1"/>
  <c r="I2178" i="3"/>
  <c r="J2178" i="3" s="1"/>
  <c r="I2179" i="3"/>
  <c r="J2179" i="3" s="1"/>
  <c r="I2180" i="3"/>
  <c r="J2180" i="3" s="1"/>
  <c r="I2181" i="3"/>
  <c r="J2181" i="3" s="1"/>
  <c r="I2182" i="3"/>
  <c r="J2182" i="3" s="1"/>
  <c r="I2183" i="3"/>
  <c r="J2183" i="3" s="1"/>
  <c r="I2184" i="3"/>
  <c r="J2184" i="3" s="1"/>
  <c r="I2185" i="3"/>
  <c r="J2185" i="3" s="1"/>
  <c r="I2186" i="3"/>
  <c r="J2186" i="3" s="1"/>
  <c r="I2187" i="3"/>
  <c r="J2187" i="3" s="1"/>
  <c r="I2188" i="3"/>
  <c r="J2188" i="3" s="1"/>
  <c r="I2189" i="3"/>
  <c r="J2189" i="3" s="1"/>
  <c r="I2190" i="3"/>
  <c r="J2190" i="3" s="1"/>
  <c r="I2191" i="3"/>
  <c r="J2191" i="3" s="1"/>
  <c r="I2192" i="3"/>
  <c r="J2192" i="3" s="1"/>
  <c r="I2193" i="3"/>
  <c r="J2193" i="3" s="1"/>
  <c r="I2194" i="3"/>
  <c r="J2194" i="3" s="1"/>
  <c r="I2195" i="3"/>
  <c r="J2195" i="3" s="1"/>
  <c r="I2196" i="3"/>
  <c r="J2196" i="3" s="1"/>
  <c r="I2197" i="3"/>
  <c r="J2197" i="3" s="1"/>
  <c r="I2198" i="3"/>
  <c r="J2198" i="3" s="1"/>
  <c r="I2199" i="3"/>
  <c r="J2199" i="3" s="1"/>
  <c r="I2200" i="3"/>
  <c r="J2200" i="3" s="1"/>
  <c r="I2201" i="3"/>
  <c r="J2201" i="3" s="1"/>
  <c r="I2202" i="3"/>
  <c r="J2202" i="3" s="1"/>
  <c r="I2203" i="3"/>
  <c r="J2203" i="3" s="1"/>
  <c r="I2204" i="3"/>
  <c r="J2204" i="3" s="1"/>
  <c r="I2205" i="3"/>
  <c r="J2205" i="3" s="1"/>
  <c r="I2206" i="3"/>
  <c r="J2206" i="3" s="1"/>
  <c r="I2207" i="3"/>
  <c r="J2207" i="3" s="1"/>
  <c r="I2208" i="3"/>
  <c r="J2208" i="3" s="1"/>
  <c r="I2209" i="3"/>
  <c r="J2209" i="3" s="1"/>
  <c r="I2210" i="3"/>
  <c r="J2210" i="3" s="1"/>
  <c r="I2211" i="3"/>
  <c r="J2211" i="3" s="1"/>
  <c r="I2212" i="3"/>
  <c r="J2212" i="3" s="1"/>
  <c r="I2213" i="3"/>
  <c r="J2213" i="3" s="1"/>
  <c r="I2214" i="3"/>
  <c r="J2214" i="3" s="1"/>
  <c r="I2215" i="3"/>
  <c r="J2215" i="3" s="1"/>
  <c r="I2216" i="3"/>
  <c r="J2216" i="3" s="1"/>
  <c r="I2217" i="3"/>
  <c r="J2217" i="3" s="1"/>
  <c r="I2218" i="3"/>
  <c r="J2218" i="3" s="1"/>
  <c r="I2219" i="3"/>
  <c r="J2219" i="3" s="1"/>
  <c r="I2220" i="3"/>
  <c r="J2220" i="3" s="1"/>
  <c r="I2221" i="3"/>
  <c r="J2221" i="3" s="1"/>
  <c r="I2222" i="3"/>
  <c r="J2222" i="3" s="1"/>
  <c r="I2223" i="3"/>
  <c r="J2223" i="3" s="1"/>
  <c r="I2224" i="3"/>
  <c r="J2224" i="3" s="1"/>
  <c r="I2225" i="3"/>
  <c r="J2225" i="3" s="1"/>
  <c r="I2226" i="3"/>
  <c r="J2226" i="3" s="1"/>
  <c r="I2227" i="3"/>
  <c r="J2227" i="3" s="1"/>
  <c r="I2228" i="3"/>
  <c r="J2228" i="3" s="1"/>
  <c r="I2229" i="3"/>
  <c r="J2229" i="3" s="1"/>
  <c r="I2230" i="3"/>
  <c r="J2230" i="3" s="1"/>
  <c r="I2231" i="3"/>
  <c r="J2231" i="3" s="1"/>
  <c r="I2232" i="3"/>
  <c r="J2232" i="3" s="1"/>
  <c r="I2233" i="3"/>
  <c r="J2233" i="3" s="1"/>
  <c r="I2234" i="3"/>
  <c r="J2234" i="3" s="1"/>
  <c r="I2235" i="3"/>
  <c r="J2235" i="3" s="1"/>
  <c r="I2236" i="3"/>
  <c r="J2236" i="3" s="1"/>
  <c r="I2237" i="3"/>
  <c r="J2237" i="3" s="1"/>
  <c r="I2238" i="3"/>
  <c r="J2238" i="3" s="1"/>
  <c r="I2239" i="3"/>
  <c r="J2239" i="3" s="1"/>
  <c r="I2240" i="3"/>
  <c r="J2240" i="3" s="1"/>
  <c r="I2241" i="3"/>
  <c r="J2241" i="3" s="1"/>
  <c r="I2242" i="3"/>
  <c r="J2242" i="3" s="1"/>
  <c r="I2243" i="3"/>
  <c r="J2243" i="3" s="1"/>
  <c r="I2244" i="3"/>
  <c r="J2244" i="3" s="1"/>
  <c r="I2245" i="3"/>
  <c r="J2245" i="3" s="1"/>
  <c r="I2246" i="3"/>
  <c r="J2246" i="3" s="1"/>
  <c r="I2247" i="3"/>
  <c r="J2247" i="3" s="1"/>
  <c r="I2248" i="3"/>
  <c r="J2248" i="3" s="1"/>
  <c r="I2249" i="3"/>
  <c r="J2249" i="3" s="1"/>
  <c r="I2250" i="3"/>
  <c r="J2250" i="3" s="1"/>
  <c r="I2251" i="3"/>
  <c r="J2251" i="3" s="1"/>
  <c r="I2252" i="3"/>
  <c r="J2252" i="3" s="1"/>
  <c r="I2253" i="3"/>
  <c r="J2253" i="3" s="1"/>
  <c r="I2254" i="3"/>
  <c r="J2254" i="3" s="1"/>
  <c r="I2255" i="3"/>
  <c r="J2255" i="3" s="1"/>
  <c r="I2256" i="3"/>
  <c r="J2256" i="3" s="1"/>
  <c r="I2257" i="3"/>
  <c r="J2257" i="3" s="1"/>
  <c r="I2258" i="3"/>
  <c r="J2258" i="3" s="1"/>
  <c r="I2259" i="3"/>
  <c r="J2259" i="3" s="1"/>
  <c r="I2260" i="3"/>
  <c r="J2260" i="3" s="1"/>
  <c r="I2261" i="3"/>
  <c r="J2261" i="3" s="1"/>
  <c r="I2262" i="3"/>
  <c r="J2262" i="3" s="1"/>
  <c r="I2263" i="3"/>
  <c r="J2263" i="3" s="1"/>
  <c r="I2264" i="3"/>
  <c r="J2264" i="3" s="1"/>
  <c r="I2265" i="3"/>
  <c r="J2265" i="3" s="1"/>
  <c r="I2266" i="3"/>
  <c r="J2266" i="3" s="1"/>
  <c r="I2267" i="3"/>
  <c r="J2267" i="3" s="1"/>
  <c r="I2268" i="3"/>
  <c r="J2268" i="3" s="1"/>
  <c r="I2269" i="3"/>
  <c r="J2269" i="3" s="1"/>
  <c r="I2270" i="3"/>
  <c r="J2270" i="3" s="1"/>
  <c r="I2271" i="3"/>
  <c r="J2271" i="3" s="1"/>
  <c r="I2272" i="3"/>
  <c r="J2272" i="3" s="1"/>
  <c r="I2273" i="3"/>
  <c r="J2273" i="3" s="1"/>
  <c r="I2274" i="3"/>
  <c r="J2274" i="3" s="1"/>
  <c r="I2275" i="3"/>
  <c r="J2275" i="3" s="1"/>
  <c r="I2276" i="3"/>
  <c r="J2276" i="3" s="1"/>
  <c r="I2277" i="3"/>
  <c r="J2277" i="3" s="1"/>
  <c r="I2278" i="3"/>
  <c r="J2278" i="3" s="1"/>
  <c r="I2279" i="3"/>
  <c r="J2279" i="3" s="1"/>
  <c r="I2280" i="3"/>
  <c r="J2280" i="3" s="1"/>
  <c r="I2281" i="3"/>
  <c r="J2281" i="3" s="1"/>
  <c r="I2282" i="3"/>
  <c r="J2282" i="3" s="1"/>
  <c r="I2283" i="3"/>
  <c r="J2283" i="3" s="1"/>
  <c r="I2284" i="3"/>
  <c r="J2284" i="3" s="1"/>
  <c r="I2285" i="3"/>
  <c r="J2285" i="3" s="1"/>
  <c r="I2286" i="3"/>
  <c r="J2286" i="3" s="1"/>
  <c r="I2287" i="3"/>
  <c r="J2287" i="3" s="1"/>
  <c r="I2288" i="3"/>
  <c r="J2288" i="3" s="1"/>
  <c r="I2289" i="3"/>
  <c r="J2289" i="3" s="1"/>
  <c r="I2290" i="3"/>
  <c r="J2290" i="3" s="1"/>
  <c r="I2291" i="3"/>
  <c r="J2291" i="3" s="1"/>
  <c r="I2292" i="3"/>
  <c r="J2292" i="3" s="1"/>
  <c r="I2293" i="3"/>
  <c r="J2293" i="3" s="1"/>
  <c r="I2294" i="3"/>
  <c r="J2294" i="3" s="1"/>
  <c r="I2295" i="3"/>
  <c r="J2295" i="3" s="1"/>
  <c r="I2296" i="3"/>
  <c r="J2296" i="3" s="1"/>
  <c r="I2297" i="3"/>
  <c r="J2297" i="3" s="1"/>
  <c r="I2298" i="3"/>
  <c r="J2298" i="3" s="1"/>
  <c r="I2299" i="3"/>
  <c r="J2299" i="3" s="1"/>
  <c r="I2300" i="3"/>
  <c r="J2300" i="3" s="1"/>
  <c r="I2301" i="3"/>
  <c r="J2301" i="3" s="1"/>
  <c r="I2302" i="3"/>
  <c r="J2302" i="3" s="1"/>
  <c r="I2303" i="3"/>
  <c r="J2303" i="3" s="1"/>
  <c r="I2304" i="3"/>
  <c r="J2304" i="3" s="1"/>
  <c r="I2305" i="3"/>
  <c r="J2305" i="3" s="1"/>
  <c r="I2306" i="3"/>
  <c r="J2306" i="3" s="1"/>
  <c r="I2307" i="3"/>
  <c r="J2307" i="3" s="1"/>
  <c r="I2308" i="3"/>
  <c r="J2308" i="3" s="1"/>
  <c r="I2309" i="3"/>
  <c r="J2309" i="3" s="1"/>
  <c r="I2310" i="3"/>
  <c r="J2310" i="3" s="1"/>
  <c r="I2311" i="3"/>
  <c r="J2311" i="3" s="1"/>
  <c r="I2312" i="3"/>
  <c r="J2312" i="3" s="1"/>
  <c r="I2313" i="3"/>
  <c r="J2313" i="3" s="1"/>
  <c r="I2314" i="3"/>
  <c r="J2314" i="3" s="1"/>
  <c r="I2315" i="3"/>
  <c r="J2315" i="3" s="1"/>
  <c r="I2316" i="3"/>
  <c r="J2316" i="3" s="1"/>
  <c r="I2317" i="3"/>
  <c r="J2317" i="3" s="1"/>
  <c r="I2318" i="3"/>
  <c r="J2318" i="3" s="1"/>
  <c r="I2319" i="3"/>
  <c r="J2319" i="3" s="1"/>
  <c r="I2320" i="3"/>
  <c r="J2320" i="3" s="1"/>
  <c r="I2321" i="3"/>
  <c r="J2321" i="3" s="1"/>
  <c r="I2322" i="3"/>
  <c r="J2322" i="3" s="1"/>
  <c r="I2323" i="3"/>
  <c r="J2323" i="3" s="1"/>
  <c r="I2324" i="3"/>
  <c r="J2324" i="3" s="1"/>
  <c r="I2325" i="3"/>
  <c r="J2325" i="3" s="1"/>
  <c r="I2326" i="3"/>
  <c r="J2326" i="3" s="1"/>
  <c r="I2327" i="3"/>
  <c r="J2327" i="3" s="1"/>
  <c r="I2328" i="3"/>
  <c r="J2328" i="3" s="1"/>
  <c r="I2329" i="3"/>
  <c r="J2329" i="3" s="1"/>
  <c r="I2330" i="3"/>
  <c r="J2330" i="3" s="1"/>
  <c r="I2331" i="3"/>
  <c r="J2331" i="3" s="1"/>
  <c r="I2332" i="3"/>
  <c r="J2332" i="3" s="1"/>
  <c r="I2333" i="3"/>
  <c r="J2333" i="3" s="1"/>
  <c r="I2334" i="3"/>
  <c r="J2334" i="3" s="1"/>
  <c r="I2335" i="3"/>
  <c r="J2335" i="3" s="1"/>
  <c r="I2336" i="3"/>
  <c r="J2336" i="3" s="1"/>
  <c r="I2337" i="3"/>
  <c r="J2337" i="3" s="1"/>
  <c r="I2338" i="3"/>
  <c r="J2338" i="3" s="1"/>
  <c r="I2339" i="3"/>
  <c r="J2339" i="3" s="1"/>
  <c r="I2340" i="3"/>
  <c r="J2340" i="3" s="1"/>
  <c r="I2341" i="3"/>
  <c r="J2341" i="3" s="1"/>
  <c r="I2342" i="3"/>
  <c r="J2342" i="3" s="1"/>
  <c r="I2343" i="3"/>
  <c r="J2343" i="3" s="1"/>
  <c r="I2344" i="3"/>
  <c r="J2344" i="3" s="1"/>
  <c r="I2345" i="3"/>
  <c r="J2345" i="3" s="1"/>
  <c r="I2346" i="3"/>
  <c r="J2346" i="3" s="1"/>
  <c r="I2347" i="3"/>
  <c r="J2347" i="3" s="1"/>
  <c r="I2348" i="3"/>
  <c r="J2348" i="3" s="1"/>
  <c r="I2349" i="3"/>
  <c r="J2349" i="3" s="1"/>
  <c r="I2350" i="3"/>
  <c r="J2350" i="3" s="1"/>
  <c r="I2351" i="3"/>
  <c r="J2351" i="3" s="1"/>
  <c r="I2352" i="3"/>
  <c r="J2352" i="3" s="1"/>
  <c r="I2353" i="3"/>
  <c r="J2353" i="3" s="1"/>
  <c r="I2354" i="3"/>
  <c r="J2354" i="3" s="1"/>
  <c r="I2355" i="3"/>
  <c r="J2355" i="3" s="1"/>
  <c r="I2356" i="3"/>
  <c r="J2356" i="3" s="1"/>
  <c r="I2357" i="3"/>
  <c r="J2357" i="3" s="1"/>
  <c r="I2358" i="3"/>
  <c r="J2358" i="3" s="1"/>
  <c r="I2359" i="3"/>
  <c r="J2359" i="3" s="1"/>
  <c r="I2360" i="3"/>
  <c r="J2360" i="3" s="1"/>
  <c r="I2361" i="3"/>
  <c r="J2361" i="3" s="1"/>
  <c r="I2362" i="3"/>
  <c r="J2362" i="3" s="1"/>
  <c r="I2363" i="3"/>
  <c r="J2363" i="3" s="1"/>
  <c r="I2364" i="3"/>
  <c r="J2364" i="3" s="1"/>
  <c r="I2365" i="3"/>
  <c r="J2365" i="3" s="1"/>
  <c r="I2366" i="3"/>
  <c r="J2366" i="3" s="1"/>
  <c r="I2367" i="3"/>
  <c r="J2367" i="3" s="1"/>
  <c r="I2368" i="3"/>
  <c r="J2368" i="3" s="1"/>
  <c r="I2369" i="3"/>
  <c r="J2369" i="3" s="1"/>
  <c r="I2370" i="3"/>
  <c r="J2370" i="3" s="1"/>
  <c r="I2371" i="3"/>
  <c r="J2371" i="3" s="1"/>
  <c r="I2372" i="3"/>
  <c r="J2372" i="3" s="1"/>
  <c r="I2373" i="3"/>
  <c r="J2373" i="3" s="1"/>
  <c r="I2374" i="3"/>
  <c r="J2374" i="3" s="1"/>
  <c r="I2375" i="3"/>
  <c r="J2375" i="3" s="1"/>
  <c r="I2376" i="3"/>
  <c r="J2376" i="3" s="1"/>
  <c r="I2377" i="3"/>
  <c r="J2377" i="3" s="1"/>
  <c r="I2378" i="3"/>
  <c r="J2378" i="3" s="1"/>
  <c r="I2379" i="3"/>
  <c r="J2379" i="3" s="1"/>
  <c r="I2380" i="3"/>
  <c r="J2380" i="3" s="1"/>
  <c r="I2381" i="3"/>
  <c r="J2381" i="3" s="1"/>
  <c r="I2382" i="3"/>
  <c r="J2382" i="3" s="1"/>
  <c r="I2383" i="3"/>
  <c r="J2383" i="3" s="1"/>
  <c r="I2384" i="3"/>
  <c r="J2384" i="3" s="1"/>
  <c r="I2385" i="3"/>
  <c r="J2385" i="3" s="1"/>
  <c r="I2386" i="3"/>
  <c r="J2386" i="3" s="1"/>
  <c r="I2387" i="3"/>
  <c r="J2387" i="3" s="1"/>
  <c r="I2388" i="3"/>
  <c r="J2388" i="3" s="1"/>
  <c r="I2389" i="3"/>
  <c r="J2389" i="3" s="1"/>
  <c r="I2390" i="3"/>
  <c r="J2390" i="3" s="1"/>
  <c r="I2391" i="3"/>
  <c r="J2391" i="3" s="1"/>
  <c r="I2392" i="3"/>
  <c r="J2392" i="3" s="1"/>
  <c r="I2393" i="3"/>
  <c r="J2393" i="3" s="1"/>
  <c r="I2394" i="3"/>
  <c r="J2394" i="3" s="1"/>
  <c r="I2395" i="3"/>
  <c r="J2395" i="3" s="1"/>
  <c r="I2396" i="3"/>
  <c r="J2396" i="3" s="1"/>
  <c r="I2397" i="3"/>
  <c r="J2397" i="3" s="1"/>
  <c r="I2398" i="3"/>
  <c r="J2398" i="3" s="1"/>
  <c r="I2399" i="3"/>
  <c r="J2399" i="3" s="1"/>
  <c r="I2400" i="3"/>
  <c r="J2400" i="3" s="1"/>
  <c r="I2401" i="3"/>
  <c r="J2401" i="3" s="1"/>
  <c r="I2402" i="3"/>
  <c r="J2402" i="3" s="1"/>
  <c r="I2403" i="3"/>
  <c r="J2403" i="3" s="1"/>
  <c r="I2404" i="3"/>
  <c r="J2404" i="3" s="1"/>
  <c r="I2405" i="3"/>
  <c r="J2405" i="3" s="1"/>
  <c r="I2406" i="3"/>
  <c r="J2406" i="3" s="1"/>
  <c r="I2407" i="3"/>
  <c r="J2407" i="3" s="1"/>
  <c r="I2408" i="3"/>
  <c r="J2408" i="3" s="1"/>
  <c r="I2409" i="3"/>
  <c r="J2409" i="3" s="1"/>
  <c r="I2410" i="3"/>
  <c r="J2410" i="3" s="1"/>
  <c r="I2411" i="3"/>
  <c r="J2411" i="3" s="1"/>
  <c r="I2412" i="3"/>
  <c r="J2412" i="3" s="1"/>
  <c r="I2413" i="3"/>
  <c r="J2413" i="3" s="1"/>
  <c r="I2414" i="3"/>
  <c r="J2414" i="3" s="1"/>
  <c r="I2415" i="3"/>
  <c r="J2415" i="3" s="1"/>
  <c r="I2416" i="3"/>
  <c r="J2416" i="3" s="1"/>
  <c r="I2417" i="3"/>
  <c r="J2417" i="3" s="1"/>
  <c r="I2418" i="3"/>
  <c r="J2418" i="3" s="1"/>
  <c r="I2419" i="3"/>
  <c r="J2419" i="3" s="1"/>
  <c r="I2420" i="3"/>
  <c r="J2420" i="3" s="1"/>
  <c r="I2421" i="3"/>
  <c r="J2421" i="3" s="1"/>
  <c r="I2422" i="3"/>
  <c r="J2422" i="3" s="1"/>
  <c r="I2423" i="3"/>
  <c r="J2423" i="3" s="1"/>
  <c r="I2424" i="3"/>
  <c r="J2424" i="3" s="1"/>
  <c r="I2425" i="3"/>
  <c r="J2425" i="3" s="1"/>
  <c r="I2426" i="3"/>
  <c r="J2426" i="3" s="1"/>
  <c r="I2427" i="3"/>
  <c r="J2427" i="3" s="1"/>
  <c r="I2428" i="3"/>
  <c r="J2428" i="3" s="1"/>
  <c r="I2429" i="3"/>
  <c r="J2429" i="3" s="1"/>
  <c r="I2430" i="3"/>
  <c r="J2430" i="3" s="1"/>
  <c r="I2431" i="3"/>
  <c r="J2431" i="3" s="1"/>
  <c r="I2432" i="3"/>
  <c r="J2432" i="3" s="1"/>
  <c r="I2433" i="3"/>
  <c r="J2433" i="3" s="1"/>
  <c r="I2434" i="3"/>
  <c r="J2434" i="3" s="1"/>
  <c r="I2435" i="3"/>
  <c r="J2435" i="3" s="1"/>
  <c r="I2436" i="3"/>
  <c r="J2436" i="3" s="1"/>
  <c r="I2437" i="3"/>
  <c r="J2437" i="3" s="1"/>
  <c r="I2438" i="3"/>
  <c r="J2438" i="3" s="1"/>
  <c r="I2439" i="3"/>
  <c r="J2439" i="3" s="1"/>
  <c r="I2440" i="3"/>
  <c r="J2440" i="3" s="1"/>
  <c r="I2441" i="3"/>
  <c r="J2441" i="3" s="1"/>
  <c r="I2442" i="3"/>
  <c r="J2442" i="3" s="1"/>
  <c r="I2443" i="3"/>
  <c r="J2443" i="3" s="1"/>
  <c r="I2444" i="3"/>
  <c r="J2444" i="3" s="1"/>
  <c r="I2445" i="3"/>
  <c r="J2445" i="3" s="1"/>
  <c r="I2446" i="3"/>
  <c r="J2446" i="3" s="1"/>
  <c r="I2447" i="3"/>
  <c r="J2447" i="3" s="1"/>
  <c r="I2448" i="3"/>
  <c r="J2448" i="3" s="1"/>
  <c r="I2449" i="3"/>
  <c r="J2449" i="3" s="1"/>
  <c r="I2450" i="3"/>
  <c r="J2450" i="3" s="1"/>
  <c r="I2451" i="3"/>
  <c r="J2451" i="3" s="1"/>
  <c r="I2452" i="3"/>
  <c r="J2452" i="3" s="1"/>
  <c r="I2453" i="3"/>
  <c r="J2453" i="3" s="1"/>
  <c r="I2454" i="3"/>
  <c r="J2454" i="3" s="1"/>
  <c r="I2455" i="3"/>
  <c r="J2455" i="3" s="1"/>
  <c r="I2456" i="3"/>
  <c r="J2456" i="3" s="1"/>
  <c r="I2457" i="3"/>
  <c r="J2457" i="3" s="1"/>
  <c r="I2458" i="3"/>
  <c r="J2458" i="3" s="1"/>
  <c r="I2459" i="3"/>
  <c r="J2459" i="3" s="1"/>
  <c r="I2460" i="3"/>
  <c r="J2460" i="3" s="1"/>
  <c r="I2461" i="3"/>
  <c r="J2461" i="3" s="1"/>
  <c r="I2462" i="3"/>
  <c r="J2462" i="3" s="1"/>
  <c r="I2463" i="3"/>
  <c r="J2463" i="3" s="1"/>
  <c r="I2464" i="3"/>
  <c r="J2464" i="3" s="1"/>
  <c r="I2465" i="3"/>
  <c r="J2465" i="3" s="1"/>
  <c r="I2466" i="3"/>
  <c r="J2466" i="3" s="1"/>
  <c r="I2467" i="3"/>
  <c r="J2467" i="3" s="1"/>
  <c r="I2468" i="3"/>
  <c r="J2468" i="3" s="1"/>
  <c r="I2469" i="3"/>
  <c r="J2469" i="3" s="1"/>
  <c r="I2470" i="3"/>
  <c r="J2470" i="3" s="1"/>
  <c r="I2471" i="3"/>
  <c r="J2471" i="3" s="1"/>
  <c r="I2472" i="3"/>
  <c r="J2472" i="3" s="1"/>
  <c r="I2473" i="3"/>
  <c r="J2473" i="3" s="1"/>
  <c r="I2474" i="3"/>
  <c r="J2474" i="3" s="1"/>
  <c r="I2475" i="3"/>
  <c r="J2475" i="3" s="1"/>
  <c r="I2476" i="3"/>
  <c r="J2476" i="3" s="1"/>
  <c r="I2477" i="3"/>
  <c r="J2477" i="3" s="1"/>
  <c r="I2478" i="3"/>
  <c r="J2478" i="3" s="1"/>
  <c r="I2479" i="3"/>
  <c r="J2479" i="3" s="1"/>
  <c r="I2480" i="3"/>
  <c r="J2480" i="3" s="1"/>
  <c r="I2481" i="3"/>
  <c r="J2481" i="3" s="1"/>
  <c r="I2482" i="3"/>
  <c r="J2482" i="3" s="1"/>
  <c r="I2483" i="3"/>
  <c r="J2483" i="3" s="1"/>
  <c r="I2484" i="3"/>
  <c r="J2484" i="3" s="1"/>
  <c r="I2485" i="3"/>
  <c r="J2485" i="3" s="1"/>
  <c r="I2486" i="3"/>
  <c r="J2486" i="3" s="1"/>
  <c r="I2487" i="3"/>
  <c r="J2487" i="3" s="1"/>
  <c r="I2488" i="3"/>
  <c r="J2488" i="3" s="1"/>
  <c r="I2489" i="3"/>
  <c r="J2489" i="3" s="1"/>
  <c r="I2490" i="3"/>
  <c r="J2490" i="3" s="1"/>
  <c r="I2491" i="3"/>
  <c r="J2491" i="3" s="1"/>
  <c r="I2492" i="3"/>
  <c r="J2492" i="3" s="1"/>
  <c r="I2493" i="3"/>
  <c r="J2493" i="3" s="1"/>
  <c r="I2494" i="3"/>
  <c r="J2494" i="3" s="1"/>
  <c r="I2495" i="3"/>
  <c r="J2495" i="3" s="1"/>
  <c r="I2496" i="3"/>
  <c r="J2496" i="3" s="1"/>
  <c r="I2497" i="3"/>
  <c r="J2497" i="3" s="1"/>
  <c r="I2498" i="3"/>
  <c r="J2498" i="3" s="1"/>
  <c r="I2499" i="3"/>
  <c r="J2499" i="3" s="1"/>
  <c r="I2500" i="3"/>
  <c r="J2500" i="3" s="1"/>
  <c r="I2501" i="3"/>
  <c r="J2501" i="3" s="1"/>
  <c r="I2502" i="3"/>
  <c r="J2502" i="3" s="1"/>
  <c r="I2503" i="3"/>
  <c r="J2503" i="3" s="1"/>
  <c r="I2504" i="3"/>
  <c r="J2504" i="3" s="1"/>
  <c r="I2505" i="3"/>
  <c r="J2505" i="3" s="1"/>
  <c r="I2506" i="3"/>
  <c r="J2506" i="3" s="1"/>
  <c r="I2507" i="3"/>
  <c r="J2507" i="3" s="1"/>
  <c r="I2508" i="3"/>
  <c r="J2508" i="3" s="1"/>
  <c r="I2509" i="3"/>
  <c r="J2509" i="3" s="1"/>
  <c r="I2510" i="3"/>
  <c r="J2510" i="3" s="1"/>
  <c r="I2511" i="3"/>
  <c r="J2511" i="3" s="1"/>
  <c r="I2512" i="3"/>
  <c r="J2512" i="3" s="1"/>
  <c r="I2513" i="3"/>
  <c r="J2513" i="3" s="1"/>
  <c r="I2514" i="3"/>
  <c r="J2514" i="3" s="1"/>
  <c r="I2515" i="3"/>
  <c r="J2515" i="3" s="1"/>
  <c r="I2516" i="3"/>
  <c r="J2516" i="3" s="1"/>
  <c r="I2517" i="3"/>
  <c r="J2517" i="3" s="1"/>
  <c r="I2518" i="3"/>
  <c r="J2518" i="3" s="1"/>
  <c r="I2519" i="3"/>
  <c r="J2519" i="3" s="1"/>
  <c r="I2520" i="3"/>
  <c r="J2520" i="3" s="1"/>
  <c r="I2521" i="3"/>
  <c r="J2521" i="3" s="1"/>
  <c r="I2522" i="3"/>
  <c r="J2522" i="3" s="1"/>
  <c r="I2523" i="3"/>
  <c r="J2523" i="3" s="1"/>
  <c r="I2524" i="3"/>
  <c r="J2524" i="3" s="1"/>
  <c r="I2525" i="3"/>
  <c r="J2525" i="3" s="1"/>
  <c r="I2526" i="3"/>
  <c r="J2526" i="3" s="1"/>
  <c r="I2527" i="3"/>
  <c r="J2527" i="3" s="1"/>
  <c r="I2528" i="3"/>
  <c r="J2528" i="3" s="1"/>
  <c r="I2529" i="3"/>
  <c r="J2529" i="3" s="1"/>
  <c r="I2530" i="3"/>
  <c r="J2530" i="3" s="1"/>
  <c r="I2531" i="3"/>
  <c r="J2531" i="3" s="1"/>
  <c r="I2532" i="3"/>
  <c r="J2532" i="3" s="1"/>
  <c r="I2533" i="3"/>
  <c r="J2533" i="3" s="1"/>
  <c r="I2534" i="3"/>
  <c r="J2534" i="3" s="1"/>
  <c r="I2535" i="3"/>
  <c r="J2535" i="3" s="1"/>
  <c r="I2536" i="3"/>
  <c r="J2536" i="3" s="1"/>
  <c r="I2537" i="3"/>
  <c r="J2537" i="3" s="1"/>
  <c r="I2538" i="3"/>
  <c r="J2538" i="3" s="1"/>
  <c r="I2539" i="3"/>
  <c r="J2539" i="3" s="1"/>
  <c r="I2540" i="3"/>
  <c r="J2540" i="3" s="1"/>
  <c r="I2541" i="3"/>
  <c r="J2541" i="3" s="1"/>
  <c r="I2542" i="3"/>
  <c r="J2542" i="3" s="1"/>
  <c r="I2543" i="3"/>
  <c r="J2543" i="3" s="1"/>
  <c r="I2544" i="3"/>
  <c r="J2544" i="3" s="1"/>
  <c r="I2545" i="3"/>
  <c r="J2545" i="3" s="1"/>
  <c r="I2546" i="3"/>
  <c r="J2546" i="3" s="1"/>
  <c r="I2547" i="3"/>
  <c r="J2547" i="3" s="1"/>
  <c r="I2548" i="3"/>
  <c r="J2548" i="3" s="1"/>
  <c r="I2549" i="3"/>
  <c r="J2549" i="3" s="1"/>
  <c r="I2550" i="3"/>
  <c r="J2550" i="3" s="1"/>
  <c r="I2551" i="3"/>
  <c r="J2551" i="3" s="1"/>
  <c r="I2552" i="3"/>
  <c r="J2552" i="3" s="1"/>
  <c r="I2553" i="3"/>
  <c r="J2553" i="3" s="1"/>
  <c r="I2554" i="3"/>
  <c r="J2554" i="3" s="1"/>
  <c r="I2555" i="3"/>
  <c r="J2555" i="3" s="1"/>
  <c r="I2556" i="3"/>
  <c r="J2556" i="3" s="1"/>
  <c r="I2557" i="3"/>
  <c r="J2557" i="3" s="1"/>
  <c r="I2558" i="3"/>
  <c r="J2558" i="3" s="1"/>
  <c r="I2559" i="3"/>
  <c r="J2559" i="3" s="1"/>
  <c r="I2560" i="3"/>
  <c r="J2560" i="3" s="1"/>
  <c r="I2561" i="3"/>
  <c r="J2561" i="3" s="1"/>
  <c r="I2562" i="3"/>
  <c r="J2562" i="3" s="1"/>
  <c r="I2563" i="3"/>
  <c r="J2563" i="3" s="1"/>
  <c r="I2564" i="3"/>
  <c r="J2564" i="3" s="1"/>
  <c r="I2565" i="3"/>
  <c r="J2565" i="3" s="1"/>
  <c r="I2566" i="3"/>
  <c r="J2566" i="3" s="1"/>
  <c r="I2567" i="3"/>
  <c r="J2567" i="3" s="1"/>
  <c r="I2568" i="3"/>
  <c r="J2568" i="3" s="1"/>
  <c r="I2569" i="3"/>
  <c r="J2569" i="3" s="1"/>
  <c r="I2570" i="3"/>
  <c r="J2570" i="3" s="1"/>
  <c r="I2571" i="3"/>
  <c r="J2571" i="3" s="1"/>
  <c r="I2572" i="3"/>
  <c r="J2572" i="3" s="1"/>
  <c r="I2573" i="3"/>
  <c r="J2573" i="3" s="1"/>
  <c r="I2574" i="3"/>
  <c r="J2574" i="3" s="1"/>
  <c r="I2575" i="3"/>
  <c r="J2575" i="3" s="1"/>
  <c r="I2576" i="3"/>
  <c r="J2576" i="3" s="1"/>
  <c r="I2577" i="3"/>
  <c r="J2577" i="3" s="1"/>
  <c r="I2578" i="3"/>
  <c r="J2578" i="3" s="1"/>
  <c r="I2579" i="3"/>
  <c r="J2579" i="3" s="1"/>
  <c r="I2580" i="3"/>
  <c r="J2580" i="3" s="1"/>
  <c r="I2581" i="3"/>
  <c r="J2581" i="3" s="1"/>
  <c r="I2582" i="3"/>
  <c r="J2582" i="3" s="1"/>
  <c r="I2583" i="3"/>
  <c r="J2583" i="3" s="1"/>
  <c r="I2584" i="3"/>
  <c r="J2584" i="3" s="1"/>
  <c r="I2585" i="3"/>
  <c r="J2585" i="3" s="1"/>
  <c r="I2586" i="3"/>
  <c r="J2586" i="3" s="1"/>
  <c r="I2587" i="3"/>
  <c r="J2587" i="3" s="1"/>
  <c r="I2588" i="3"/>
  <c r="J2588" i="3" s="1"/>
  <c r="I2589" i="3"/>
  <c r="J2589" i="3" s="1"/>
  <c r="I2590" i="3"/>
  <c r="J2590" i="3" s="1"/>
  <c r="I2591" i="3"/>
  <c r="J2591" i="3" s="1"/>
  <c r="I2592" i="3"/>
  <c r="J2592" i="3" s="1"/>
  <c r="I2593" i="3"/>
  <c r="J2593" i="3" s="1"/>
  <c r="I2594" i="3"/>
  <c r="J2594" i="3" s="1"/>
  <c r="I2595" i="3"/>
  <c r="J2595" i="3" s="1"/>
  <c r="I2596" i="3"/>
  <c r="J2596" i="3" s="1"/>
  <c r="I2597" i="3"/>
  <c r="J2597" i="3" s="1"/>
  <c r="I2598" i="3"/>
  <c r="J2598" i="3" s="1"/>
  <c r="I2599" i="3"/>
  <c r="J2599" i="3" s="1"/>
  <c r="I2600" i="3"/>
  <c r="J2600" i="3" s="1"/>
  <c r="I2601" i="3"/>
  <c r="J2601" i="3" s="1"/>
  <c r="I2602" i="3"/>
  <c r="J2602" i="3" s="1"/>
  <c r="I2603" i="3"/>
  <c r="J2603" i="3" s="1"/>
  <c r="I2604" i="3"/>
  <c r="J2604" i="3" s="1"/>
  <c r="I2605" i="3"/>
  <c r="J2605" i="3" s="1"/>
  <c r="I2606" i="3"/>
  <c r="J2606" i="3" s="1"/>
  <c r="I2607" i="3"/>
  <c r="J2607" i="3" s="1"/>
  <c r="I2608" i="3"/>
  <c r="J2608" i="3" s="1"/>
  <c r="I2609" i="3"/>
  <c r="J2609" i="3" s="1"/>
  <c r="I2610" i="3"/>
  <c r="J2610" i="3" s="1"/>
  <c r="I2611" i="3"/>
  <c r="J2611" i="3" s="1"/>
  <c r="I2612" i="3"/>
  <c r="J2612" i="3" s="1"/>
  <c r="I2613" i="3"/>
  <c r="J2613" i="3" s="1"/>
  <c r="I2614" i="3"/>
  <c r="J2614" i="3" s="1"/>
  <c r="I2615" i="3"/>
  <c r="J2615" i="3" s="1"/>
  <c r="I2616" i="3"/>
  <c r="J2616" i="3" s="1"/>
  <c r="I2617" i="3"/>
  <c r="J2617" i="3" s="1"/>
  <c r="I2618" i="3"/>
  <c r="J2618" i="3" s="1"/>
  <c r="I2619" i="3"/>
  <c r="J2619" i="3" s="1"/>
  <c r="I2620" i="3"/>
  <c r="J2620" i="3" s="1"/>
  <c r="I2621" i="3"/>
  <c r="J2621" i="3" s="1"/>
  <c r="I2622" i="3"/>
  <c r="J2622" i="3" s="1"/>
  <c r="I2623" i="3"/>
  <c r="J2623" i="3" s="1"/>
  <c r="I2624" i="3"/>
  <c r="J2624" i="3" s="1"/>
  <c r="I2625" i="3"/>
  <c r="J2625" i="3" s="1"/>
  <c r="I2626" i="3"/>
  <c r="J2626" i="3" s="1"/>
  <c r="I2627" i="3"/>
  <c r="J2627" i="3" s="1"/>
  <c r="I2628" i="3"/>
  <c r="J2628" i="3" s="1"/>
  <c r="I2629" i="3"/>
  <c r="J2629" i="3" s="1"/>
  <c r="I2630" i="3"/>
  <c r="J2630" i="3" s="1"/>
  <c r="I2631" i="3"/>
  <c r="J2631" i="3" s="1"/>
  <c r="I2632" i="3"/>
  <c r="J2632" i="3" s="1"/>
  <c r="I2633" i="3"/>
  <c r="J2633" i="3" s="1"/>
  <c r="I2634" i="3"/>
  <c r="J2634" i="3" s="1"/>
  <c r="I2635" i="3"/>
  <c r="J2635" i="3" s="1"/>
  <c r="I2636" i="3"/>
  <c r="J2636" i="3" s="1"/>
  <c r="I2637" i="3"/>
  <c r="J2637" i="3" s="1"/>
  <c r="I2638" i="3"/>
  <c r="J2638" i="3" s="1"/>
  <c r="I2639" i="3"/>
  <c r="J2639" i="3" s="1"/>
  <c r="I2640" i="3"/>
  <c r="J2640" i="3" s="1"/>
  <c r="I2641" i="3"/>
  <c r="J2641" i="3" s="1"/>
  <c r="I2642" i="3"/>
  <c r="J2642" i="3" s="1"/>
  <c r="I2643" i="3"/>
  <c r="J2643" i="3" s="1"/>
  <c r="I2644" i="3"/>
  <c r="J2644" i="3" s="1"/>
  <c r="I2645" i="3"/>
  <c r="J2645" i="3" s="1"/>
  <c r="I2646" i="3"/>
  <c r="J2646" i="3" s="1"/>
  <c r="I2647" i="3"/>
  <c r="J2647" i="3" s="1"/>
  <c r="I2648" i="3"/>
  <c r="J2648" i="3" s="1"/>
  <c r="I2649" i="3"/>
  <c r="J2649" i="3" s="1"/>
  <c r="I2650" i="3"/>
  <c r="J2650" i="3" s="1"/>
  <c r="I2651" i="3"/>
  <c r="J2651" i="3" s="1"/>
  <c r="I2652" i="3"/>
  <c r="J2652" i="3" s="1"/>
  <c r="I2653" i="3"/>
  <c r="J2653" i="3" s="1"/>
  <c r="I2654" i="3"/>
  <c r="J2654" i="3" s="1"/>
  <c r="I2655" i="3"/>
  <c r="J2655" i="3" s="1"/>
  <c r="I2656" i="3"/>
  <c r="J2656" i="3" s="1"/>
  <c r="I2657" i="3"/>
  <c r="J2657" i="3" s="1"/>
  <c r="I2658" i="3"/>
  <c r="J2658" i="3" s="1"/>
  <c r="I2659" i="3"/>
  <c r="J2659" i="3" s="1"/>
  <c r="I2660" i="3"/>
  <c r="J2660" i="3" s="1"/>
  <c r="I2661" i="3"/>
  <c r="J2661" i="3" s="1"/>
  <c r="I2662" i="3"/>
  <c r="J2662" i="3" s="1"/>
  <c r="I2663" i="3"/>
  <c r="J2663" i="3" s="1"/>
  <c r="I2664" i="3"/>
  <c r="J2664" i="3" s="1"/>
  <c r="I2665" i="3"/>
  <c r="J2665" i="3" s="1"/>
  <c r="I2666" i="3"/>
  <c r="J2666" i="3" s="1"/>
  <c r="I2667" i="3"/>
  <c r="J2667" i="3" s="1"/>
  <c r="I2668" i="3"/>
  <c r="J2668" i="3" s="1"/>
  <c r="I2669" i="3"/>
  <c r="J2669" i="3" s="1"/>
  <c r="I2670" i="3"/>
  <c r="J2670" i="3" s="1"/>
  <c r="I2671" i="3"/>
  <c r="J2671" i="3" s="1"/>
  <c r="I2672" i="3"/>
  <c r="J2672" i="3" s="1"/>
  <c r="I2673" i="3"/>
  <c r="J2673" i="3" s="1"/>
  <c r="I2674" i="3"/>
  <c r="J2674" i="3" s="1"/>
  <c r="I2675" i="3"/>
  <c r="J2675" i="3" s="1"/>
  <c r="I2676" i="3"/>
  <c r="J2676" i="3" s="1"/>
  <c r="I2677" i="3"/>
  <c r="J2677" i="3" s="1"/>
  <c r="I2678" i="3"/>
  <c r="J2678" i="3" s="1"/>
  <c r="I2679" i="3"/>
  <c r="J2679" i="3" s="1"/>
  <c r="I2680" i="3"/>
  <c r="J2680" i="3" s="1"/>
  <c r="I2681" i="3"/>
  <c r="J2681" i="3" s="1"/>
  <c r="I2682" i="3"/>
  <c r="J2682" i="3" s="1"/>
  <c r="I2683" i="3"/>
  <c r="J2683" i="3" s="1"/>
  <c r="I2684" i="3"/>
  <c r="J2684" i="3" s="1"/>
  <c r="I2685" i="3"/>
  <c r="J2685" i="3" s="1"/>
  <c r="I2686" i="3"/>
  <c r="J2686" i="3" s="1"/>
  <c r="I2687" i="3"/>
  <c r="J2687" i="3" s="1"/>
  <c r="I2688" i="3"/>
  <c r="J2688" i="3" s="1"/>
  <c r="I2689" i="3"/>
  <c r="J2689" i="3" s="1"/>
  <c r="I2690" i="3"/>
  <c r="J2690" i="3" s="1"/>
  <c r="I2691" i="3"/>
  <c r="J2691" i="3" s="1"/>
  <c r="I2692" i="3"/>
  <c r="J2692" i="3" s="1"/>
  <c r="I2693" i="3"/>
  <c r="J2693" i="3" s="1"/>
  <c r="I2694" i="3"/>
  <c r="J2694" i="3" s="1"/>
  <c r="I2695" i="3"/>
  <c r="J2695" i="3" s="1"/>
  <c r="I2696" i="3"/>
  <c r="J2696" i="3" s="1"/>
  <c r="I2697" i="3"/>
  <c r="J2697" i="3" s="1"/>
  <c r="I2698" i="3"/>
  <c r="J2698" i="3" s="1"/>
  <c r="I2699" i="3"/>
  <c r="J2699" i="3" s="1"/>
  <c r="I2700" i="3"/>
  <c r="J2700" i="3" s="1"/>
  <c r="I2701" i="3"/>
  <c r="J2701" i="3" s="1"/>
  <c r="I2702" i="3"/>
  <c r="J2702" i="3" s="1"/>
  <c r="I2703" i="3"/>
  <c r="J2703" i="3" s="1"/>
  <c r="I2704" i="3"/>
  <c r="J2704" i="3" s="1"/>
  <c r="I2705" i="3"/>
  <c r="J2705" i="3" s="1"/>
  <c r="I2706" i="3"/>
  <c r="J2706" i="3" s="1"/>
  <c r="I2707" i="3"/>
  <c r="J2707" i="3" s="1"/>
  <c r="I2708" i="3"/>
  <c r="J2708" i="3" s="1"/>
  <c r="I2709" i="3"/>
  <c r="J2709" i="3" s="1"/>
  <c r="I2710" i="3"/>
  <c r="J2710" i="3" s="1"/>
  <c r="I2711" i="3"/>
  <c r="J2711" i="3" s="1"/>
  <c r="I2712" i="3"/>
  <c r="J2712" i="3" s="1"/>
  <c r="I2713" i="3"/>
  <c r="J2713" i="3" s="1"/>
  <c r="I2714" i="3"/>
  <c r="J2714" i="3" s="1"/>
  <c r="I2715" i="3"/>
  <c r="J2715" i="3" s="1"/>
  <c r="I2716" i="3"/>
  <c r="J2716" i="3" s="1"/>
  <c r="I2717" i="3"/>
  <c r="J2717" i="3" s="1"/>
  <c r="I2718" i="3"/>
  <c r="J2718" i="3" s="1"/>
  <c r="I2719" i="3"/>
  <c r="J2719" i="3" s="1"/>
  <c r="I2720" i="3"/>
  <c r="J2720" i="3" s="1"/>
  <c r="I2721" i="3"/>
  <c r="J2721" i="3" s="1"/>
  <c r="I2722" i="3"/>
  <c r="J2722" i="3" s="1"/>
  <c r="I2723" i="3"/>
  <c r="J2723" i="3" s="1"/>
  <c r="I2724" i="3"/>
  <c r="J2724" i="3" s="1"/>
  <c r="I2725" i="3"/>
  <c r="J2725" i="3" s="1"/>
  <c r="I2726" i="3"/>
  <c r="J2726" i="3" s="1"/>
  <c r="I2727" i="3"/>
  <c r="J2727" i="3" s="1"/>
  <c r="I2728" i="3"/>
  <c r="J2728" i="3" s="1"/>
  <c r="I2729" i="3"/>
  <c r="J2729" i="3" s="1"/>
  <c r="I2730" i="3"/>
  <c r="J2730" i="3" s="1"/>
  <c r="I2731" i="3"/>
  <c r="J2731" i="3" s="1"/>
  <c r="I2732" i="3"/>
  <c r="J2732" i="3" s="1"/>
  <c r="I2733" i="3"/>
  <c r="J2733" i="3" s="1"/>
  <c r="I2734" i="3"/>
  <c r="J2734" i="3" s="1"/>
  <c r="I2735" i="3"/>
  <c r="J2735" i="3" s="1"/>
  <c r="I2736" i="3"/>
  <c r="J2736" i="3" s="1"/>
  <c r="I2737" i="3"/>
  <c r="J2737" i="3" s="1"/>
  <c r="I2738" i="3"/>
  <c r="J2738" i="3" s="1"/>
  <c r="I2739" i="3"/>
  <c r="J2739" i="3" s="1"/>
  <c r="I2740" i="3"/>
  <c r="J2740" i="3" s="1"/>
  <c r="I2741" i="3"/>
  <c r="J2741" i="3" s="1"/>
  <c r="I2742" i="3"/>
  <c r="J2742" i="3" s="1"/>
  <c r="I2743" i="3"/>
  <c r="J2743" i="3" s="1"/>
  <c r="I2744" i="3"/>
  <c r="J2744" i="3" s="1"/>
  <c r="I2745" i="3"/>
  <c r="J2745" i="3" s="1"/>
  <c r="I2746" i="3"/>
  <c r="J2746" i="3" s="1"/>
  <c r="I2747" i="3"/>
  <c r="J2747" i="3" s="1"/>
  <c r="I2748" i="3"/>
  <c r="J2748" i="3" s="1"/>
  <c r="I2749" i="3"/>
  <c r="J2749" i="3" s="1"/>
  <c r="I2750" i="3"/>
  <c r="J2750" i="3" s="1"/>
  <c r="I2751" i="3"/>
  <c r="J2751" i="3" s="1"/>
  <c r="I2752" i="3"/>
  <c r="J2752" i="3" s="1"/>
  <c r="I2753" i="3"/>
  <c r="J2753" i="3" s="1"/>
  <c r="I2754" i="3"/>
  <c r="J2754" i="3" s="1"/>
  <c r="I2755" i="3"/>
  <c r="J2755" i="3" s="1"/>
  <c r="I2756" i="3"/>
  <c r="J2756" i="3" s="1"/>
  <c r="I2757" i="3"/>
  <c r="J2757" i="3" s="1"/>
  <c r="I2758" i="3"/>
  <c r="J2758" i="3" s="1"/>
  <c r="I2759" i="3"/>
  <c r="J2759" i="3" s="1"/>
  <c r="I2760" i="3"/>
  <c r="J2760" i="3" s="1"/>
  <c r="I2761" i="3"/>
  <c r="J2761" i="3" s="1"/>
  <c r="I2762" i="3"/>
  <c r="J2762" i="3" s="1"/>
  <c r="I2763" i="3"/>
  <c r="J2763" i="3" s="1"/>
  <c r="I2764" i="3"/>
  <c r="J2764" i="3" s="1"/>
  <c r="I2765" i="3"/>
  <c r="J2765" i="3" s="1"/>
  <c r="I2766" i="3"/>
  <c r="J2766" i="3" s="1"/>
  <c r="I2767" i="3"/>
  <c r="J2767" i="3" s="1"/>
  <c r="I2768" i="3"/>
  <c r="J2768" i="3" s="1"/>
  <c r="I2769" i="3"/>
  <c r="J2769" i="3" s="1"/>
  <c r="I2770" i="3"/>
  <c r="J2770" i="3" s="1"/>
  <c r="I2771" i="3"/>
  <c r="J2771" i="3" s="1"/>
  <c r="I2772" i="3"/>
  <c r="J2772" i="3" s="1"/>
  <c r="I2773" i="3"/>
  <c r="J2773" i="3" s="1"/>
  <c r="I2774" i="3"/>
  <c r="J2774" i="3" s="1"/>
  <c r="I2775" i="3"/>
  <c r="J2775" i="3" s="1"/>
  <c r="I2776" i="3"/>
  <c r="J2776" i="3" s="1"/>
  <c r="I2777" i="3"/>
  <c r="J2777" i="3" s="1"/>
  <c r="I2778" i="3"/>
  <c r="J2778" i="3" s="1"/>
  <c r="I2779" i="3"/>
  <c r="J2779" i="3" s="1"/>
  <c r="I2780" i="3"/>
  <c r="J2780" i="3" s="1"/>
  <c r="I2781" i="3"/>
  <c r="J2781" i="3" s="1"/>
  <c r="I2782" i="3"/>
  <c r="J2782" i="3" s="1"/>
  <c r="I2783" i="3"/>
  <c r="J2783" i="3" s="1"/>
  <c r="I2784" i="3"/>
  <c r="J2784" i="3" s="1"/>
  <c r="I2785" i="3"/>
  <c r="J2785" i="3" s="1"/>
  <c r="I2786" i="3"/>
  <c r="J2786" i="3" s="1"/>
  <c r="I2787" i="3"/>
  <c r="J2787" i="3" s="1"/>
  <c r="I2788" i="3"/>
  <c r="J2788" i="3" s="1"/>
  <c r="I2789" i="3"/>
  <c r="J2789" i="3" s="1"/>
  <c r="I2790" i="3"/>
  <c r="J2790" i="3" s="1"/>
  <c r="I2791" i="3"/>
  <c r="J2791" i="3" s="1"/>
  <c r="I2792" i="3"/>
  <c r="J2792" i="3" s="1"/>
  <c r="I2793" i="3"/>
  <c r="J2793" i="3" s="1"/>
  <c r="I2794" i="3"/>
  <c r="J2794" i="3" s="1"/>
  <c r="I2795" i="3"/>
  <c r="J2795" i="3" s="1"/>
  <c r="I2796" i="3"/>
  <c r="J2796" i="3" s="1"/>
  <c r="I2797" i="3"/>
  <c r="J2797" i="3" s="1"/>
  <c r="I2798" i="3"/>
  <c r="J2798" i="3" s="1"/>
  <c r="I2799" i="3"/>
  <c r="J2799" i="3" s="1"/>
  <c r="I2800" i="3"/>
  <c r="J2800" i="3" s="1"/>
  <c r="I2801" i="3"/>
  <c r="J2801" i="3" s="1"/>
  <c r="I2802" i="3"/>
  <c r="J2802" i="3" s="1"/>
  <c r="I2803" i="3"/>
  <c r="J2803" i="3" s="1"/>
  <c r="I2804" i="3"/>
  <c r="J2804" i="3" s="1"/>
  <c r="I2805" i="3"/>
  <c r="J2805" i="3" s="1"/>
  <c r="I2806" i="3"/>
  <c r="J2806" i="3" s="1"/>
  <c r="I2807" i="3"/>
  <c r="J2807" i="3" s="1"/>
  <c r="I2808" i="3"/>
  <c r="J2808" i="3" s="1"/>
  <c r="I2809" i="3"/>
  <c r="J2809" i="3" s="1"/>
  <c r="I2810" i="3"/>
  <c r="J2810" i="3" s="1"/>
  <c r="I2811" i="3"/>
  <c r="J2811" i="3" s="1"/>
  <c r="I2812" i="3"/>
  <c r="J2812" i="3" s="1"/>
  <c r="I2813" i="3"/>
  <c r="J2813" i="3" s="1"/>
  <c r="I2814" i="3"/>
  <c r="J2814" i="3" s="1"/>
  <c r="I2815" i="3"/>
  <c r="J2815" i="3" s="1"/>
  <c r="I2816" i="3"/>
  <c r="J2816" i="3" s="1"/>
  <c r="I2817" i="3"/>
  <c r="J2817" i="3" s="1"/>
  <c r="I2818" i="3"/>
  <c r="J2818" i="3" s="1"/>
  <c r="I2819" i="3"/>
  <c r="J2819" i="3" s="1"/>
  <c r="I2820" i="3"/>
  <c r="J2820" i="3" s="1"/>
  <c r="I2821" i="3"/>
  <c r="J2821" i="3" s="1"/>
  <c r="I2822" i="3"/>
  <c r="J2822" i="3" s="1"/>
  <c r="I2823" i="3"/>
  <c r="J2823" i="3" s="1"/>
  <c r="I2824" i="3"/>
  <c r="J2824" i="3" s="1"/>
  <c r="I2825" i="3"/>
  <c r="J2825" i="3" s="1"/>
  <c r="I2826" i="3"/>
  <c r="J2826" i="3" s="1"/>
  <c r="I2827" i="3"/>
  <c r="J2827" i="3" s="1"/>
  <c r="I2828" i="3"/>
  <c r="J2828" i="3" s="1"/>
  <c r="I2829" i="3"/>
  <c r="J2829" i="3" s="1"/>
  <c r="I2830" i="3"/>
  <c r="J2830" i="3" s="1"/>
  <c r="I2831" i="3"/>
  <c r="J2831" i="3" s="1"/>
  <c r="I2832" i="3"/>
  <c r="J2832" i="3" s="1"/>
  <c r="I2833" i="3"/>
  <c r="J2833" i="3" s="1"/>
  <c r="I2834" i="3"/>
  <c r="J2834" i="3" s="1"/>
  <c r="I2835" i="3"/>
  <c r="J2835" i="3" s="1"/>
  <c r="I2836" i="3"/>
  <c r="J2836" i="3" s="1"/>
  <c r="I2837" i="3"/>
  <c r="J2837" i="3" s="1"/>
  <c r="I2838" i="3"/>
  <c r="J2838" i="3" s="1"/>
  <c r="I2839" i="3"/>
  <c r="J2839" i="3" s="1"/>
  <c r="I2840" i="3"/>
  <c r="J2840" i="3" s="1"/>
  <c r="I2841" i="3"/>
  <c r="J2841" i="3" s="1"/>
  <c r="I2842" i="3"/>
  <c r="J2842" i="3" s="1"/>
  <c r="I2843" i="3"/>
  <c r="J2843" i="3" s="1"/>
  <c r="I2844" i="3"/>
  <c r="J2844" i="3" s="1"/>
  <c r="I2845" i="3"/>
  <c r="J2845" i="3" s="1"/>
  <c r="I2846" i="3"/>
  <c r="J2846" i="3" s="1"/>
  <c r="I2847" i="3"/>
  <c r="J2847" i="3" s="1"/>
  <c r="I2848" i="3"/>
  <c r="J2848" i="3" s="1"/>
  <c r="I2849" i="3"/>
  <c r="J2849" i="3" s="1"/>
  <c r="I2850" i="3"/>
  <c r="J2850" i="3" s="1"/>
  <c r="I2851" i="3"/>
  <c r="J2851" i="3" s="1"/>
  <c r="I2852" i="3"/>
  <c r="J2852" i="3" s="1"/>
  <c r="I2853" i="3"/>
  <c r="J2853" i="3" s="1"/>
  <c r="I2854" i="3"/>
  <c r="J2854" i="3" s="1"/>
  <c r="I2855" i="3"/>
  <c r="J2855" i="3" s="1"/>
  <c r="I2856" i="3"/>
  <c r="J2856" i="3" s="1"/>
  <c r="I2857" i="3"/>
  <c r="J2857" i="3" s="1"/>
  <c r="I2858" i="3"/>
  <c r="J2858" i="3" s="1"/>
  <c r="I2859" i="3"/>
  <c r="J2859" i="3" s="1"/>
  <c r="I2860" i="3"/>
  <c r="J2860" i="3" s="1"/>
  <c r="I2861" i="3"/>
  <c r="J2861" i="3" s="1"/>
  <c r="I2862" i="3"/>
  <c r="J2862" i="3" s="1"/>
  <c r="I2863" i="3"/>
  <c r="J2863" i="3" s="1"/>
  <c r="I2864" i="3"/>
  <c r="J2864" i="3" s="1"/>
  <c r="I2865" i="3"/>
  <c r="J2865" i="3" s="1"/>
  <c r="I2866" i="3"/>
  <c r="J2866" i="3" s="1"/>
  <c r="I2867" i="3"/>
  <c r="J2867" i="3" s="1"/>
  <c r="I2868" i="3"/>
  <c r="J2868" i="3" s="1"/>
  <c r="I2869" i="3"/>
  <c r="J2869" i="3" s="1"/>
  <c r="I2870" i="3"/>
  <c r="J2870" i="3" s="1"/>
  <c r="I2871" i="3"/>
  <c r="J2871" i="3" s="1"/>
  <c r="I2872" i="3"/>
  <c r="J2872" i="3" s="1"/>
  <c r="I2873" i="3"/>
  <c r="J2873" i="3" s="1"/>
  <c r="I2874" i="3"/>
  <c r="J2874" i="3" s="1"/>
  <c r="I2875" i="3"/>
  <c r="J2875" i="3" s="1"/>
  <c r="I2876" i="3"/>
  <c r="J2876" i="3" s="1"/>
  <c r="I2877" i="3"/>
  <c r="J2877" i="3" s="1"/>
  <c r="I2878" i="3"/>
  <c r="J2878" i="3" s="1"/>
  <c r="I2879" i="3"/>
  <c r="J2879" i="3" s="1"/>
  <c r="I2880" i="3"/>
  <c r="J2880" i="3" s="1"/>
  <c r="I2881" i="3"/>
  <c r="J2881" i="3" s="1"/>
  <c r="I2882" i="3"/>
  <c r="J2882" i="3" s="1"/>
  <c r="I2883" i="3"/>
  <c r="J2883" i="3" s="1"/>
  <c r="I2884" i="3"/>
  <c r="J2884" i="3" s="1"/>
  <c r="I2885" i="3"/>
  <c r="J2885" i="3" s="1"/>
  <c r="I2886" i="3"/>
  <c r="J2886" i="3" s="1"/>
  <c r="I2887" i="3"/>
  <c r="J2887" i="3" s="1"/>
  <c r="I2888" i="3"/>
  <c r="J2888" i="3" s="1"/>
  <c r="I2889" i="3"/>
  <c r="J2889" i="3" s="1"/>
  <c r="I2890" i="3"/>
  <c r="J2890" i="3" s="1"/>
  <c r="I2891" i="3"/>
  <c r="J2891" i="3" s="1"/>
  <c r="I2892" i="3"/>
  <c r="J2892" i="3" s="1"/>
  <c r="I2893" i="3"/>
  <c r="J2893" i="3" s="1"/>
  <c r="I2894" i="3"/>
  <c r="J2894" i="3" s="1"/>
  <c r="I2895" i="3"/>
  <c r="J2895" i="3" s="1"/>
  <c r="I2896" i="3"/>
  <c r="J2896" i="3" s="1"/>
  <c r="I2897" i="3"/>
  <c r="J2897" i="3" s="1"/>
  <c r="I2898" i="3"/>
  <c r="J2898" i="3" s="1"/>
  <c r="I2899" i="3"/>
  <c r="J2899" i="3" s="1"/>
  <c r="I2900" i="3"/>
  <c r="J2900" i="3" s="1"/>
  <c r="I2901" i="3"/>
  <c r="J2901" i="3" s="1"/>
  <c r="I2902" i="3"/>
  <c r="J2902" i="3" s="1"/>
  <c r="I2903" i="3"/>
  <c r="J2903" i="3" s="1"/>
  <c r="I2904" i="3"/>
  <c r="J2904" i="3" s="1"/>
  <c r="I2905" i="3"/>
  <c r="J2905" i="3" s="1"/>
  <c r="I2906" i="3"/>
  <c r="J2906" i="3" s="1"/>
  <c r="I2907" i="3"/>
  <c r="J2907" i="3" s="1"/>
  <c r="I2908" i="3"/>
  <c r="J2908" i="3" s="1"/>
  <c r="I2909" i="3"/>
  <c r="J2909" i="3" s="1"/>
  <c r="I2910" i="3"/>
  <c r="J2910" i="3" s="1"/>
  <c r="I2911" i="3"/>
  <c r="J2911" i="3" s="1"/>
  <c r="I2912" i="3"/>
  <c r="J2912" i="3" s="1"/>
  <c r="I2913" i="3"/>
  <c r="J2913" i="3" s="1"/>
  <c r="I2914" i="3"/>
  <c r="J2914" i="3" s="1"/>
  <c r="I2915" i="3"/>
  <c r="J2915" i="3" s="1"/>
  <c r="I2916" i="3"/>
  <c r="J2916" i="3" s="1"/>
  <c r="I2917" i="3"/>
  <c r="J2917" i="3" s="1"/>
  <c r="I2918" i="3"/>
  <c r="J2918" i="3" s="1"/>
  <c r="I2919" i="3"/>
  <c r="J2919" i="3" s="1"/>
  <c r="I2920" i="3"/>
  <c r="J2920" i="3" s="1"/>
  <c r="I2921" i="3"/>
  <c r="J2921" i="3" s="1"/>
  <c r="I2922" i="3"/>
  <c r="J2922" i="3" s="1"/>
  <c r="I2923" i="3"/>
  <c r="J2923" i="3" s="1"/>
  <c r="I2924" i="3"/>
  <c r="J2924" i="3" s="1"/>
  <c r="I2925" i="3"/>
  <c r="J2925" i="3" s="1"/>
  <c r="I2926" i="3"/>
  <c r="J2926" i="3" s="1"/>
  <c r="I2927" i="3"/>
  <c r="J2927" i="3" s="1"/>
  <c r="I2928" i="3"/>
  <c r="J2928" i="3" s="1"/>
  <c r="I2929" i="3"/>
  <c r="J2929" i="3" s="1"/>
  <c r="I2930" i="3"/>
  <c r="J2930" i="3" s="1"/>
  <c r="I2931" i="3"/>
  <c r="J2931" i="3" s="1"/>
  <c r="I2932" i="3"/>
  <c r="J2932" i="3" s="1"/>
  <c r="I2933" i="3"/>
  <c r="J2933" i="3" s="1"/>
  <c r="I2934" i="3"/>
  <c r="J2934" i="3" s="1"/>
  <c r="I2935" i="3"/>
  <c r="J2935" i="3" s="1"/>
  <c r="I2936" i="3"/>
  <c r="J2936" i="3" s="1"/>
  <c r="I2937" i="3"/>
  <c r="J2937" i="3" s="1"/>
  <c r="I2938" i="3"/>
  <c r="J2938" i="3" s="1"/>
  <c r="I2939" i="3"/>
  <c r="J2939" i="3" s="1"/>
  <c r="I2940" i="3"/>
  <c r="J2940" i="3" s="1"/>
  <c r="I2941" i="3"/>
  <c r="J2941" i="3" s="1"/>
  <c r="I2942" i="3"/>
  <c r="J2942" i="3" s="1"/>
  <c r="I2943" i="3"/>
  <c r="J2943" i="3" s="1"/>
  <c r="I2944" i="3"/>
  <c r="J2944" i="3" s="1"/>
  <c r="I2945" i="3"/>
  <c r="J2945" i="3" s="1"/>
  <c r="I2946" i="3"/>
  <c r="J2946" i="3" s="1"/>
  <c r="I2947" i="3"/>
  <c r="J2947" i="3" s="1"/>
  <c r="I2948" i="3"/>
  <c r="J2948" i="3" s="1"/>
  <c r="I2949" i="3"/>
  <c r="J2949" i="3" s="1"/>
  <c r="I2950" i="3"/>
  <c r="J2950" i="3" s="1"/>
  <c r="I2951" i="3"/>
  <c r="J2951" i="3" s="1"/>
  <c r="I2952" i="3"/>
  <c r="J2952" i="3" s="1"/>
  <c r="I2953" i="3"/>
  <c r="J2953" i="3" s="1"/>
  <c r="I2954" i="3"/>
  <c r="J2954" i="3" s="1"/>
  <c r="I2955" i="3"/>
  <c r="J2955" i="3" s="1"/>
  <c r="I2956" i="3"/>
  <c r="J2956" i="3" s="1"/>
  <c r="I2957" i="3"/>
  <c r="J2957" i="3" s="1"/>
  <c r="I2958" i="3"/>
  <c r="J2958" i="3" s="1"/>
  <c r="I2959" i="3"/>
  <c r="J2959" i="3" s="1"/>
  <c r="I2960" i="3"/>
  <c r="J2960" i="3" s="1"/>
  <c r="I2961" i="3"/>
  <c r="J2961" i="3" s="1"/>
  <c r="I2962" i="3"/>
  <c r="J2962" i="3" s="1"/>
  <c r="I2963" i="3"/>
  <c r="J2963" i="3" s="1"/>
  <c r="I2964" i="3"/>
  <c r="J2964" i="3" s="1"/>
  <c r="I2965" i="3"/>
  <c r="J2965" i="3" s="1"/>
  <c r="I2966" i="3"/>
  <c r="J2966" i="3" s="1"/>
  <c r="I2967" i="3"/>
  <c r="J2967" i="3" s="1"/>
  <c r="I2968" i="3"/>
  <c r="J2968" i="3" s="1"/>
  <c r="I2969" i="3"/>
  <c r="J2969" i="3" s="1"/>
  <c r="I2970" i="3"/>
  <c r="J2970" i="3" s="1"/>
  <c r="I2971" i="3"/>
  <c r="J2971" i="3" s="1"/>
  <c r="I2972" i="3"/>
  <c r="J2972" i="3" s="1"/>
  <c r="I2973" i="3"/>
  <c r="J2973" i="3" s="1"/>
  <c r="I2974" i="3"/>
  <c r="J2974" i="3" s="1"/>
  <c r="I2975" i="3"/>
  <c r="J2975" i="3" s="1"/>
  <c r="I2976" i="3"/>
  <c r="J2976" i="3" s="1"/>
  <c r="I2977" i="3"/>
  <c r="J2977" i="3" s="1"/>
  <c r="I2978" i="3"/>
  <c r="J2978" i="3" s="1"/>
  <c r="I2979" i="3"/>
  <c r="J2979" i="3" s="1"/>
  <c r="I2980" i="3"/>
  <c r="J2980" i="3" s="1"/>
  <c r="I2981" i="3"/>
  <c r="J2981" i="3" s="1"/>
  <c r="I2982" i="3"/>
  <c r="J2982" i="3" s="1"/>
  <c r="I2983" i="3"/>
  <c r="J2983" i="3" s="1"/>
  <c r="I2984" i="3"/>
  <c r="J2984" i="3" s="1"/>
  <c r="I2985" i="3"/>
  <c r="J2985" i="3" s="1"/>
  <c r="I2986" i="3"/>
  <c r="J2986" i="3" s="1"/>
  <c r="I2987" i="3"/>
  <c r="J2987" i="3" s="1"/>
  <c r="I2988" i="3"/>
  <c r="J2988" i="3" s="1"/>
  <c r="I2989" i="3"/>
  <c r="J2989" i="3" s="1"/>
  <c r="I2990" i="3"/>
  <c r="J2990" i="3" s="1"/>
  <c r="I2991" i="3"/>
  <c r="J2991" i="3" s="1"/>
  <c r="I2992" i="3"/>
  <c r="J2992" i="3" s="1"/>
  <c r="I2993" i="3"/>
  <c r="J2993" i="3" s="1"/>
  <c r="I2994" i="3"/>
  <c r="J2994" i="3" s="1"/>
  <c r="I2995" i="3"/>
  <c r="J2995" i="3" s="1"/>
  <c r="I2996" i="3"/>
  <c r="J2996" i="3" s="1"/>
  <c r="I2997" i="3"/>
  <c r="J2997" i="3" s="1"/>
  <c r="I2998" i="3"/>
  <c r="J2998" i="3" s="1"/>
  <c r="I2999" i="3"/>
  <c r="J2999" i="3" s="1"/>
  <c r="I3000" i="3"/>
  <c r="J3000" i="3" s="1"/>
  <c r="I3001" i="3"/>
  <c r="J3001" i="3" s="1"/>
  <c r="I3" i="3"/>
  <c r="J3" i="3" s="1"/>
  <c r="I2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2" i="3"/>
  <c r="O8" i="6"/>
  <c r="O9" i="6"/>
  <c r="O10" i="6"/>
  <c r="O11" i="6"/>
  <c r="O7" i="6"/>
</calcChain>
</file>

<file path=xl/sharedStrings.xml><?xml version="1.0" encoding="utf-8"?>
<sst xmlns="http://schemas.openxmlformats.org/spreadsheetml/2006/main" count="14631" uniqueCount="7034">
  <si>
    <t>CustomerID</t>
  </si>
  <si>
    <t>CustomerName</t>
  </si>
  <si>
    <t>Country</t>
  </si>
  <si>
    <t>Email</t>
  </si>
  <si>
    <t>CUST0001</t>
  </si>
  <si>
    <t>Customer_1</t>
  </si>
  <si>
    <t>Nigeria</t>
  </si>
  <si>
    <t>customer1@example.com</t>
  </si>
  <si>
    <t>CUST0002</t>
  </si>
  <si>
    <t>Customer_2</t>
  </si>
  <si>
    <t>USA</t>
  </si>
  <si>
    <t>customer2@example.com</t>
  </si>
  <si>
    <t>CUST0003</t>
  </si>
  <si>
    <t>Customer_3</t>
  </si>
  <si>
    <t>Kenya</t>
  </si>
  <si>
    <t>customer3@example.com</t>
  </si>
  <si>
    <t>CUST0004</t>
  </si>
  <si>
    <t>Customer_4</t>
  </si>
  <si>
    <t>customer4@example.com</t>
  </si>
  <si>
    <t>CUST0005</t>
  </si>
  <si>
    <t>Customer_5</t>
  </si>
  <si>
    <t>customer5@example.com</t>
  </si>
  <si>
    <t>CUST0006</t>
  </si>
  <si>
    <t>Customer_6</t>
  </si>
  <si>
    <t>customer6@example.com</t>
  </si>
  <si>
    <t>CUST0007</t>
  </si>
  <si>
    <t>Customer_7</t>
  </si>
  <si>
    <t>Ghana</t>
  </si>
  <si>
    <t>customer7@example.com</t>
  </si>
  <si>
    <t>CUST0008</t>
  </si>
  <si>
    <t>Customer_8</t>
  </si>
  <si>
    <t>South Africa</t>
  </si>
  <si>
    <t>customer8@example.com</t>
  </si>
  <si>
    <t>CUST0009</t>
  </si>
  <si>
    <t>Customer_9</t>
  </si>
  <si>
    <t>customer9@example.com</t>
  </si>
  <si>
    <t>CUST0010</t>
  </si>
  <si>
    <t>Customer_10</t>
  </si>
  <si>
    <t>customer10@example.com</t>
  </si>
  <si>
    <t>CUST0011</t>
  </si>
  <si>
    <t>Customer_11</t>
  </si>
  <si>
    <t>UK</t>
  </si>
  <si>
    <t>customer11@example.com</t>
  </si>
  <si>
    <t>CUST0012</t>
  </si>
  <si>
    <t>Customer_12</t>
  </si>
  <si>
    <t>customer12@example.com</t>
  </si>
  <si>
    <t>CUST0013</t>
  </si>
  <si>
    <t>Customer_13</t>
  </si>
  <si>
    <t>customer13@example.com</t>
  </si>
  <si>
    <t>CUST0014</t>
  </si>
  <si>
    <t>Customer_14</t>
  </si>
  <si>
    <t>customer14@example.com</t>
  </si>
  <si>
    <t>CUST0015</t>
  </si>
  <si>
    <t>Customer_15</t>
  </si>
  <si>
    <t>customer15@example.com</t>
  </si>
  <si>
    <t>CUST0016</t>
  </si>
  <si>
    <t>Customer_16</t>
  </si>
  <si>
    <t>customer16@example.com</t>
  </si>
  <si>
    <t>CUST0017</t>
  </si>
  <si>
    <t>Customer_17</t>
  </si>
  <si>
    <t>customer17@example.com</t>
  </si>
  <si>
    <t>CUST0018</t>
  </si>
  <si>
    <t>Customer_18</t>
  </si>
  <si>
    <t>customer18@example.com</t>
  </si>
  <si>
    <t>CUST0019</t>
  </si>
  <si>
    <t>Customer_19</t>
  </si>
  <si>
    <t>customer19@example.com</t>
  </si>
  <si>
    <t>CUST0020</t>
  </si>
  <si>
    <t>Customer_20</t>
  </si>
  <si>
    <t>customer20@example.com</t>
  </si>
  <si>
    <t>CUST0021</t>
  </si>
  <si>
    <t>Customer_21</t>
  </si>
  <si>
    <t>customer21@example.com</t>
  </si>
  <si>
    <t>CUST0022</t>
  </si>
  <si>
    <t>Customer_22</t>
  </si>
  <si>
    <t>customer22@example.com</t>
  </si>
  <si>
    <t>CUST0023</t>
  </si>
  <si>
    <t>Customer_23</t>
  </si>
  <si>
    <t>Canada</t>
  </si>
  <si>
    <t>customer23@example.com</t>
  </si>
  <si>
    <t>CUST0024</t>
  </si>
  <si>
    <t>Customer_24</t>
  </si>
  <si>
    <t>customer24@example.com</t>
  </si>
  <si>
    <t>CUST0025</t>
  </si>
  <si>
    <t>Customer_25</t>
  </si>
  <si>
    <t>customer25@example.com</t>
  </si>
  <si>
    <t>CUST0026</t>
  </si>
  <si>
    <t>Customer_26</t>
  </si>
  <si>
    <t>customer26@example.com</t>
  </si>
  <si>
    <t>CUST0027</t>
  </si>
  <si>
    <t>Customer_27</t>
  </si>
  <si>
    <t>customer27@example.com</t>
  </si>
  <si>
    <t>CUST0028</t>
  </si>
  <si>
    <t>Customer_28</t>
  </si>
  <si>
    <t>customer28@example.com</t>
  </si>
  <si>
    <t>CUST0029</t>
  </si>
  <si>
    <t>Customer_29</t>
  </si>
  <si>
    <t>customer29@example.com</t>
  </si>
  <si>
    <t>CUST0030</t>
  </si>
  <si>
    <t>Customer_30</t>
  </si>
  <si>
    <t>customer30@example.com</t>
  </si>
  <si>
    <t>CUST0031</t>
  </si>
  <si>
    <t>Customer_31</t>
  </si>
  <si>
    <t>customer31@example.com</t>
  </si>
  <si>
    <t>CUST0032</t>
  </si>
  <si>
    <t>Customer_32</t>
  </si>
  <si>
    <t>customer32@example.com</t>
  </si>
  <si>
    <t>CUST0033</t>
  </si>
  <si>
    <t>Customer_33</t>
  </si>
  <si>
    <t>customer33@example.com</t>
  </si>
  <si>
    <t>CUST0034</t>
  </si>
  <si>
    <t>Customer_34</t>
  </si>
  <si>
    <t>customer34@example.com</t>
  </si>
  <si>
    <t>CUST0035</t>
  </si>
  <si>
    <t>Customer_35</t>
  </si>
  <si>
    <t>customer35@example.com</t>
  </si>
  <si>
    <t>CUST0036</t>
  </si>
  <si>
    <t>Customer_36</t>
  </si>
  <si>
    <t>customer36@example.com</t>
  </si>
  <si>
    <t>CUST0037</t>
  </si>
  <si>
    <t>Customer_37</t>
  </si>
  <si>
    <t>customer37@example.com</t>
  </si>
  <si>
    <t>CUST0038</t>
  </si>
  <si>
    <t>Customer_38</t>
  </si>
  <si>
    <t>customer38@example.com</t>
  </si>
  <si>
    <t>CUST0039</t>
  </si>
  <si>
    <t>Customer_39</t>
  </si>
  <si>
    <t>customer39@example.com</t>
  </si>
  <si>
    <t>CUST0040</t>
  </si>
  <si>
    <t>Customer_40</t>
  </si>
  <si>
    <t>customer40@example.com</t>
  </si>
  <si>
    <t>CUST0041</t>
  </si>
  <si>
    <t>Customer_41</t>
  </si>
  <si>
    <t>customer41@example.com</t>
  </si>
  <si>
    <t>CUST0042</t>
  </si>
  <si>
    <t>Customer_42</t>
  </si>
  <si>
    <t>customer42@example.com</t>
  </si>
  <si>
    <t>CUST0043</t>
  </si>
  <si>
    <t>Customer_43</t>
  </si>
  <si>
    <t>customer43@example.com</t>
  </si>
  <si>
    <t>CUST0044</t>
  </si>
  <si>
    <t>Customer_44</t>
  </si>
  <si>
    <t>customer44@example.com</t>
  </si>
  <si>
    <t>CUST0045</t>
  </si>
  <si>
    <t>Customer_45</t>
  </si>
  <si>
    <t>customer45@example.com</t>
  </si>
  <si>
    <t>CUST0046</t>
  </si>
  <si>
    <t>Customer_46</t>
  </si>
  <si>
    <t>customer46@example.com</t>
  </si>
  <si>
    <t>CUST0047</t>
  </si>
  <si>
    <t>Customer_47</t>
  </si>
  <si>
    <t>customer47@example.com</t>
  </si>
  <si>
    <t>CUST0048</t>
  </si>
  <si>
    <t>Customer_48</t>
  </si>
  <si>
    <t>customer48@example.com</t>
  </si>
  <si>
    <t>CUST0049</t>
  </si>
  <si>
    <t>Customer_49</t>
  </si>
  <si>
    <t>customer49@example.com</t>
  </si>
  <si>
    <t>CUST0050</t>
  </si>
  <si>
    <t>Customer_50</t>
  </si>
  <si>
    <t>customer50@example.com</t>
  </si>
  <si>
    <t>CUST0051</t>
  </si>
  <si>
    <t>Customer_51</t>
  </si>
  <si>
    <t>customer51@example.com</t>
  </si>
  <si>
    <t>CUST0052</t>
  </si>
  <si>
    <t>Customer_52</t>
  </si>
  <si>
    <t>customer52@example.com</t>
  </si>
  <si>
    <t>CUST0053</t>
  </si>
  <si>
    <t>Customer_53</t>
  </si>
  <si>
    <t>customer53@example.com</t>
  </si>
  <si>
    <t>CUST0054</t>
  </si>
  <si>
    <t>Customer_54</t>
  </si>
  <si>
    <t>customer54@example.com</t>
  </si>
  <si>
    <t>CUST0055</t>
  </si>
  <si>
    <t>Customer_55</t>
  </si>
  <si>
    <t>customer55@example.com</t>
  </si>
  <si>
    <t>CUST0056</t>
  </si>
  <si>
    <t>Customer_56</t>
  </si>
  <si>
    <t>customer56@example.com</t>
  </si>
  <si>
    <t>CUST0057</t>
  </si>
  <si>
    <t>Customer_57</t>
  </si>
  <si>
    <t>customer57@example.com</t>
  </si>
  <si>
    <t>CUST0058</t>
  </si>
  <si>
    <t>Customer_58</t>
  </si>
  <si>
    <t>customer58@example.com</t>
  </si>
  <si>
    <t>CUST0059</t>
  </si>
  <si>
    <t>Customer_59</t>
  </si>
  <si>
    <t>customer59@example.com</t>
  </si>
  <si>
    <t>CUST0060</t>
  </si>
  <si>
    <t>Customer_60</t>
  </si>
  <si>
    <t>customer60@example.com</t>
  </si>
  <si>
    <t>CUST0061</t>
  </si>
  <si>
    <t>Customer_61</t>
  </si>
  <si>
    <t>customer61@example.com</t>
  </si>
  <si>
    <t>CUST0062</t>
  </si>
  <si>
    <t>Customer_62</t>
  </si>
  <si>
    <t>customer62@example.com</t>
  </si>
  <si>
    <t>CUST0063</t>
  </si>
  <si>
    <t>Customer_63</t>
  </si>
  <si>
    <t>customer63@example.com</t>
  </si>
  <si>
    <t>CUST0064</t>
  </si>
  <si>
    <t>Customer_64</t>
  </si>
  <si>
    <t>customer64@example.com</t>
  </si>
  <si>
    <t>CUST0065</t>
  </si>
  <si>
    <t>Customer_65</t>
  </si>
  <si>
    <t>customer65@example.com</t>
  </si>
  <si>
    <t>CUST0066</t>
  </si>
  <si>
    <t>Customer_66</t>
  </si>
  <si>
    <t>customer66@example.com</t>
  </si>
  <si>
    <t>CUST0067</t>
  </si>
  <si>
    <t>Customer_67</t>
  </si>
  <si>
    <t>customer67@example.com</t>
  </si>
  <si>
    <t>CUST0068</t>
  </si>
  <si>
    <t>Customer_68</t>
  </si>
  <si>
    <t>customer68@example.com</t>
  </si>
  <si>
    <t>CUST0069</t>
  </si>
  <si>
    <t>Customer_69</t>
  </si>
  <si>
    <t>customer69@example.com</t>
  </si>
  <si>
    <t>CUST0070</t>
  </si>
  <si>
    <t>Customer_70</t>
  </si>
  <si>
    <t>customer70@example.com</t>
  </si>
  <si>
    <t>CUST0071</t>
  </si>
  <si>
    <t>Customer_71</t>
  </si>
  <si>
    <t>customer71@example.com</t>
  </si>
  <si>
    <t>CUST0072</t>
  </si>
  <si>
    <t>Customer_72</t>
  </si>
  <si>
    <t>customer72@example.com</t>
  </si>
  <si>
    <t>CUST0073</t>
  </si>
  <si>
    <t>Customer_73</t>
  </si>
  <si>
    <t>customer73@example.com</t>
  </si>
  <si>
    <t>CUST0074</t>
  </si>
  <si>
    <t>Customer_74</t>
  </si>
  <si>
    <t>customer74@example.com</t>
  </si>
  <si>
    <t>CUST0075</t>
  </si>
  <si>
    <t>Customer_75</t>
  </si>
  <si>
    <t>customer75@example.com</t>
  </si>
  <si>
    <t>CUST0076</t>
  </si>
  <si>
    <t>Customer_76</t>
  </si>
  <si>
    <t>customer76@example.com</t>
  </si>
  <si>
    <t>CUST0077</t>
  </si>
  <si>
    <t>Customer_77</t>
  </si>
  <si>
    <t>customer77@example.com</t>
  </si>
  <si>
    <t>CUST0078</t>
  </si>
  <si>
    <t>Customer_78</t>
  </si>
  <si>
    <t>customer78@example.com</t>
  </si>
  <si>
    <t>CUST0079</t>
  </si>
  <si>
    <t>Customer_79</t>
  </si>
  <si>
    <t>customer79@example.com</t>
  </si>
  <si>
    <t>CUST0080</t>
  </si>
  <si>
    <t>Customer_80</t>
  </si>
  <si>
    <t>customer80@example.com</t>
  </si>
  <si>
    <t>CUST0081</t>
  </si>
  <si>
    <t>Customer_81</t>
  </si>
  <si>
    <t>customer81@example.com</t>
  </si>
  <si>
    <t>CUST0082</t>
  </si>
  <si>
    <t>Customer_82</t>
  </si>
  <si>
    <t>customer82@example.com</t>
  </si>
  <si>
    <t>CUST0083</t>
  </si>
  <si>
    <t>Customer_83</t>
  </si>
  <si>
    <t>customer83@example.com</t>
  </si>
  <si>
    <t>CUST0084</t>
  </si>
  <si>
    <t>Customer_84</t>
  </si>
  <si>
    <t>customer84@example.com</t>
  </si>
  <si>
    <t>CUST0085</t>
  </si>
  <si>
    <t>Customer_85</t>
  </si>
  <si>
    <t>customer85@example.com</t>
  </si>
  <si>
    <t>CUST0086</t>
  </si>
  <si>
    <t>Customer_86</t>
  </si>
  <si>
    <t>customer86@example.com</t>
  </si>
  <si>
    <t>CUST0087</t>
  </si>
  <si>
    <t>Customer_87</t>
  </si>
  <si>
    <t>customer87@example.com</t>
  </si>
  <si>
    <t>CUST0088</t>
  </si>
  <si>
    <t>Customer_88</t>
  </si>
  <si>
    <t>customer88@example.com</t>
  </si>
  <si>
    <t>CUST0089</t>
  </si>
  <si>
    <t>Customer_89</t>
  </si>
  <si>
    <t>customer89@example.com</t>
  </si>
  <si>
    <t>CUST0090</t>
  </si>
  <si>
    <t>Customer_90</t>
  </si>
  <si>
    <t>customer90@example.com</t>
  </si>
  <si>
    <t>CUST0091</t>
  </si>
  <si>
    <t>Customer_91</t>
  </si>
  <si>
    <t>customer91@example.com</t>
  </si>
  <si>
    <t>CUST0092</t>
  </si>
  <si>
    <t>Customer_92</t>
  </si>
  <si>
    <t>customer92@example.com</t>
  </si>
  <si>
    <t>CUST0093</t>
  </si>
  <si>
    <t>Customer_93</t>
  </si>
  <si>
    <t>customer93@example.com</t>
  </si>
  <si>
    <t>CUST0094</t>
  </si>
  <si>
    <t>Customer_94</t>
  </si>
  <si>
    <t>customer94@example.com</t>
  </si>
  <si>
    <t>CUST0095</t>
  </si>
  <si>
    <t>Customer_95</t>
  </si>
  <si>
    <t>customer95@example.com</t>
  </si>
  <si>
    <t>CUST0096</t>
  </si>
  <si>
    <t>Customer_96</t>
  </si>
  <si>
    <t>customer96@example.com</t>
  </si>
  <si>
    <t>CUST0097</t>
  </si>
  <si>
    <t>Customer_97</t>
  </si>
  <si>
    <t>customer97@example.com</t>
  </si>
  <si>
    <t>CUST0098</t>
  </si>
  <si>
    <t>Customer_98</t>
  </si>
  <si>
    <t>customer98@example.com</t>
  </si>
  <si>
    <t>CUST0099</t>
  </si>
  <si>
    <t>Customer_99</t>
  </si>
  <si>
    <t>customer99@example.com</t>
  </si>
  <si>
    <t>CUST0100</t>
  </si>
  <si>
    <t>Customer_100</t>
  </si>
  <si>
    <t>customer100@example.com</t>
  </si>
  <si>
    <t>CUST0101</t>
  </si>
  <si>
    <t>Customer_101</t>
  </si>
  <si>
    <t>customer101@example.com</t>
  </si>
  <si>
    <t>CUST0102</t>
  </si>
  <si>
    <t>Customer_102</t>
  </si>
  <si>
    <t>customer102@example.com</t>
  </si>
  <si>
    <t>CUST0103</t>
  </si>
  <si>
    <t>Customer_103</t>
  </si>
  <si>
    <t>customer103@example.com</t>
  </si>
  <si>
    <t>CUST0104</t>
  </si>
  <si>
    <t>Customer_104</t>
  </si>
  <si>
    <t>customer104@example.com</t>
  </si>
  <si>
    <t>CUST0105</t>
  </si>
  <si>
    <t>Customer_105</t>
  </si>
  <si>
    <t>customer105@example.com</t>
  </si>
  <si>
    <t>CUST0106</t>
  </si>
  <si>
    <t>Customer_106</t>
  </si>
  <si>
    <t>customer106@example.com</t>
  </si>
  <si>
    <t>CUST0107</t>
  </si>
  <si>
    <t>Customer_107</t>
  </si>
  <si>
    <t>customer107@example.com</t>
  </si>
  <si>
    <t>CUST0108</t>
  </si>
  <si>
    <t>Customer_108</t>
  </si>
  <si>
    <t>customer108@example.com</t>
  </si>
  <si>
    <t>CUST0109</t>
  </si>
  <si>
    <t>Customer_109</t>
  </si>
  <si>
    <t>customer109@example.com</t>
  </si>
  <si>
    <t>CUST0110</t>
  </si>
  <si>
    <t>Customer_110</t>
  </si>
  <si>
    <t>customer110@example.com</t>
  </si>
  <si>
    <t>CUST0111</t>
  </si>
  <si>
    <t>Customer_111</t>
  </si>
  <si>
    <t>customer111@example.com</t>
  </si>
  <si>
    <t>CUST0112</t>
  </si>
  <si>
    <t>Customer_112</t>
  </si>
  <si>
    <t>customer112@example.com</t>
  </si>
  <si>
    <t>CUST0113</t>
  </si>
  <si>
    <t>Customer_113</t>
  </si>
  <si>
    <t>customer113@example.com</t>
  </si>
  <si>
    <t>CUST0114</t>
  </si>
  <si>
    <t>Customer_114</t>
  </si>
  <si>
    <t>customer114@example.com</t>
  </si>
  <si>
    <t>CUST0115</t>
  </si>
  <si>
    <t>Customer_115</t>
  </si>
  <si>
    <t>customer115@example.com</t>
  </si>
  <si>
    <t>CUST0116</t>
  </si>
  <si>
    <t>Customer_116</t>
  </si>
  <si>
    <t>customer116@example.com</t>
  </si>
  <si>
    <t>CUST0117</t>
  </si>
  <si>
    <t>Customer_117</t>
  </si>
  <si>
    <t>customer117@example.com</t>
  </si>
  <si>
    <t>CUST0118</t>
  </si>
  <si>
    <t>Customer_118</t>
  </si>
  <si>
    <t>customer118@example.com</t>
  </si>
  <si>
    <t>CUST0119</t>
  </si>
  <si>
    <t>Customer_119</t>
  </si>
  <si>
    <t>customer119@example.com</t>
  </si>
  <si>
    <t>CUST0120</t>
  </si>
  <si>
    <t>Customer_120</t>
  </si>
  <si>
    <t>customer120@example.com</t>
  </si>
  <si>
    <t>CUST0121</t>
  </si>
  <si>
    <t>Customer_121</t>
  </si>
  <si>
    <t>customer121@example.com</t>
  </si>
  <si>
    <t>CUST0122</t>
  </si>
  <si>
    <t>Customer_122</t>
  </si>
  <si>
    <t>customer122@example.com</t>
  </si>
  <si>
    <t>CUST0123</t>
  </si>
  <si>
    <t>Customer_123</t>
  </si>
  <si>
    <t>customer123@example.com</t>
  </si>
  <si>
    <t>CUST0124</t>
  </si>
  <si>
    <t>Customer_124</t>
  </si>
  <si>
    <t>customer124@example.com</t>
  </si>
  <si>
    <t>CUST0125</t>
  </si>
  <si>
    <t>Customer_125</t>
  </si>
  <si>
    <t>customer125@example.com</t>
  </si>
  <si>
    <t>CUST0126</t>
  </si>
  <si>
    <t>Customer_126</t>
  </si>
  <si>
    <t>customer126@example.com</t>
  </si>
  <si>
    <t>CUST0127</t>
  </si>
  <si>
    <t>Customer_127</t>
  </si>
  <si>
    <t>customer127@example.com</t>
  </si>
  <si>
    <t>CUST0128</t>
  </si>
  <si>
    <t>Customer_128</t>
  </si>
  <si>
    <t>customer128@example.com</t>
  </si>
  <si>
    <t>CUST0129</t>
  </si>
  <si>
    <t>Customer_129</t>
  </si>
  <si>
    <t>customer129@example.com</t>
  </si>
  <si>
    <t>CUST0130</t>
  </si>
  <si>
    <t>Customer_130</t>
  </si>
  <si>
    <t>customer130@example.com</t>
  </si>
  <si>
    <t>CUST0131</t>
  </si>
  <si>
    <t>Customer_131</t>
  </si>
  <si>
    <t>customer131@example.com</t>
  </si>
  <si>
    <t>CUST0132</t>
  </si>
  <si>
    <t>Customer_132</t>
  </si>
  <si>
    <t>customer132@example.com</t>
  </si>
  <si>
    <t>CUST0133</t>
  </si>
  <si>
    <t>Customer_133</t>
  </si>
  <si>
    <t>customer133@example.com</t>
  </si>
  <si>
    <t>CUST0134</t>
  </si>
  <si>
    <t>Customer_134</t>
  </si>
  <si>
    <t>customer134@example.com</t>
  </si>
  <si>
    <t>CUST0135</t>
  </si>
  <si>
    <t>Customer_135</t>
  </si>
  <si>
    <t>customer135@example.com</t>
  </si>
  <si>
    <t>CUST0136</t>
  </si>
  <si>
    <t>Customer_136</t>
  </si>
  <si>
    <t>customer136@example.com</t>
  </si>
  <si>
    <t>CUST0137</t>
  </si>
  <si>
    <t>Customer_137</t>
  </si>
  <si>
    <t>customer137@example.com</t>
  </si>
  <si>
    <t>CUST0138</t>
  </si>
  <si>
    <t>Customer_138</t>
  </si>
  <si>
    <t>customer138@example.com</t>
  </si>
  <si>
    <t>CUST0139</t>
  </si>
  <si>
    <t>Customer_139</t>
  </si>
  <si>
    <t>customer139@example.com</t>
  </si>
  <si>
    <t>CUST0140</t>
  </si>
  <si>
    <t>Customer_140</t>
  </si>
  <si>
    <t>customer140@example.com</t>
  </si>
  <si>
    <t>CUST0141</t>
  </si>
  <si>
    <t>Customer_141</t>
  </si>
  <si>
    <t>customer141@example.com</t>
  </si>
  <si>
    <t>CUST0142</t>
  </si>
  <si>
    <t>Customer_142</t>
  </si>
  <si>
    <t>customer142@example.com</t>
  </si>
  <si>
    <t>CUST0143</t>
  </si>
  <si>
    <t>Customer_143</t>
  </si>
  <si>
    <t>customer143@example.com</t>
  </si>
  <si>
    <t>CUST0144</t>
  </si>
  <si>
    <t>Customer_144</t>
  </si>
  <si>
    <t>customer144@example.com</t>
  </si>
  <si>
    <t>CUST0145</t>
  </si>
  <si>
    <t>Customer_145</t>
  </si>
  <si>
    <t>customer145@example.com</t>
  </si>
  <si>
    <t>CUST0146</t>
  </si>
  <si>
    <t>Customer_146</t>
  </si>
  <si>
    <t>customer146@example.com</t>
  </si>
  <si>
    <t>CUST0147</t>
  </si>
  <si>
    <t>Customer_147</t>
  </si>
  <si>
    <t>customer147@example.com</t>
  </si>
  <si>
    <t>CUST0148</t>
  </si>
  <si>
    <t>Customer_148</t>
  </si>
  <si>
    <t>customer148@example.com</t>
  </si>
  <si>
    <t>CUST0149</t>
  </si>
  <si>
    <t>Customer_149</t>
  </si>
  <si>
    <t>customer149@example.com</t>
  </si>
  <si>
    <t>CUST0150</t>
  </si>
  <si>
    <t>Customer_150</t>
  </si>
  <si>
    <t>customer150@example.com</t>
  </si>
  <si>
    <t>CUST0151</t>
  </si>
  <si>
    <t>Customer_151</t>
  </si>
  <si>
    <t>customer151@example.com</t>
  </si>
  <si>
    <t>CUST0152</t>
  </si>
  <si>
    <t>Customer_152</t>
  </si>
  <si>
    <t>customer152@example.com</t>
  </si>
  <si>
    <t>CUST0153</t>
  </si>
  <si>
    <t>Customer_153</t>
  </si>
  <si>
    <t>customer153@example.com</t>
  </si>
  <si>
    <t>CUST0154</t>
  </si>
  <si>
    <t>Customer_154</t>
  </si>
  <si>
    <t>customer154@example.com</t>
  </si>
  <si>
    <t>CUST0155</t>
  </si>
  <si>
    <t>Customer_155</t>
  </si>
  <si>
    <t>customer155@example.com</t>
  </si>
  <si>
    <t>CUST0156</t>
  </si>
  <si>
    <t>Customer_156</t>
  </si>
  <si>
    <t>customer156@example.com</t>
  </si>
  <si>
    <t>CUST0157</t>
  </si>
  <si>
    <t>Customer_157</t>
  </si>
  <si>
    <t>customer157@example.com</t>
  </si>
  <si>
    <t>CUST0158</t>
  </si>
  <si>
    <t>Customer_158</t>
  </si>
  <si>
    <t>customer158@example.com</t>
  </si>
  <si>
    <t>CUST0159</t>
  </si>
  <si>
    <t>Customer_159</t>
  </si>
  <si>
    <t>customer159@example.com</t>
  </si>
  <si>
    <t>CUST0160</t>
  </si>
  <si>
    <t>Customer_160</t>
  </si>
  <si>
    <t>customer160@example.com</t>
  </si>
  <si>
    <t>CUST0161</t>
  </si>
  <si>
    <t>Customer_161</t>
  </si>
  <si>
    <t>customer161@example.com</t>
  </si>
  <si>
    <t>CUST0162</t>
  </si>
  <si>
    <t>Customer_162</t>
  </si>
  <si>
    <t>customer162@example.com</t>
  </si>
  <si>
    <t>CUST0163</t>
  </si>
  <si>
    <t>Customer_163</t>
  </si>
  <si>
    <t>customer163@example.com</t>
  </si>
  <si>
    <t>CUST0164</t>
  </si>
  <si>
    <t>Customer_164</t>
  </si>
  <si>
    <t>customer164@example.com</t>
  </si>
  <si>
    <t>CUST0165</t>
  </si>
  <si>
    <t>Customer_165</t>
  </si>
  <si>
    <t>customer165@example.com</t>
  </si>
  <si>
    <t>CUST0166</t>
  </si>
  <si>
    <t>Customer_166</t>
  </si>
  <si>
    <t>customer166@example.com</t>
  </si>
  <si>
    <t>CUST0167</t>
  </si>
  <si>
    <t>Customer_167</t>
  </si>
  <si>
    <t>customer167@example.com</t>
  </si>
  <si>
    <t>CUST0168</t>
  </si>
  <si>
    <t>Customer_168</t>
  </si>
  <si>
    <t>customer168@example.com</t>
  </si>
  <si>
    <t>CUST0169</t>
  </si>
  <si>
    <t>Customer_169</t>
  </si>
  <si>
    <t>customer169@example.com</t>
  </si>
  <si>
    <t>CUST0170</t>
  </si>
  <si>
    <t>Customer_170</t>
  </si>
  <si>
    <t>customer170@example.com</t>
  </si>
  <si>
    <t>CUST0171</t>
  </si>
  <si>
    <t>Customer_171</t>
  </si>
  <si>
    <t>customer171@example.com</t>
  </si>
  <si>
    <t>CUST0172</t>
  </si>
  <si>
    <t>Customer_172</t>
  </si>
  <si>
    <t>customer172@example.com</t>
  </si>
  <si>
    <t>CUST0173</t>
  </si>
  <si>
    <t>Customer_173</t>
  </si>
  <si>
    <t>customer173@example.com</t>
  </si>
  <si>
    <t>CUST0174</t>
  </si>
  <si>
    <t>Customer_174</t>
  </si>
  <si>
    <t>customer174@example.com</t>
  </si>
  <si>
    <t>CUST0175</t>
  </si>
  <si>
    <t>Customer_175</t>
  </si>
  <si>
    <t>customer175@example.com</t>
  </si>
  <si>
    <t>CUST0176</t>
  </si>
  <si>
    <t>Customer_176</t>
  </si>
  <si>
    <t>customer176@example.com</t>
  </si>
  <si>
    <t>CUST0177</t>
  </si>
  <si>
    <t>Customer_177</t>
  </si>
  <si>
    <t>customer177@example.com</t>
  </si>
  <si>
    <t>CUST0178</t>
  </si>
  <si>
    <t>Customer_178</t>
  </si>
  <si>
    <t>customer178@example.com</t>
  </si>
  <si>
    <t>CUST0179</t>
  </si>
  <si>
    <t>Customer_179</t>
  </si>
  <si>
    <t>customer179@example.com</t>
  </si>
  <si>
    <t>CUST0180</t>
  </si>
  <si>
    <t>Customer_180</t>
  </si>
  <si>
    <t>customer180@example.com</t>
  </si>
  <si>
    <t>CUST0181</t>
  </si>
  <si>
    <t>Customer_181</t>
  </si>
  <si>
    <t>customer181@example.com</t>
  </si>
  <si>
    <t>CUST0182</t>
  </si>
  <si>
    <t>Customer_182</t>
  </si>
  <si>
    <t>customer182@example.com</t>
  </si>
  <si>
    <t>CUST0183</t>
  </si>
  <si>
    <t>Customer_183</t>
  </si>
  <si>
    <t>customer183@example.com</t>
  </si>
  <si>
    <t>CUST0184</t>
  </si>
  <si>
    <t>Customer_184</t>
  </si>
  <si>
    <t>customer184@example.com</t>
  </si>
  <si>
    <t>CUST0185</t>
  </si>
  <si>
    <t>Customer_185</t>
  </si>
  <si>
    <t>customer185@example.com</t>
  </si>
  <si>
    <t>CUST0186</t>
  </si>
  <si>
    <t>Customer_186</t>
  </si>
  <si>
    <t>customer186@example.com</t>
  </si>
  <si>
    <t>CUST0187</t>
  </si>
  <si>
    <t>Customer_187</t>
  </si>
  <si>
    <t>customer187@example.com</t>
  </si>
  <si>
    <t>CUST0188</t>
  </si>
  <si>
    <t>Customer_188</t>
  </si>
  <si>
    <t>customer188@example.com</t>
  </si>
  <si>
    <t>CUST0189</t>
  </si>
  <si>
    <t>Customer_189</t>
  </si>
  <si>
    <t>customer189@example.com</t>
  </si>
  <si>
    <t>CUST0190</t>
  </si>
  <si>
    <t>Customer_190</t>
  </si>
  <si>
    <t>customer190@example.com</t>
  </si>
  <si>
    <t>CUST0191</t>
  </si>
  <si>
    <t>Customer_191</t>
  </si>
  <si>
    <t>customer191@example.com</t>
  </si>
  <si>
    <t>CUST0192</t>
  </si>
  <si>
    <t>Customer_192</t>
  </si>
  <si>
    <t>customer192@example.com</t>
  </si>
  <si>
    <t>CUST0193</t>
  </si>
  <si>
    <t>Customer_193</t>
  </si>
  <si>
    <t>customer193@example.com</t>
  </si>
  <si>
    <t>CUST0194</t>
  </si>
  <si>
    <t>Customer_194</t>
  </si>
  <si>
    <t>customer194@example.com</t>
  </si>
  <si>
    <t>CUST0195</t>
  </si>
  <si>
    <t>Customer_195</t>
  </si>
  <si>
    <t>customer195@example.com</t>
  </si>
  <si>
    <t>CUST0196</t>
  </si>
  <si>
    <t>Customer_196</t>
  </si>
  <si>
    <t>customer196@example.com</t>
  </si>
  <si>
    <t>CUST0197</t>
  </si>
  <si>
    <t>Customer_197</t>
  </si>
  <si>
    <t>customer197@example.com</t>
  </si>
  <si>
    <t>CUST0198</t>
  </si>
  <si>
    <t>Customer_198</t>
  </si>
  <si>
    <t>customer198@example.com</t>
  </si>
  <si>
    <t>CUST0199</t>
  </si>
  <si>
    <t>Customer_199</t>
  </si>
  <si>
    <t>customer199@example.com</t>
  </si>
  <si>
    <t>CUST0200</t>
  </si>
  <si>
    <t>Customer_200</t>
  </si>
  <si>
    <t>customer200@example.com</t>
  </si>
  <si>
    <t>CUST0201</t>
  </si>
  <si>
    <t>Customer_201</t>
  </si>
  <si>
    <t>customer201@example.com</t>
  </si>
  <si>
    <t>CUST0202</t>
  </si>
  <si>
    <t>Customer_202</t>
  </si>
  <si>
    <t>customer202@example.com</t>
  </si>
  <si>
    <t>CUST0203</t>
  </si>
  <si>
    <t>Customer_203</t>
  </si>
  <si>
    <t>customer203@example.com</t>
  </si>
  <si>
    <t>CUST0204</t>
  </si>
  <si>
    <t>Customer_204</t>
  </si>
  <si>
    <t>customer204@example.com</t>
  </si>
  <si>
    <t>CUST0205</t>
  </si>
  <si>
    <t>Customer_205</t>
  </si>
  <si>
    <t>customer205@example.com</t>
  </si>
  <si>
    <t>CUST0206</t>
  </si>
  <si>
    <t>Customer_206</t>
  </si>
  <si>
    <t>customer206@example.com</t>
  </si>
  <si>
    <t>CUST0207</t>
  </si>
  <si>
    <t>Customer_207</t>
  </si>
  <si>
    <t>customer207@example.com</t>
  </si>
  <si>
    <t>CUST0208</t>
  </si>
  <si>
    <t>Customer_208</t>
  </si>
  <si>
    <t>customer208@example.com</t>
  </si>
  <si>
    <t>CUST0209</t>
  </si>
  <si>
    <t>Customer_209</t>
  </si>
  <si>
    <t>customer209@example.com</t>
  </si>
  <si>
    <t>CUST0210</t>
  </si>
  <si>
    <t>Customer_210</t>
  </si>
  <si>
    <t>customer210@example.com</t>
  </si>
  <si>
    <t>CUST0211</t>
  </si>
  <si>
    <t>Customer_211</t>
  </si>
  <si>
    <t>customer211@example.com</t>
  </si>
  <si>
    <t>CUST0212</t>
  </si>
  <si>
    <t>Customer_212</t>
  </si>
  <si>
    <t>customer212@example.com</t>
  </si>
  <si>
    <t>CUST0213</t>
  </si>
  <si>
    <t>Customer_213</t>
  </si>
  <si>
    <t>customer213@example.com</t>
  </si>
  <si>
    <t>CUST0214</t>
  </si>
  <si>
    <t>Customer_214</t>
  </si>
  <si>
    <t>customer214@example.com</t>
  </si>
  <si>
    <t>CUST0215</t>
  </si>
  <si>
    <t>Customer_215</t>
  </si>
  <si>
    <t>customer215@example.com</t>
  </si>
  <si>
    <t>CUST0216</t>
  </si>
  <si>
    <t>Customer_216</t>
  </si>
  <si>
    <t>customer216@example.com</t>
  </si>
  <si>
    <t>CUST0217</t>
  </si>
  <si>
    <t>Customer_217</t>
  </si>
  <si>
    <t>customer217@example.com</t>
  </si>
  <si>
    <t>CUST0218</t>
  </si>
  <si>
    <t>Customer_218</t>
  </si>
  <si>
    <t>customer218@example.com</t>
  </si>
  <si>
    <t>CUST0219</t>
  </si>
  <si>
    <t>Customer_219</t>
  </si>
  <si>
    <t>customer219@example.com</t>
  </si>
  <si>
    <t>CUST0220</t>
  </si>
  <si>
    <t>Customer_220</t>
  </si>
  <si>
    <t>customer220@example.com</t>
  </si>
  <si>
    <t>CUST0221</t>
  </si>
  <si>
    <t>Customer_221</t>
  </si>
  <si>
    <t>customer221@example.com</t>
  </si>
  <si>
    <t>CUST0222</t>
  </si>
  <si>
    <t>Customer_222</t>
  </si>
  <si>
    <t>customer222@example.com</t>
  </si>
  <si>
    <t>CUST0223</t>
  </si>
  <si>
    <t>Customer_223</t>
  </si>
  <si>
    <t>customer223@example.com</t>
  </si>
  <si>
    <t>CUST0224</t>
  </si>
  <si>
    <t>Customer_224</t>
  </si>
  <si>
    <t>customer224@example.com</t>
  </si>
  <si>
    <t>CUST0225</t>
  </si>
  <si>
    <t>Customer_225</t>
  </si>
  <si>
    <t>customer225@example.com</t>
  </si>
  <si>
    <t>CUST0226</t>
  </si>
  <si>
    <t>Customer_226</t>
  </si>
  <si>
    <t>customer226@example.com</t>
  </si>
  <si>
    <t>CUST0227</t>
  </si>
  <si>
    <t>Customer_227</t>
  </si>
  <si>
    <t>customer227@example.com</t>
  </si>
  <si>
    <t>CUST0228</t>
  </si>
  <si>
    <t>Customer_228</t>
  </si>
  <si>
    <t>customer228@example.com</t>
  </si>
  <si>
    <t>CUST0229</t>
  </si>
  <si>
    <t>Customer_229</t>
  </si>
  <si>
    <t>customer229@example.com</t>
  </si>
  <si>
    <t>CUST0230</t>
  </si>
  <si>
    <t>Customer_230</t>
  </si>
  <si>
    <t>customer230@example.com</t>
  </si>
  <si>
    <t>CUST0231</t>
  </si>
  <si>
    <t>Customer_231</t>
  </si>
  <si>
    <t>customer231@example.com</t>
  </si>
  <si>
    <t>CUST0232</t>
  </si>
  <si>
    <t>Customer_232</t>
  </si>
  <si>
    <t>customer232@example.com</t>
  </si>
  <si>
    <t>CUST0233</t>
  </si>
  <si>
    <t>Customer_233</t>
  </si>
  <si>
    <t>customer233@example.com</t>
  </si>
  <si>
    <t>CUST0234</t>
  </si>
  <si>
    <t>Customer_234</t>
  </si>
  <si>
    <t>customer234@example.com</t>
  </si>
  <si>
    <t>CUST0235</t>
  </si>
  <si>
    <t>Customer_235</t>
  </si>
  <si>
    <t>customer235@example.com</t>
  </si>
  <si>
    <t>CUST0236</t>
  </si>
  <si>
    <t>Customer_236</t>
  </si>
  <si>
    <t>customer236@example.com</t>
  </si>
  <si>
    <t>CUST0237</t>
  </si>
  <si>
    <t>Customer_237</t>
  </si>
  <si>
    <t>customer237@example.com</t>
  </si>
  <si>
    <t>CUST0238</t>
  </si>
  <si>
    <t>Customer_238</t>
  </si>
  <si>
    <t>customer238@example.com</t>
  </si>
  <si>
    <t>CUST0239</t>
  </si>
  <si>
    <t>Customer_239</t>
  </si>
  <si>
    <t>customer239@example.com</t>
  </si>
  <si>
    <t>CUST0240</t>
  </si>
  <si>
    <t>Customer_240</t>
  </si>
  <si>
    <t>customer240@example.com</t>
  </si>
  <si>
    <t>CUST0241</t>
  </si>
  <si>
    <t>Customer_241</t>
  </si>
  <si>
    <t>customer241@example.com</t>
  </si>
  <si>
    <t>CUST0242</t>
  </si>
  <si>
    <t>Customer_242</t>
  </si>
  <si>
    <t>customer242@example.com</t>
  </si>
  <si>
    <t>CUST0243</t>
  </si>
  <si>
    <t>Customer_243</t>
  </si>
  <si>
    <t>customer243@example.com</t>
  </si>
  <si>
    <t>CUST0244</t>
  </si>
  <si>
    <t>Customer_244</t>
  </si>
  <si>
    <t>customer244@example.com</t>
  </si>
  <si>
    <t>CUST0245</t>
  </si>
  <si>
    <t>Customer_245</t>
  </si>
  <si>
    <t>customer245@example.com</t>
  </si>
  <si>
    <t>CUST0246</t>
  </si>
  <si>
    <t>Customer_246</t>
  </si>
  <si>
    <t>customer246@example.com</t>
  </si>
  <si>
    <t>CUST0247</t>
  </si>
  <si>
    <t>Customer_247</t>
  </si>
  <si>
    <t>customer247@example.com</t>
  </si>
  <si>
    <t>CUST0248</t>
  </si>
  <si>
    <t>Customer_248</t>
  </si>
  <si>
    <t>customer248@example.com</t>
  </si>
  <si>
    <t>CUST0249</t>
  </si>
  <si>
    <t>Customer_249</t>
  </si>
  <si>
    <t>customer249@example.com</t>
  </si>
  <si>
    <t>CUST0250</t>
  </si>
  <si>
    <t>Customer_250</t>
  </si>
  <si>
    <t>customer250@example.com</t>
  </si>
  <si>
    <t>CUST0251</t>
  </si>
  <si>
    <t>Customer_251</t>
  </si>
  <si>
    <t>customer251@example.com</t>
  </si>
  <si>
    <t>CUST0252</t>
  </si>
  <si>
    <t>Customer_252</t>
  </si>
  <si>
    <t>customer252@example.com</t>
  </si>
  <si>
    <t>CUST0253</t>
  </si>
  <si>
    <t>Customer_253</t>
  </si>
  <si>
    <t>customer253@example.com</t>
  </si>
  <si>
    <t>CUST0254</t>
  </si>
  <si>
    <t>Customer_254</t>
  </si>
  <si>
    <t>customer254@example.com</t>
  </si>
  <si>
    <t>CUST0255</t>
  </si>
  <si>
    <t>Customer_255</t>
  </si>
  <si>
    <t>customer255@example.com</t>
  </si>
  <si>
    <t>CUST0256</t>
  </si>
  <si>
    <t>Customer_256</t>
  </si>
  <si>
    <t>customer256@example.com</t>
  </si>
  <si>
    <t>CUST0257</t>
  </si>
  <si>
    <t>Customer_257</t>
  </si>
  <si>
    <t>customer257@example.com</t>
  </si>
  <si>
    <t>CUST0258</t>
  </si>
  <si>
    <t>Customer_258</t>
  </si>
  <si>
    <t>customer258@example.com</t>
  </si>
  <si>
    <t>CUST0259</t>
  </si>
  <si>
    <t>Customer_259</t>
  </si>
  <si>
    <t>customer259@example.com</t>
  </si>
  <si>
    <t>CUST0260</t>
  </si>
  <si>
    <t>Customer_260</t>
  </si>
  <si>
    <t>customer260@example.com</t>
  </si>
  <si>
    <t>CUST0261</t>
  </si>
  <si>
    <t>Customer_261</t>
  </si>
  <si>
    <t>customer261@example.com</t>
  </si>
  <si>
    <t>CUST0262</t>
  </si>
  <si>
    <t>Customer_262</t>
  </si>
  <si>
    <t>customer262@example.com</t>
  </si>
  <si>
    <t>CUST0263</t>
  </si>
  <si>
    <t>Customer_263</t>
  </si>
  <si>
    <t>customer263@example.com</t>
  </si>
  <si>
    <t>CUST0264</t>
  </si>
  <si>
    <t>Customer_264</t>
  </si>
  <si>
    <t>customer264@example.com</t>
  </si>
  <si>
    <t>CUST0265</t>
  </si>
  <si>
    <t>Customer_265</t>
  </si>
  <si>
    <t>customer265@example.com</t>
  </si>
  <si>
    <t>CUST0266</t>
  </si>
  <si>
    <t>Customer_266</t>
  </si>
  <si>
    <t>customer266@example.com</t>
  </si>
  <si>
    <t>CUST0267</t>
  </si>
  <si>
    <t>Customer_267</t>
  </si>
  <si>
    <t>customer267@example.com</t>
  </si>
  <si>
    <t>CUST0268</t>
  </si>
  <si>
    <t>Customer_268</t>
  </si>
  <si>
    <t>customer268@example.com</t>
  </si>
  <si>
    <t>CUST0269</t>
  </si>
  <si>
    <t>Customer_269</t>
  </si>
  <si>
    <t>customer269@example.com</t>
  </si>
  <si>
    <t>CUST0270</t>
  </si>
  <si>
    <t>Customer_270</t>
  </si>
  <si>
    <t>customer270@example.com</t>
  </si>
  <si>
    <t>CUST0271</t>
  </si>
  <si>
    <t>Customer_271</t>
  </si>
  <si>
    <t>customer271@example.com</t>
  </si>
  <si>
    <t>CUST0272</t>
  </si>
  <si>
    <t>Customer_272</t>
  </si>
  <si>
    <t>customer272@example.com</t>
  </si>
  <si>
    <t>CUST0273</t>
  </si>
  <si>
    <t>Customer_273</t>
  </si>
  <si>
    <t>customer273@example.com</t>
  </si>
  <si>
    <t>CUST0274</t>
  </si>
  <si>
    <t>Customer_274</t>
  </si>
  <si>
    <t>customer274@example.com</t>
  </si>
  <si>
    <t>CUST0275</t>
  </si>
  <si>
    <t>Customer_275</t>
  </si>
  <si>
    <t>customer275@example.com</t>
  </si>
  <si>
    <t>CUST0276</t>
  </si>
  <si>
    <t>Customer_276</t>
  </si>
  <si>
    <t>customer276@example.com</t>
  </si>
  <si>
    <t>CUST0277</t>
  </si>
  <si>
    <t>Customer_277</t>
  </si>
  <si>
    <t>customer277@example.com</t>
  </si>
  <si>
    <t>CUST0278</t>
  </si>
  <si>
    <t>Customer_278</t>
  </si>
  <si>
    <t>customer278@example.com</t>
  </si>
  <si>
    <t>CUST0279</t>
  </si>
  <si>
    <t>Customer_279</t>
  </si>
  <si>
    <t>customer279@example.com</t>
  </si>
  <si>
    <t>CUST0280</t>
  </si>
  <si>
    <t>Customer_280</t>
  </si>
  <si>
    <t>customer280@example.com</t>
  </si>
  <si>
    <t>CUST0281</t>
  </si>
  <si>
    <t>Customer_281</t>
  </si>
  <si>
    <t>customer281@example.com</t>
  </si>
  <si>
    <t>CUST0282</t>
  </si>
  <si>
    <t>Customer_282</t>
  </si>
  <si>
    <t>customer282@example.com</t>
  </si>
  <si>
    <t>CUST0283</t>
  </si>
  <si>
    <t>Customer_283</t>
  </si>
  <si>
    <t>customer283@example.com</t>
  </si>
  <si>
    <t>CUST0284</t>
  </si>
  <si>
    <t>Customer_284</t>
  </si>
  <si>
    <t>customer284@example.com</t>
  </si>
  <si>
    <t>CUST0285</t>
  </si>
  <si>
    <t>Customer_285</t>
  </si>
  <si>
    <t>customer285@example.com</t>
  </si>
  <si>
    <t>CUST0286</t>
  </si>
  <si>
    <t>Customer_286</t>
  </si>
  <si>
    <t>customer286@example.com</t>
  </si>
  <si>
    <t>CUST0287</t>
  </si>
  <si>
    <t>Customer_287</t>
  </si>
  <si>
    <t>customer287@example.com</t>
  </si>
  <si>
    <t>CUST0288</t>
  </si>
  <si>
    <t>Customer_288</t>
  </si>
  <si>
    <t>customer288@example.com</t>
  </si>
  <si>
    <t>CUST0289</t>
  </si>
  <si>
    <t>Customer_289</t>
  </si>
  <si>
    <t>customer289@example.com</t>
  </si>
  <si>
    <t>CUST0290</t>
  </si>
  <si>
    <t>Customer_290</t>
  </si>
  <si>
    <t>customer290@example.com</t>
  </si>
  <si>
    <t>CUST0291</t>
  </si>
  <si>
    <t>Customer_291</t>
  </si>
  <si>
    <t>customer291@example.com</t>
  </si>
  <si>
    <t>CUST0292</t>
  </si>
  <si>
    <t>Customer_292</t>
  </si>
  <si>
    <t>customer292@example.com</t>
  </si>
  <si>
    <t>CUST0293</t>
  </si>
  <si>
    <t>Customer_293</t>
  </si>
  <si>
    <t>customer293@example.com</t>
  </si>
  <si>
    <t>CUST0294</t>
  </si>
  <si>
    <t>Customer_294</t>
  </si>
  <si>
    <t>customer294@example.com</t>
  </si>
  <si>
    <t>CUST0295</t>
  </si>
  <si>
    <t>Customer_295</t>
  </si>
  <si>
    <t>customer295@example.com</t>
  </si>
  <si>
    <t>CUST0296</t>
  </si>
  <si>
    <t>Customer_296</t>
  </si>
  <si>
    <t>customer296@example.com</t>
  </si>
  <si>
    <t>CUST0297</t>
  </si>
  <si>
    <t>Customer_297</t>
  </si>
  <si>
    <t>customer297@example.com</t>
  </si>
  <si>
    <t>CUST0298</t>
  </si>
  <si>
    <t>Customer_298</t>
  </si>
  <si>
    <t>customer298@example.com</t>
  </si>
  <si>
    <t>CUST0299</t>
  </si>
  <si>
    <t>Customer_299</t>
  </si>
  <si>
    <t>customer299@example.com</t>
  </si>
  <si>
    <t>CUST0300</t>
  </si>
  <si>
    <t>Customer_300</t>
  </si>
  <si>
    <t>customer300@example.com</t>
  </si>
  <si>
    <t>CUST0301</t>
  </si>
  <si>
    <t>Customer_301</t>
  </si>
  <si>
    <t>customer301@example.com</t>
  </si>
  <si>
    <t>CUST0302</t>
  </si>
  <si>
    <t>Customer_302</t>
  </si>
  <si>
    <t>customer302@example.com</t>
  </si>
  <si>
    <t>CUST0303</t>
  </si>
  <si>
    <t>Customer_303</t>
  </si>
  <si>
    <t>customer303@example.com</t>
  </si>
  <si>
    <t>CUST0304</t>
  </si>
  <si>
    <t>Customer_304</t>
  </si>
  <si>
    <t>customer304@example.com</t>
  </si>
  <si>
    <t>CUST0305</t>
  </si>
  <si>
    <t>Customer_305</t>
  </si>
  <si>
    <t>customer305@example.com</t>
  </si>
  <si>
    <t>CUST0306</t>
  </si>
  <si>
    <t>Customer_306</t>
  </si>
  <si>
    <t>customer306@example.com</t>
  </si>
  <si>
    <t>CUST0307</t>
  </si>
  <si>
    <t>Customer_307</t>
  </si>
  <si>
    <t>customer307@example.com</t>
  </si>
  <si>
    <t>CUST0308</t>
  </si>
  <si>
    <t>Customer_308</t>
  </si>
  <si>
    <t>customer308@example.com</t>
  </si>
  <si>
    <t>CUST0309</t>
  </si>
  <si>
    <t>Customer_309</t>
  </si>
  <si>
    <t>customer309@example.com</t>
  </si>
  <si>
    <t>CUST0310</t>
  </si>
  <si>
    <t>Customer_310</t>
  </si>
  <si>
    <t>customer310@example.com</t>
  </si>
  <si>
    <t>CUST0311</t>
  </si>
  <si>
    <t>Customer_311</t>
  </si>
  <si>
    <t>customer311@example.com</t>
  </si>
  <si>
    <t>CUST0312</t>
  </si>
  <si>
    <t>Customer_312</t>
  </si>
  <si>
    <t>customer312@example.com</t>
  </si>
  <si>
    <t>CUST0313</t>
  </si>
  <si>
    <t>Customer_313</t>
  </si>
  <si>
    <t>customer313@example.com</t>
  </si>
  <si>
    <t>CUST0314</t>
  </si>
  <si>
    <t>Customer_314</t>
  </si>
  <si>
    <t>customer314@example.com</t>
  </si>
  <si>
    <t>CUST0315</t>
  </si>
  <si>
    <t>Customer_315</t>
  </si>
  <si>
    <t>customer315@example.com</t>
  </si>
  <si>
    <t>CUST0316</t>
  </si>
  <si>
    <t>Customer_316</t>
  </si>
  <si>
    <t>customer316@example.com</t>
  </si>
  <si>
    <t>CUST0317</t>
  </si>
  <si>
    <t>Customer_317</t>
  </si>
  <si>
    <t>customer317@example.com</t>
  </si>
  <si>
    <t>CUST0318</t>
  </si>
  <si>
    <t>Customer_318</t>
  </si>
  <si>
    <t>customer318@example.com</t>
  </si>
  <si>
    <t>CUST0319</t>
  </si>
  <si>
    <t>Customer_319</t>
  </si>
  <si>
    <t>customer319@example.com</t>
  </si>
  <si>
    <t>CUST0320</t>
  </si>
  <si>
    <t>Customer_320</t>
  </si>
  <si>
    <t>customer320@example.com</t>
  </si>
  <si>
    <t>CUST0321</t>
  </si>
  <si>
    <t>Customer_321</t>
  </si>
  <si>
    <t>customer321@example.com</t>
  </si>
  <si>
    <t>CUST0322</t>
  </si>
  <si>
    <t>Customer_322</t>
  </si>
  <si>
    <t>customer322@example.com</t>
  </si>
  <si>
    <t>CUST0323</t>
  </si>
  <si>
    <t>Customer_323</t>
  </si>
  <si>
    <t>customer323@example.com</t>
  </si>
  <si>
    <t>CUST0324</t>
  </si>
  <si>
    <t>Customer_324</t>
  </si>
  <si>
    <t>customer324@example.com</t>
  </si>
  <si>
    <t>CUST0325</t>
  </si>
  <si>
    <t>Customer_325</t>
  </si>
  <si>
    <t>customer325@example.com</t>
  </si>
  <si>
    <t>CUST0326</t>
  </si>
  <si>
    <t>Customer_326</t>
  </si>
  <si>
    <t>customer326@example.com</t>
  </si>
  <si>
    <t>CUST0327</t>
  </si>
  <si>
    <t>Customer_327</t>
  </si>
  <si>
    <t>customer327@example.com</t>
  </si>
  <si>
    <t>CUST0328</t>
  </si>
  <si>
    <t>Customer_328</t>
  </si>
  <si>
    <t>customer328@example.com</t>
  </si>
  <si>
    <t>CUST0329</t>
  </si>
  <si>
    <t>Customer_329</t>
  </si>
  <si>
    <t>customer329@example.com</t>
  </si>
  <si>
    <t>CUST0330</t>
  </si>
  <si>
    <t>Customer_330</t>
  </si>
  <si>
    <t>customer330@example.com</t>
  </si>
  <si>
    <t>CUST0331</t>
  </si>
  <si>
    <t>Customer_331</t>
  </si>
  <si>
    <t>customer331@example.com</t>
  </si>
  <si>
    <t>CUST0332</t>
  </si>
  <si>
    <t>Customer_332</t>
  </si>
  <si>
    <t>customer332@example.com</t>
  </si>
  <si>
    <t>CUST0333</t>
  </si>
  <si>
    <t>Customer_333</t>
  </si>
  <si>
    <t>customer333@example.com</t>
  </si>
  <si>
    <t>CUST0334</t>
  </si>
  <si>
    <t>Customer_334</t>
  </si>
  <si>
    <t>customer334@example.com</t>
  </si>
  <si>
    <t>CUST0335</t>
  </si>
  <si>
    <t>Customer_335</t>
  </si>
  <si>
    <t>customer335@example.com</t>
  </si>
  <si>
    <t>CUST0336</t>
  </si>
  <si>
    <t>Customer_336</t>
  </si>
  <si>
    <t>customer336@example.com</t>
  </si>
  <si>
    <t>CUST0337</t>
  </si>
  <si>
    <t>Customer_337</t>
  </si>
  <si>
    <t>customer337@example.com</t>
  </si>
  <si>
    <t>CUST0338</t>
  </si>
  <si>
    <t>Customer_338</t>
  </si>
  <si>
    <t>customer338@example.com</t>
  </si>
  <si>
    <t>CUST0339</t>
  </si>
  <si>
    <t>Customer_339</t>
  </si>
  <si>
    <t>customer339@example.com</t>
  </si>
  <si>
    <t>CUST0340</t>
  </si>
  <si>
    <t>Customer_340</t>
  </si>
  <si>
    <t>customer340@example.com</t>
  </si>
  <si>
    <t>CUST0341</t>
  </si>
  <si>
    <t>Customer_341</t>
  </si>
  <si>
    <t>customer341@example.com</t>
  </si>
  <si>
    <t>CUST0342</t>
  </si>
  <si>
    <t>Customer_342</t>
  </si>
  <si>
    <t>customer342@example.com</t>
  </si>
  <si>
    <t>CUST0343</t>
  </si>
  <si>
    <t>Customer_343</t>
  </si>
  <si>
    <t>customer343@example.com</t>
  </si>
  <si>
    <t>CUST0344</t>
  </si>
  <si>
    <t>Customer_344</t>
  </si>
  <si>
    <t>customer344@example.com</t>
  </si>
  <si>
    <t>CUST0345</t>
  </si>
  <si>
    <t>Customer_345</t>
  </si>
  <si>
    <t>customer345@example.com</t>
  </si>
  <si>
    <t>CUST0346</t>
  </si>
  <si>
    <t>Customer_346</t>
  </si>
  <si>
    <t>customer346@example.com</t>
  </si>
  <si>
    <t>CUST0347</t>
  </si>
  <si>
    <t>Customer_347</t>
  </si>
  <si>
    <t>customer347@example.com</t>
  </si>
  <si>
    <t>CUST0348</t>
  </si>
  <si>
    <t>Customer_348</t>
  </si>
  <si>
    <t>customer348@example.com</t>
  </si>
  <si>
    <t>CUST0349</t>
  </si>
  <si>
    <t>Customer_349</t>
  </si>
  <si>
    <t>customer349@example.com</t>
  </si>
  <si>
    <t>CUST0350</t>
  </si>
  <si>
    <t>Customer_350</t>
  </si>
  <si>
    <t>customer350@example.com</t>
  </si>
  <si>
    <t>CUST0351</t>
  </si>
  <si>
    <t>Customer_351</t>
  </si>
  <si>
    <t>customer351@example.com</t>
  </si>
  <si>
    <t>CUST0352</t>
  </si>
  <si>
    <t>Customer_352</t>
  </si>
  <si>
    <t>customer352@example.com</t>
  </si>
  <si>
    <t>CUST0353</t>
  </si>
  <si>
    <t>Customer_353</t>
  </si>
  <si>
    <t>customer353@example.com</t>
  </si>
  <si>
    <t>CUST0354</t>
  </si>
  <si>
    <t>Customer_354</t>
  </si>
  <si>
    <t>customer354@example.com</t>
  </si>
  <si>
    <t>CUST0355</t>
  </si>
  <si>
    <t>Customer_355</t>
  </si>
  <si>
    <t>customer355@example.com</t>
  </si>
  <si>
    <t>CUST0356</t>
  </si>
  <si>
    <t>Customer_356</t>
  </si>
  <si>
    <t>customer356@example.com</t>
  </si>
  <si>
    <t>CUST0357</t>
  </si>
  <si>
    <t>Customer_357</t>
  </si>
  <si>
    <t>customer357@example.com</t>
  </si>
  <si>
    <t>CUST0358</t>
  </si>
  <si>
    <t>Customer_358</t>
  </si>
  <si>
    <t>customer358@example.com</t>
  </si>
  <si>
    <t>CUST0359</t>
  </si>
  <si>
    <t>Customer_359</t>
  </si>
  <si>
    <t>customer359@example.com</t>
  </si>
  <si>
    <t>CUST0360</t>
  </si>
  <si>
    <t>Customer_360</t>
  </si>
  <si>
    <t>customer360@example.com</t>
  </si>
  <si>
    <t>CUST0361</t>
  </si>
  <si>
    <t>Customer_361</t>
  </si>
  <si>
    <t>customer361@example.com</t>
  </si>
  <si>
    <t>CUST0362</t>
  </si>
  <si>
    <t>Customer_362</t>
  </si>
  <si>
    <t>customer362@example.com</t>
  </si>
  <si>
    <t>CUST0363</t>
  </si>
  <si>
    <t>Customer_363</t>
  </si>
  <si>
    <t>customer363@example.com</t>
  </si>
  <si>
    <t>CUST0364</t>
  </si>
  <si>
    <t>Customer_364</t>
  </si>
  <si>
    <t>customer364@example.com</t>
  </si>
  <si>
    <t>CUST0365</t>
  </si>
  <si>
    <t>Customer_365</t>
  </si>
  <si>
    <t>customer365@example.com</t>
  </si>
  <si>
    <t>CUST0366</t>
  </si>
  <si>
    <t>Customer_366</t>
  </si>
  <si>
    <t>customer366@example.com</t>
  </si>
  <si>
    <t>CUST0367</t>
  </si>
  <si>
    <t>Customer_367</t>
  </si>
  <si>
    <t>customer367@example.com</t>
  </si>
  <si>
    <t>CUST0368</t>
  </si>
  <si>
    <t>Customer_368</t>
  </si>
  <si>
    <t>customer368@example.com</t>
  </si>
  <si>
    <t>CUST0369</t>
  </si>
  <si>
    <t>Customer_369</t>
  </si>
  <si>
    <t>customer369@example.com</t>
  </si>
  <si>
    <t>CUST0370</t>
  </si>
  <si>
    <t>Customer_370</t>
  </si>
  <si>
    <t>customer370@example.com</t>
  </si>
  <si>
    <t>CUST0371</t>
  </si>
  <si>
    <t>Customer_371</t>
  </si>
  <si>
    <t>customer371@example.com</t>
  </si>
  <si>
    <t>CUST0372</t>
  </si>
  <si>
    <t>Customer_372</t>
  </si>
  <si>
    <t>customer372@example.com</t>
  </si>
  <si>
    <t>CUST0373</t>
  </si>
  <si>
    <t>Customer_373</t>
  </si>
  <si>
    <t>customer373@example.com</t>
  </si>
  <si>
    <t>CUST0374</t>
  </si>
  <si>
    <t>Customer_374</t>
  </si>
  <si>
    <t>customer374@example.com</t>
  </si>
  <si>
    <t>CUST0375</t>
  </si>
  <si>
    <t>Customer_375</t>
  </si>
  <si>
    <t>customer375@example.com</t>
  </si>
  <si>
    <t>CUST0376</t>
  </si>
  <si>
    <t>Customer_376</t>
  </si>
  <si>
    <t>customer376@example.com</t>
  </si>
  <si>
    <t>CUST0377</t>
  </si>
  <si>
    <t>Customer_377</t>
  </si>
  <si>
    <t>customer377@example.com</t>
  </si>
  <si>
    <t>CUST0378</t>
  </si>
  <si>
    <t>Customer_378</t>
  </si>
  <si>
    <t>customer378@example.com</t>
  </si>
  <si>
    <t>CUST0379</t>
  </si>
  <si>
    <t>Customer_379</t>
  </si>
  <si>
    <t>customer379@example.com</t>
  </si>
  <si>
    <t>CUST0380</t>
  </si>
  <si>
    <t>Customer_380</t>
  </si>
  <si>
    <t>customer380@example.com</t>
  </si>
  <si>
    <t>CUST0381</t>
  </si>
  <si>
    <t>Customer_381</t>
  </si>
  <si>
    <t>customer381@example.com</t>
  </si>
  <si>
    <t>CUST0382</t>
  </si>
  <si>
    <t>Customer_382</t>
  </si>
  <si>
    <t>customer382@example.com</t>
  </si>
  <si>
    <t>CUST0383</t>
  </si>
  <si>
    <t>Customer_383</t>
  </si>
  <si>
    <t>customer383@example.com</t>
  </si>
  <si>
    <t>CUST0384</t>
  </si>
  <si>
    <t>Customer_384</t>
  </si>
  <si>
    <t>customer384@example.com</t>
  </si>
  <si>
    <t>CUST0385</t>
  </si>
  <si>
    <t>Customer_385</t>
  </si>
  <si>
    <t>customer385@example.com</t>
  </si>
  <si>
    <t>CUST0386</t>
  </si>
  <si>
    <t>Customer_386</t>
  </si>
  <si>
    <t>customer386@example.com</t>
  </si>
  <si>
    <t>CUST0387</t>
  </si>
  <si>
    <t>Customer_387</t>
  </si>
  <si>
    <t>customer387@example.com</t>
  </si>
  <si>
    <t>CUST0388</t>
  </si>
  <si>
    <t>Customer_388</t>
  </si>
  <si>
    <t>customer388@example.com</t>
  </si>
  <si>
    <t>CUST0389</t>
  </si>
  <si>
    <t>Customer_389</t>
  </si>
  <si>
    <t>customer389@example.com</t>
  </si>
  <si>
    <t>CUST0390</t>
  </si>
  <si>
    <t>Customer_390</t>
  </si>
  <si>
    <t>customer390@example.com</t>
  </si>
  <si>
    <t>CUST0391</t>
  </si>
  <si>
    <t>Customer_391</t>
  </si>
  <si>
    <t>customer391@example.com</t>
  </si>
  <si>
    <t>CUST0392</t>
  </si>
  <si>
    <t>Customer_392</t>
  </si>
  <si>
    <t>customer392@example.com</t>
  </si>
  <si>
    <t>CUST0393</t>
  </si>
  <si>
    <t>Customer_393</t>
  </si>
  <si>
    <t>customer393@example.com</t>
  </si>
  <si>
    <t>CUST0394</t>
  </si>
  <si>
    <t>Customer_394</t>
  </si>
  <si>
    <t>customer394@example.com</t>
  </si>
  <si>
    <t>CUST0395</t>
  </si>
  <si>
    <t>Customer_395</t>
  </si>
  <si>
    <t>customer395@example.com</t>
  </si>
  <si>
    <t>CUST0396</t>
  </si>
  <si>
    <t>Customer_396</t>
  </si>
  <si>
    <t>customer396@example.com</t>
  </si>
  <si>
    <t>CUST0397</t>
  </si>
  <si>
    <t>Customer_397</t>
  </si>
  <si>
    <t>customer397@example.com</t>
  </si>
  <si>
    <t>CUST0398</t>
  </si>
  <si>
    <t>Customer_398</t>
  </si>
  <si>
    <t>customer398@example.com</t>
  </si>
  <si>
    <t>CUST0399</t>
  </si>
  <si>
    <t>Customer_399</t>
  </si>
  <si>
    <t>customer399@example.com</t>
  </si>
  <si>
    <t>CUST0400</t>
  </si>
  <si>
    <t>Customer_400</t>
  </si>
  <si>
    <t>customer400@example.com</t>
  </si>
  <si>
    <t>CUST0401</t>
  </si>
  <si>
    <t>Customer_401</t>
  </si>
  <si>
    <t>customer401@example.com</t>
  </si>
  <si>
    <t>CUST0402</t>
  </si>
  <si>
    <t>Customer_402</t>
  </si>
  <si>
    <t>customer402@example.com</t>
  </si>
  <si>
    <t>CUST0403</t>
  </si>
  <si>
    <t>Customer_403</t>
  </si>
  <si>
    <t>customer403@example.com</t>
  </si>
  <si>
    <t>CUST0404</t>
  </si>
  <si>
    <t>Customer_404</t>
  </si>
  <si>
    <t>customer404@example.com</t>
  </si>
  <si>
    <t>CUST0405</t>
  </si>
  <si>
    <t>Customer_405</t>
  </si>
  <si>
    <t>customer405@example.com</t>
  </si>
  <si>
    <t>CUST0406</t>
  </si>
  <si>
    <t>Customer_406</t>
  </si>
  <si>
    <t>customer406@example.com</t>
  </si>
  <si>
    <t>CUST0407</t>
  </si>
  <si>
    <t>Customer_407</t>
  </si>
  <si>
    <t>customer407@example.com</t>
  </si>
  <si>
    <t>CUST0408</t>
  </si>
  <si>
    <t>Customer_408</t>
  </si>
  <si>
    <t>customer408@example.com</t>
  </si>
  <si>
    <t>CUST0409</t>
  </si>
  <si>
    <t>Customer_409</t>
  </si>
  <si>
    <t>customer409@example.com</t>
  </si>
  <si>
    <t>CUST0410</t>
  </si>
  <si>
    <t>Customer_410</t>
  </si>
  <si>
    <t>customer410@example.com</t>
  </si>
  <si>
    <t>CUST0411</t>
  </si>
  <si>
    <t>Customer_411</t>
  </si>
  <si>
    <t>customer411@example.com</t>
  </si>
  <si>
    <t>CUST0412</t>
  </si>
  <si>
    <t>Customer_412</t>
  </si>
  <si>
    <t>customer412@example.com</t>
  </si>
  <si>
    <t>CUST0413</t>
  </si>
  <si>
    <t>Customer_413</t>
  </si>
  <si>
    <t>customer413@example.com</t>
  </si>
  <si>
    <t>CUST0414</t>
  </si>
  <si>
    <t>Customer_414</t>
  </si>
  <si>
    <t>customer414@example.com</t>
  </si>
  <si>
    <t>CUST0415</t>
  </si>
  <si>
    <t>Customer_415</t>
  </si>
  <si>
    <t>customer415@example.com</t>
  </si>
  <si>
    <t>CUST0416</t>
  </si>
  <si>
    <t>Customer_416</t>
  </si>
  <si>
    <t>customer416@example.com</t>
  </si>
  <si>
    <t>CUST0417</t>
  </si>
  <si>
    <t>Customer_417</t>
  </si>
  <si>
    <t>customer417@example.com</t>
  </si>
  <si>
    <t>CUST0418</t>
  </si>
  <si>
    <t>Customer_418</t>
  </si>
  <si>
    <t>customer418@example.com</t>
  </si>
  <si>
    <t>CUST0419</t>
  </si>
  <si>
    <t>Customer_419</t>
  </si>
  <si>
    <t>customer419@example.com</t>
  </si>
  <si>
    <t>CUST0420</t>
  </si>
  <si>
    <t>Customer_420</t>
  </si>
  <si>
    <t>customer420@example.com</t>
  </si>
  <si>
    <t>CUST0421</t>
  </si>
  <si>
    <t>Customer_421</t>
  </si>
  <si>
    <t>customer421@example.com</t>
  </si>
  <si>
    <t>CUST0422</t>
  </si>
  <si>
    <t>Customer_422</t>
  </si>
  <si>
    <t>customer422@example.com</t>
  </si>
  <si>
    <t>CUST0423</t>
  </si>
  <si>
    <t>Customer_423</t>
  </si>
  <si>
    <t>customer423@example.com</t>
  </si>
  <si>
    <t>CUST0424</t>
  </si>
  <si>
    <t>Customer_424</t>
  </si>
  <si>
    <t>customer424@example.com</t>
  </si>
  <si>
    <t>CUST0425</t>
  </si>
  <si>
    <t>Customer_425</t>
  </si>
  <si>
    <t>customer425@example.com</t>
  </si>
  <si>
    <t>CUST0426</t>
  </si>
  <si>
    <t>Customer_426</t>
  </si>
  <si>
    <t>customer426@example.com</t>
  </si>
  <si>
    <t>CUST0427</t>
  </si>
  <si>
    <t>Customer_427</t>
  </si>
  <si>
    <t>customer427@example.com</t>
  </si>
  <si>
    <t>CUST0428</t>
  </si>
  <si>
    <t>Customer_428</t>
  </si>
  <si>
    <t>customer428@example.com</t>
  </si>
  <si>
    <t>CUST0429</t>
  </si>
  <si>
    <t>Customer_429</t>
  </si>
  <si>
    <t>customer429@example.com</t>
  </si>
  <si>
    <t>CUST0430</t>
  </si>
  <si>
    <t>Customer_430</t>
  </si>
  <si>
    <t>customer430@example.com</t>
  </si>
  <si>
    <t>CUST0431</t>
  </si>
  <si>
    <t>Customer_431</t>
  </si>
  <si>
    <t>customer431@example.com</t>
  </si>
  <si>
    <t>CUST0432</t>
  </si>
  <si>
    <t>Customer_432</t>
  </si>
  <si>
    <t>customer432@example.com</t>
  </si>
  <si>
    <t>CUST0433</t>
  </si>
  <si>
    <t>Customer_433</t>
  </si>
  <si>
    <t>customer433@example.com</t>
  </si>
  <si>
    <t>CUST0434</t>
  </si>
  <si>
    <t>Customer_434</t>
  </si>
  <si>
    <t>customer434@example.com</t>
  </si>
  <si>
    <t>CUST0435</t>
  </si>
  <si>
    <t>Customer_435</t>
  </si>
  <si>
    <t>customer435@example.com</t>
  </si>
  <si>
    <t>CUST0436</t>
  </si>
  <si>
    <t>Customer_436</t>
  </si>
  <si>
    <t>customer436@example.com</t>
  </si>
  <si>
    <t>CUST0437</t>
  </si>
  <si>
    <t>Customer_437</t>
  </si>
  <si>
    <t>customer437@example.com</t>
  </si>
  <si>
    <t>CUST0438</t>
  </si>
  <si>
    <t>Customer_438</t>
  </si>
  <si>
    <t>customer438@example.com</t>
  </si>
  <si>
    <t>CUST0439</t>
  </si>
  <si>
    <t>Customer_439</t>
  </si>
  <si>
    <t>customer439@example.com</t>
  </si>
  <si>
    <t>CUST0440</t>
  </si>
  <si>
    <t>Customer_440</t>
  </si>
  <si>
    <t>customer440@example.com</t>
  </si>
  <si>
    <t>CUST0441</t>
  </si>
  <si>
    <t>Customer_441</t>
  </si>
  <si>
    <t>customer441@example.com</t>
  </si>
  <si>
    <t>CUST0442</t>
  </si>
  <si>
    <t>Customer_442</t>
  </si>
  <si>
    <t>customer442@example.com</t>
  </si>
  <si>
    <t>CUST0443</t>
  </si>
  <si>
    <t>Customer_443</t>
  </si>
  <si>
    <t>customer443@example.com</t>
  </si>
  <si>
    <t>CUST0444</t>
  </si>
  <si>
    <t>Customer_444</t>
  </si>
  <si>
    <t>customer444@example.com</t>
  </si>
  <si>
    <t>CUST0445</t>
  </si>
  <si>
    <t>Customer_445</t>
  </si>
  <si>
    <t>customer445@example.com</t>
  </si>
  <si>
    <t>CUST0446</t>
  </si>
  <si>
    <t>Customer_446</t>
  </si>
  <si>
    <t>customer446@example.com</t>
  </si>
  <si>
    <t>CUST0447</t>
  </si>
  <si>
    <t>Customer_447</t>
  </si>
  <si>
    <t>customer447@example.com</t>
  </si>
  <si>
    <t>CUST0448</t>
  </si>
  <si>
    <t>Customer_448</t>
  </si>
  <si>
    <t>customer448@example.com</t>
  </si>
  <si>
    <t>CUST0449</t>
  </si>
  <si>
    <t>Customer_449</t>
  </si>
  <si>
    <t>customer449@example.com</t>
  </si>
  <si>
    <t>CUST0450</t>
  </si>
  <si>
    <t>Customer_450</t>
  </si>
  <si>
    <t>customer450@example.com</t>
  </si>
  <si>
    <t>CUST0451</t>
  </si>
  <si>
    <t>Customer_451</t>
  </si>
  <si>
    <t>customer451@example.com</t>
  </si>
  <si>
    <t>CUST0452</t>
  </si>
  <si>
    <t>Customer_452</t>
  </si>
  <si>
    <t>customer452@example.com</t>
  </si>
  <si>
    <t>CUST0453</t>
  </si>
  <si>
    <t>Customer_453</t>
  </si>
  <si>
    <t>customer453@example.com</t>
  </si>
  <si>
    <t>CUST0454</t>
  </si>
  <si>
    <t>Customer_454</t>
  </si>
  <si>
    <t>customer454@example.com</t>
  </si>
  <si>
    <t>CUST0455</t>
  </si>
  <si>
    <t>Customer_455</t>
  </si>
  <si>
    <t>customer455@example.com</t>
  </si>
  <si>
    <t>CUST0456</t>
  </si>
  <si>
    <t>Customer_456</t>
  </si>
  <si>
    <t>customer456@example.com</t>
  </si>
  <si>
    <t>CUST0457</t>
  </si>
  <si>
    <t>Customer_457</t>
  </si>
  <si>
    <t>customer457@example.com</t>
  </si>
  <si>
    <t>CUST0458</t>
  </si>
  <si>
    <t>Customer_458</t>
  </si>
  <si>
    <t>customer458@example.com</t>
  </si>
  <si>
    <t>CUST0459</t>
  </si>
  <si>
    <t>Customer_459</t>
  </si>
  <si>
    <t>customer459@example.com</t>
  </si>
  <si>
    <t>CUST0460</t>
  </si>
  <si>
    <t>Customer_460</t>
  </si>
  <si>
    <t>customer460@example.com</t>
  </si>
  <si>
    <t>CUST0461</t>
  </si>
  <si>
    <t>Customer_461</t>
  </si>
  <si>
    <t>customer461@example.com</t>
  </si>
  <si>
    <t>CUST0462</t>
  </si>
  <si>
    <t>Customer_462</t>
  </si>
  <si>
    <t>customer462@example.com</t>
  </si>
  <si>
    <t>CUST0463</t>
  </si>
  <si>
    <t>Customer_463</t>
  </si>
  <si>
    <t>customer463@example.com</t>
  </si>
  <si>
    <t>CUST0464</t>
  </si>
  <si>
    <t>Customer_464</t>
  </si>
  <si>
    <t>customer464@example.com</t>
  </si>
  <si>
    <t>CUST0465</t>
  </si>
  <si>
    <t>Customer_465</t>
  </si>
  <si>
    <t>customer465@example.com</t>
  </si>
  <si>
    <t>CUST0466</t>
  </si>
  <si>
    <t>Customer_466</t>
  </si>
  <si>
    <t>customer466@example.com</t>
  </si>
  <si>
    <t>CUST0467</t>
  </si>
  <si>
    <t>Customer_467</t>
  </si>
  <si>
    <t>customer467@example.com</t>
  </si>
  <si>
    <t>CUST0468</t>
  </si>
  <si>
    <t>Customer_468</t>
  </si>
  <si>
    <t>customer468@example.com</t>
  </si>
  <si>
    <t>CUST0469</t>
  </si>
  <si>
    <t>Customer_469</t>
  </si>
  <si>
    <t>customer469@example.com</t>
  </si>
  <si>
    <t>CUST0470</t>
  </si>
  <si>
    <t>Customer_470</t>
  </si>
  <si>
    <t>customer470@example.com</t>
  </si>
  <si>
    <t>CUST0471</t>
  </si>
  <si>
    <t>Customer_471</t>
  </si>
  <si>
    <t>customer471@example.com</t>
  </si>
  <si>
    <t>CUST0472</t>
  </si>
  <si>
    <t>Customer_472</t>
  </si>
  <si>
    <t>customer472@example.com</t>
  </si>
  <si>
    <t>CUST0473</t>
  </si>
  <si>
    <t>Customer_473</t>
  </si>
  <si>
    <t>customer473@example.com</t>
  </si>
  <si>
    <t>CUST0474</t>
  </si>
  <si>
    <t>Customer_474</t>
  </si>
  <si>
    <t>customer474@example.com</t>
  </si>
  <si>
    <t>CUST0475</t>
  </si>
  <si>
    <t>Customer_475</t>
  </si>
  <si>
    <t>customer475@example.com</t>
  </si>
  <si>
    <t>CUST0476</t>
  </si>
  <si>
    <t>Customer_476</t>
  </si>
  <si>
    <t>customer476@example.com</t>
  </si>
  <si>
    <t>CUST0477</t>
  </si>
  <si>
    <t>Customer_477</t>
  </si>
  <si>
    <t>customer477@example.com</t>
  </si>
  <si>
    <t>CUST0478</t>
  </si>
  <si>
    <t>Customer_478</t>
  </si>
  <si>
    <t>customer478@example.com</t>
  </si>
  <si>
    <t>CUST0479</t>
  </si>
  <si>
    <t>Customer_479</t>
  </si>
  <si>
    <t>customer479@example.com</t>
  </si>
  <si>
    <t>CUST0480</t>
  </si>
  <si>
    <t>Customer_480</t>
  </si>
  <si>
    <t>customer480@example.com</t>
  </si>
  <si>
    <t>CUST0481</t>
  </si>
  <si>
    <t>Customer_481</t>
  </si>
  <si>
    <t>customer481@example.com</t>
  </si>
  <si>
    <t>CUST0482</t>
  </si>
  <si>
    <t>Customer_482</t>
  </si>
  <si>
    <t>customer482@example.com</t>
  </si>
  <si>
    <t>CUST0483</t>
  </si>
  <si>
    <t>Customer_483</t>
  </si>
  <si>
    <t>customer483@example.com</t>
  </si>
  <si>
    <t>CUST0484</t>
  </si>
  <si>
    <t>Customer_484</t>
  </si>
  <si>
    <t>customer484@example.com</t>
  </si>
  <si>
    <t>CUST0485</t>
  </si>
  <si>
    <t>Customer_485</t>
  </si>
  <si>
    <t>customer485@example.com</t>
  </si>
  <si>
    <t>CUST0486</t>
  </si>
  <si>
    <t>Customer_486</t>
  </si>
  <si>
    <t>customer486@example.com</t>
  </si>
  <si>
    <t>CUST0487</t>
  </si>
  <si>
    <t>Customer_487</t>
  </si>
  <si>
    <t>customer487@example.com</t>
  </si>
  <si>
    <t>CUST0488</t>
  </si>
  <si>
    <t>Customer_488</t>
  </si>
  <si>
    <t>customer488@example.com</t>
  </si>
  <si>
    <t>CUST0489</t>
  </si>
  <si>
    <t>Customer_489</t>
  </si>
  <si>
    <t>customer489@example.com</t>
  </si>
  <si>
    <t>CUST0490</t>
  </si>
  <si>
    <t>Customer_490</t>
  </si>
  <si>
    <t>customer490@example.com</t>
  </si>
  <si>
    <t>CUST0491</t>
  </si>
  <si>
    <t>Customer_491</t>
  </si>
  <si>
    <t>customer491@example.com</t>
  </si>
  <si>
    <t>CUST0492</t>
  </si>
  <si>
    <t>Customer_492</t>
  </si>
  <si>
    <t>customer492@example.com</t>
  </si>
  <si>
    <t>CUST0493</t>
  </si>
  <si>
    <t>Customer_493</t>
  </si>
  <si>
    <t>customer493@example.com</t>
  </si>
  <si>
    <t>CUST0494</t>
  </si>
  <si>
    <t>Customer_494</t>
  </si>
  <si>
    <t>customer494@example.com</t>
  </si>
  <si>
    <t>CUST0495</t>
  </si>
  <si>
    <t>Customer_495</t>
  </si>
  <si>
    <t>customer495@example.com</t>
  </si>
  <si>
    <t>CUST0496</t>
  </si>
  <si>
    <t>Customer_496</t>
  </si>
  <si>
    <t>customer496@example.com</t>
  </si>
  <si>
    <t>CUST0497</t>
  </si>
  <si>
    <t>Customer_497</t>
  </si>
  <si>
    <t>customer497@example.com</t>
  </si>
  <si>
    <t>CUST0498</t>
  </si>
  <si>
    <t>Customer_498</t>
  </si>
  <si>
    <t>customer498@example.com</t>
  </si>
  <si>
    <t>CUST0499</t>
  </si>
  <si>
    <t>Customer_499</t>
  </si>
  <si>
    <t>customer499@example.com</t>
  </si>
  <si>
    <t>CUST0500</t>
  </si>
  <si>
    <t>Customer_500</t>
  </si>
  <si>
    <t>customer500@example.com</t>
  </si>
  <si>
    <t>CUST0501</t>
  </si>
  <si>
    <t>Customer_501</t>
  </si>
  <si>
    <t>customer501@example.com</t>
  </si>
  <si>
    <t>CUST0502</t>
  </si>
  <si>
    <t>Customer_502</t>
  </si>
  <si>
    <t>customer502@example.com</t>
  </si>
  <si>
    <t>CUST0503</t>
  </si>
  <si>
    <t>Customer_503</t>
  </si>
  <si>
    <t>customer503@example.com</t>
  </si>
  <si>
    <t>CUST0504</t>
  </si>
  <si>
    <t>Customer_504</t>
  </si>
  <si>
    <t>customer504@example.com</t>
  </si>
  <si>
    <t>CUST0505</t>
  </si>
  <si>
    <t>Customer_505</t>
  </si>
  <si>
    <t>customer505@example.com</t>
  </si>
  <si>
    <t>CUST0506</t>
  </si>
  <si>
    <t>Customer_506</t>
  </si>
  <si>
    <t>customer506@example.com</t>
  </si>
  <si>
    <t>CUST0507</t>
  </si>
  <si>
    <t>Customer_507</t>
  </si>
  <si>
    <t>customer507@example.com</t>
  </si>
  <si>
    <t>CUST0508</t>
  </si>
  <si>
    <t>Customer_508</t>
  </si>
  <si>
    <t>customer508@example.com</t>
  </si>
  <si>
    <t>CUST0509</t>
  </si>
  <si>
    <t>Customer_509</t>
  </si>
  <si>
    <t>customer509@example.com</t>
  </si>
  <si>
    <t>CUST0510</t>
  </si>
  <si>
    <t>Customer_510</t>
  </si>
  <si>
    <t>customer510@example.com</t>
  </si>
  <si>
    <t>CUST0511</t>
  </si>
  <si>
    <t>Customer_511</t>
  </si>
  <si>
    <t>customer511@example.com</t>
  </si>
  <si>
    <t>CUST0512</t>
  </si>
  <si>
    <t>Customer_512</t>
  </si>
  <si>
    <t>customer512@example.com</t>
  </si>
  <si>
    <t>CUST0513</t>
  </si>
  <si>
    <t>Customer_513</t>
  </si>
  <si>
    <t>customer513@example.com</t>
  </si>
  <si>
    <t>CUST0514</t>
  </si>
  <si>
    <t>Customer_514</t>
  </si>
  <si>
    <t>customer514@example.com</t>
  </si>
  <si>
    <t>CUST0515</t>
  </si>
  <si>
    <t>Customer_515</t>
  </si>
  <si>
    <t>customer515@example.com</t>
  </si>
  <si>
    <t>CUST0516</t>
  </si>
  <si>
    <t>Customer_516</t>
  </si>
  <si>
    <t>customer516@example.com</t>
  </si>
  <si>
    <t>CUST0517</t>
  </si>
  <si>
    <t>Customer_517</t>
  </si>
  <si>
    <t>customer517@example.com</t>
  </si>
  <si>
    <t>CUST0518</t>
  </si>
  <si>
    <t>Customer_518</t>
  </si>
  <si>
    <t>customer518@example.com</t>
  </si>
  <si>
    <t>CUST0519</t>
  </si>
  <si>
    <t>Customer_519</t>
  </si>
  <si>
    <t>customer519@example.com</t>
  </si>
  <si>
    <t>CUST0520</t>
  </si>
  <si>
    <t>Customer_520</t>
  </si>
  <si>
    <t>customer520@example.com</t>
  </si>
  <si>
    <t>CUST0521</t>
  </si>
  <si>
    <t>Customer_521</t>
  </si>
  <si>
    <t>customer521@example.com</t>
  </si>
  <si>
    <t>CUST0522</t>
  </si>
  <si>
    <t>Customer_522</t>
  </si>
  <si>
    <t>customer522@example.com</t>
  </si>
  <si>
    <t>CUST0523</t>
  </si>
  <si>
    <t>Customer_523</t>
  </si>
  <si>
    <t>customer523@example.com</t>
  </si>
  <si>
    <t>CUST0524</t>
  </si>
  <si>
    <t>Customer_524</t>
  </si>
  <si>
    <t>customer524@example.com</t>
  </si>
  <si>
    <t>CUST0525</t>
  </si>
  <si>
    <t>Customer_525</t>
  </si>
  <si>
    <t>customer525@example.com</t>
  </si>
  <si>
    <t>CUST0526</t>
  </si>
  <si>
    <t>Customer_526</t>
  </si>
  <si>
    <t>customer526@example.com</t>
  </si>
  <si>
    <t>CUST0527</t>
  </si>
  <si>
    <t>Customer_527</t>
  </si>
  <si>
    <t>customer527@example.com</t>
  </si>
  <si>
    <t>CUST0528</t>
  </si>
  <si>
    <t>Customer_528</t>
  </si>
  <si>
    <t>customer528@example.com</t>
  </si>
  <si>
    <t>CUST0529</t>
  </si>
  <si>
    <t>Customer_529</t>
  </si>
  <si>
    <t>customer529@example.com</t>
  </si>
  <si>
    <t>CUST0530</t>
  </si>
  <si>
    <t>Customer_530</t>
  </si>
  <si>
    <t>customer530@example.com</t>
  </si>
  <si>
    <t>CUST0531</t>
  </si>
  <si>
    <t>Customer_531</t>
  </si>
  <si>
    <t>customer531@example.com</t>
  </si>
  <si>
    <t>CUST0532</t>
  </si>
  <si>
    <t>Customer_532</t>
  </si>
  <si>
    <t>customer532@example.com</t>
  </si>
  <si>
    <t>CUST0533</t>
  </si>
  <si>
    <t>Customer_533</t>
  </si>
  <si>
    <t>customer533@example.com</t>
  </si>
  <si>
    <t>CUST0534</t>
  </si>
  <si>
    <t>Customer_534</t>
  </si>
  <si>
    <t>customer534@example.com</t>
  </si>
  <si>
    <t>CUST0535</t>
  </si>
  <si>
    <t>Customer_535</t>
  </si>
  <si>
    <t>customer535@example.com</t>
  </si>
  <si>
    <t>CUST0536</t>
  </si>
  <si>
    <t>Customer_536</t>
  </si>
  <si>
    <t>customer536@example.com</t>
  </si>
  <si>
    <t>CUST0537</t>
  </si>
  <si>
    <t>Customer_537</t>
  </si>
  <si>
    <t>customer537@example.com</t>
  </si>
  <si>
    <t>CUST0538</t>
  </si>
  <si>
    <t>Customer_538</t>
  </si>
  <si>
    <t>customer538@example.com</t>
  </si>
  <si>
    <t>CUST0539</t>
  </si>
  <si>
    <t>Customer_539</t>
  </si>
  <si>
    <t>customer539@example.com</t>
  </si>
  <si>
    <t>CUST0540</t>
  </si>
  <si>
    <t>Customer_540</t>
  </si>
  <si>
    <t>customer540@example.com</t>
  </si>
  <si>
    <t>CUST0541</t>
  </si>
  <si>
    <t>Customer_541</t>
  </si>
  <si>
    <t>customer541@example.com</t>
  </si>
  <si>
    <t>CUST0542</t>
  </si>
  <si>
    <t>Customer_542</t>
  </si>
  <si>
    <t>customer542@example.com</t>
  </si>
  <si>
    <t>CUST0543</t>
  </si>
  <si>
    <t>Customer_543</t>
  </si>
  <si>
    <t>customer543@example.com</t>
  </si>
  <si>
    <t>CUST0544</t>
  </si>
  <si>
    <t>Customer_544</t>
  </si>
  <si>
    <t>customer544@example.com</t>
  </si>
  <si>
    <t>CUST0545</t>
  </si>
  <si>
    <t>Customer_545</t>
  </si>
  <si>
    <t>customer545@example.com</t>
  </si>
  <si>
    <t>CUST0546</t>
  </si>
  <si>
    <t>Customer_546</t>
  </si>
  <si>
    <t>customer546@example.com</t>
  </si>
  <si>
    <t>CUST0547</t>
  </si>
  <si>
    <t>Customer_547</t>
  </si>
  <si>
    <t>customer547@example.com</t>
  </si>
  <si>
    <t>CUST0548</t>
  </si>
  <si>
    <t>Customer_548</t>
  </si>
  <si>
    <t>customer548@example.com</t>
  </si>
  <si>
    <t>CUST0549</t>
  </si>
  <si>
    <t>Customer_549</t>
  </si>
  <si>
    <t>customer549@example.com</t>
  </si>
  <si>
    <t>CUST0550</t>
  </si>
  <si>
    <t>Customer_550</t>
  </si>
  <si>
    <t>customer550@example.com</t>
  </si>
  <si>
    <t>CUST0551</t>
  </si>
  <si>
    <t>Customer_551</t>
  </si>
  <si>
    <t>customer551@example.com</t>
  </si>
  <si>
    <t>CUST0552</t>
  </si>
  <si>
    <t>Customer_552</t>
  </si>
  <si>
    <t>customer552@example.com</t>
  </si>
  <si>
    <t>CUST0553</t>
  </si>
  <si>
    <t>Customer_553</t>
  </si>
  <si>
    <t>customer553@example.com</t>
  </si>
  <si>
    <t>CUST0554</t>
  </si>
  <si>
    <t>Customer_554</t>
  </si>
  <si>
    <t>customer554@example.com</t>
  </si>
  <si>
    <t>CUST0555</t>
  </si>
  <si>
    <t>Customer_555</t>
  </si>
  <si>
    <t>customer555@example.com</t>
  </si>
  <si>
    <t>CUST0556</t>
  </si>
  <si>
    <t>Customer_556</t>
  </si>
  <si>
    <t>customer556@example.com</t>
  </si>
  <si>
    <t>CUST0557</t>
  </si>
  <si>
    <t>Customer_557</t>
  </si>
  <si>
    <t>customer557@example.com</t>
  </si>
  <si>
    <t>CUST0558</t>
  </si>
  <si>
    <t>Customer_558</t>
  </si>
  <si>
    <t>customer558@example.com</t>
  </si>
  <si>
    <t>CUST0559</t>
  </si>
  <si>
    <t>Customer_559</t>
  </si>
  <si>
    <t>customer559@example.com</t>
  </si>
  <si>
    <t>CUST0560</t>
  </si>
  <si>
    <t>Customer_560</t>
  </si>
  <si>
    <t>customer560@example.com</t>
  </si>
  <si>
    <t>CUST0561</t>
  </si>
  <si>
    <t>Customer_561</t>
  </si>
  <si>
    <t>customer561@example.com</t>
  </si>
  <si>
    <t>CUST0562</t>
  </si>
  <si>
    <t>Customer_562</t>
  </si>
  <si>
    <t>customer562@example.com</t>
  </si>
  <si>
    <t>CUST0563</t>
  </si>
  <si>
    <t>Customer_563</t>
  </si>
  <si>
    <t>customer563@example.com</t>
  </si>
  <si>
    <t>CUST0564</t>
  </si>
  <si>
    <t>Customer_564</t>
  </si>
  <si>
    <t>customer564@example.com</t>
  </si>
  <si>
    <t>CUST0565</t>
  </si>
  <si>
    <t>Customer_565</t>
  </si>
  <si>
    <t>customer565@example.com</t>
  </si>
  <si>
    <t>CUST0566</t>
  </si>
  <si>
    <t>Customer_566</t>
  </si>
  <si>
    <t>customer566@example.com</t>
  </si>
  <si>
    <t>CUST0567</t>
  </si>
  <si>
    <t>Customer_567</t>
  </si>
  <si>
    <t>customer567@example.com</t>
  </si>
  <si>
    <t>CUST0568</t>
  </si>
  <si>
    <t>Customer_568</t>
  </si>
  <si>
    <t>customer568@example.com</t>
  </si>
  <si>
    <t>CUST0569</t>
  </si>
  <si>
    <t>Customer_569</t>
  </si>
  <si>
    <t>customer569@example.com</t>
  </si>
  <si>
    <t>CUST0570</t>
  </si>
  <si>
    <t>Customer_570</t>
  </si>
  <si>
    <t>customer570@example.com</t>
  </si>
  <si>
    <t>CUST0571</t>
  </si>
  <si>
    <t>Customer_571</t>
  </si>
  <si>
    <t>customer571@example.com</t>
  </si>
  <si>
    <t>CUST0572</t>
  </si>
  <si>
    <t>Customer_572</t>
  </si>
  <si>
    <t>customer572@example.com</t>
  </si>
  <si>
    <t>CUST0573</t>
  </si>
  <si>
    <t>Customer_573</t>
  </si>
  <si>
    <t>customer573@example.com</t>
  </si>
  <si>
    <t>CUST0574</t>
  </si>
  <si>
    <t>Customer_574</t>
  </si>
  <si>
    <t>customer574@example.com</t>
  </si>
  <si>
    <t>CUST0575</t>
  </si>
  <si>
    <t>Customer_575</t>
  </si>
  <si>
    <t>customer575@example.com</t>
  </si>
  <si>
    <t>CUST0576</t>
  </si>
  <si>
    <t>Customer_576</t>
  </si>
  <si>
    <t>customer576@example.com</t>
  </si>
  <si>
    <t>CUST0577</t>
  </si>
  <si>
    <t>Customer_577</t>
  </si>
  <si>
    <t>customer577@example.com</t>
  </si>
  <si>
    <t>CUST0578</t>
  </si>
  <si>
    <t>Customer_578</t>
  </si>
  <si>
    <t>customer578@example.com</t>
  </si>
  <si>
    <t>CUST0579</t>
  </si>
  <si>
    <t>Customer_579</t>
  </si>
  <si>
    <t>customer579@example.com</t>
  </si>
  <si>
    <t>CUST0580</t>
  </si>
  <si>
    <t>Customer_580</t>
  </si>
  <si>
    <t>customer580@example.com</t>
  </si>
  <si>
    <t>CUST0581</t>
  </si>
  <si>
    <t>Customer_581</t>
  </si>
  <si>
    <t>customer581@example.com</t>
  </si>
  <si>
    <t>CUST0582</t>
  </si>
  <si>
    <t>Customer_582</t>
  </si>
  <si>
    <t>customer582@example.com</t>
  </si>
  <si>
    <t>CUST0583</t>
  </si>
  <si>
    <t>Customer_583</t>
  </si>
  <si>
    <t>customer583@example.com</t>
  </si>
  <si>
    <t>CUST0584</t>
  </si>
  <si>
    <t>Customer_584</t>
  </si>
  <si>
    <t>customer584@example.com</t>
  </si>
  <si>
    <t>CUST0585</t>
  </si>
  <si>
    <t>Customer_585</t>
  </si>
  <si>
    <t>customer585@example.com</t>
  </si>
  <si>
    <t>CUST0586</t>
  </si>
  <si>
    <t>Customer_586</t>
  </si>
  <si>
    <t>customer586@example.com</t>
  </si>
  <si>
    <t>CUST0587</t>
  </si>
  <si>
    <t>Customer_587</t>
  </si>
  <si>
    <t>customer587@example.com</t>
  </si>
  <si>
    <t>CUST0588</t>
  </si>
  <si>
    <t>Customer_588</t>
  </si>
  <si>
    <t>customer588@example.com</t>
  </si>
  <si>
    <t>CUST0589</t>
  </si>
  <si>
    <t>Customer_589</t>
  </si>
  <si>
    <t>customer589@example.com</t>
  </si>
  <si>
    <t>CUST0590</t>
  </si>
  <si>
    <t>Customer_590</t>
  </si>
  <si>
    <t>customer590@example.com</t>
  </si>
  <si>
    <t>CUST0591</t>
  </si>
  <si>
    <t>Customer_591</t>
  </si>
  <si>
    <t>customer591@example.com</t>
  </si>
  <si>
    <t>CUST0592</t>
  </si>
  <si>
    <t>Customer_592</t>
  </si>
  <si>
    <t>customer592@example.com</t>
  </si>
  <si>
    <t>CUST0593</t>
  </si>
  <si>
    <t>Customer_593</t>
  </si>
  <si>
    <t>customer593@example.com</t>
  </si>
  <si>
    <t>CUST0594</t>
  </si>
  <si>
    <t>Customer_594</t>
  </si>
  <si>
    <t>customer594@example.com</t>
  </si>
  <si>
    <t>CUST0595</t>
  </si>
  <si>
    <t>Customer_595</t>
  </si>
  <si>
    <t>customer595@example.com</t>
  </si>
  <si>
    <t>CUST0596</t>
  </si>
  <si>
    <t>Customer_596</t>
  </si>
  <si>
    <t>customer596@example.com</t>
  </si>
  <si>
    <t>CUST0597</t>
  </si>
  <si>
    <t>Customer_597</t>
  </si>
  <si>
    <t>customer597@example.com</t>
  </si>
  <si>
    <t>CUST0598</t>
  </si>
  <si>
    <t>Customer_598</t>
  </si>
  <si>
    <t>customer598@example.com</t>
  </si>
  <si>
    <t>CUST0599</t>
  </si>
  <si>
    <t>Customer_599</t>
  </si>
  <si>
    <t>customer599@example.com</t>
  </si>
  <si>
    <t>CUST0600</t>
  </si>
  <si>
    <t>Customer_600</t>
  </si>
  <si>
    <t>customer600@example.com</t>
  </si>
  <si>
    <t>CUST0601</t>
  </si>
  <si>
    <t>Customer_601</t>
  </si>
  <si>
    <t>customer601@example.com</t>
  </si>
  <si>
    <t>CUST0602</t>
  </si>
  <si>
    <t>Customer_602</t>
  </si>
  <si>
    <t>customer602@example.com</t>
  </si>
  <si>
    <t>CUST0603</t>
  </si>
  <si>
    <t>Customer_603</t>
  </si>
  <si>
    <t>customer603@example.com</t>
  </si>
  <si>
    <t>CUST0604</t>
  </si>
  <si>
    <t>Customer_604</t>
  </si>
  <si>
    <t>customer604@example.com</t>
  </si>
  <si>
    <t>CUST0605</t>
  </si>
  <si>
    <t>Customer_605</t>
  </si>
  <si>
    <t>customer605@example.com</t>
  </si>
  <si>
    <t>CUST0606</t>
  </si>
  <si>
    <t>Customer_606</t>
  </si>
  <si>
    <t>customer606@example.com</t>
  </si>
  <si>
    <t>CUST0607</t>
  </si>
  <si>
    <t>Customer_607</t>
  </si>
  <si>
    <t>customer607@example.com</t>
  </si>
  <si>
    <t>CUST0608</t>
  </si>
  <si>
    <t>Customer_608</t>
  </si>
  <si>
    <t>customer608@example.com</t>
  </si>
  <si>
    <t>CUST0609</t>
  </si>
  <si>
    <t>Customer_609</t>
  </si>
  <si>
    <t>customer609@example.com</t>
  </si>
  <si>
    <t>CUST0610</t>
  </si>
  <si>
    <t>Customer_610</t>
  </si>
  <si>
    <t>customer610@example.com</t>
  </si>
  <si>
    <t>CUST0611</t>
  </si>
  <si>
    <t>Customer_611</t>
  </si>
  <si>
    <t>customer611@example.com</t>
  </si>
  <si>
    <t>CUST0612</t>
  </si>
  <si>
    <t>Customer_612</t>
  </si>
  <si>
    <t>customer612@example.com</t>
  </si>
  <si>
    <t>CUST0613</t>
  </si>
  <si>
    <t>Customer_613</t>
  </si>
  <si>
    <t>customer613@example.com</t>
  </si>
  <si>
    <t>CUST0614</t>
  </si>
  <si>
    <t>Customer_614</t>
  </si>
  <si>
    <t>customer614@example.com</t>
  </si>
  <si>
    <t>CUST0615</t>
  </si>
  <si>
    <t>Customer_615</t>
  </si>
  <si>
    <t>customer615@example.com</t>
  </si>
  <si>
    <t>CUST0616</t>
  </si>
  <si>
    <t>Customer_616</t>
  </si>
  <si>
    <t>customer616@example.com</t>
  </si>
  <si>
    <t>CUST0617</t>
  </si>
  <si>
    <t>Customer_617</t>
  </si>
  <si>
    <t>customer617@example.com</t>
  </si>
  <si>
    <t>CUST0618</t>
  </si>
  <si>
    <t>Customer_618</t>
  </si>
  <si>
    <t>customer618@example.com</t>
  </si>
  <si>
    <t>CUST0619</t>
  </si>
  <si>
    <t>Customer_619</t>
  </si>
  <si>
    <t>customer619@example.com</t>
  </si>
  <si>
    <t>CUST0620</t>
  </si>
  <si>
    <t>Customer_620</t>
  </si>
  <si>
    <t>customer620@example.com</t>
  </si>
  <si>
    <t>CUST0621</t>
  </si>
  <si>
    <t>Customer_621</t>
  </si>
  <si>
    <t>customer621@example.com</t>
  </si>
  <si>
    <t>CUST0622</t>
  </si>
  <si>
    <t>Customer_622</t>
  </si>
  <si>
    <t>customer622@example.com</t>
  </si>
  <si>
    <t>CUST0623</t>
  </si>
  <si>
    <t>Customer_623</t>
  </si>
  <si>
    <t>customer623@example.com</t>
  </si>
  <si>
    <t>CUST0624</t>
  </si>
  <si>
    <t>Customer_624</t>
  </si>
  <si>
    <t>customer624@example.com</t>
  </si>
  <si>
    <t>CUST0625</t>
  </si>
  <si>
    <t>Customer_625</t>
  </si>
  <si>
    <t>customer625@example.com</t>
  </si>
  <si>
    <t>CUST0626</t>
  </si>
  <si>
    <t>Customer_626</t>
  </si>
  <si>
    <t>customer626@example.com</t>
  </si>
  <si>
    <t>CUST0627</t>
  </si>
  <si>
    <t>Customer_627</t>
  </si>
  <si>
    <t>customer627@example.com</t>
  </si>
  <si>
    <t>CUST0628</t>
  </si>
  <si>
    <t>Customer_628</t>
  </si>
  <si>
    <t>customer628@example.com</t>
  </si>
  <si>
    <t>CUST0629</t>
  </si>
  <si>
    <t>Customer_629</t>
  </si>
  <si>
    <t>customer629@example.com</t>
  </si>
  <si>
    <t>CUST0630</t>
  </si>
  <si>
    <t>Customer_630</t>
  </si>
  <si>
    <t>customer630@example.com</t>
  </si>
  <si>
    <t>CUST0631</t>
  </si>
  <si>
    <t>Customer_631</t>
  </si>
  <si>
    <t>customer631@example.com</t>
  </si>
  <si>
    <t>CUST0632</t>
  </si>
  <si>
    <t>Customer_632</t>
  </si>
  <si>
    <t>customer632@example.com</t>
  </si>
  <si>
    <t>CUST0633</t>
  </si>
  <si>
    <t>Customer_633</t>
  </si>
  <si>
    <t>customer633@example.com</t>
  </si>
  <si>
    <t>CUST0634</t>
  </si>
  <si>
    <t>Customer_634</t>
  </si>
  <si>
    <t>customer634@example.com</t>
  </si>
  <si>
    <t>CUST0635</t>
  </si>
  <si>
    <t>Customer_635</t>
  </si>
  <si>
    <t>customer635@example.com</t>
  </si>
  <si>
    <t>CUST0636</t>
  </si>
  <si>
    <t>Customer_636</t>
  </si>
  <si>
    <t>customer636@example.com</t>
  </si>
  <si>
    <t>CUST0637</t>
  </si>
  <si>
    <t>Customer_637</t>
  </si>
  <si>
    <t>customer637@example.com</t>
  </si>
  <si>
    <t>CUST0638</t>
  </si>
  <si>
    <t>Customer_638</t>
  </si>
  <si>
    <t>customer638@example.com</t>
  </si>
  <si>
    <t>CUST0639</t>
  </si>
  <si>
    <t>Customer_639</t>
  </si>
  <si>
    <t>customer639@example.com</t>
  </si>
  <si>
    <t>CUST0640</t>
  </si>
  <si>
    <t>Customer_640</t>
  </si>
  <si>
    <t>customer640@example.com</t>
  </si>
  <si>
    <t>CUST0641</t>
  </si>
  <si>
    <t>Customer_641</t>
  </si>
  <si>
    <t>customer641@example.com</t>
  </si>
  <si>
    <t>CUST0642</t>
  </si>
  <si>
    <t>Customer_642</t>
  </si>
  <si>
    <t>customer642@example.com</t>
  </si>
  <si>
    <t>CUST0643</t>
  </si>
  <si>
    <t>Customer_643</t>
  </si>
  <si>
    <t>customer643@example.com</t>
  </si>
  <si>
    <t>CUST0644</t>
  </si>
  <si>
    <t>Customer_644</t>
  </si>
  <si>
    <t>customer644@example.com</t>
  </si>
  <si>
    <t>CUST0645</t>
  </si>
  <si>
    <t>Customer_645</t>
  </si>
  <si>
    <t>customer645@example.com</t>
  </si>
  <si>
    <t>CUST0646</t>
  </si>
  <si>
    <t>Customer_646</t>
  </si>
  <si>
    <t>customer646@example.com</t>
  </si>
  <si>
    <t>CUST0647</t>
  </si>
  <si>
    <t>Customer_647</t>
  </si>
  <si>
    <t>customer647@example.com</t>
  </si>
  <si>
    <t>CUST0648</t>
  </si>
  <si>
    <t>Customer_648</t>
  </si>
  <si>
    <t>customer648@example.com</t>
  </si>
  <si>
    <t>CUST0649</t>
  </si>
  <si>
    <t>Customer_649</t>
  </si>
  <si>
    <t>customer649@example.com</t>
  </si>
  <si>
    <t>CUST0650</t>
  </si>
  <si>
    <t>Customer_650</t>
  </si>
  <si>
    <t>customer650@example.com</t>
  </si>
  <si>
    <t>CUST0651</t>
  </si>
  <si>
    <t>Customer_651</t>
  </si>
  <si>
    <t>customer651@example.com</t>
  </si>
  <si>
    <t>CUST0652</t>
  </si>
  <si>
    <t>Customer_652</t>
  </si>
  <si>
    <t>customer652@example.com</t>
  </si>
  <si>
    <t>CUST0653</t>
  </si>
  <si>
    <t>Customer_653</t>
  </si>
  <si>
    <t>customer653@example.com</t>
  </si>
  <si>
    <t>CUST0654</t>
  </si>
  <si>
    <t>Customer_654</t>
  </si>
  <si>
    <t>customer654@example.com</t>
  </si>
  <si>
    <t>CUST0655</t>
  </si>
  <si>
    <t>Customer_655</t>
  </si>
  <si>
    <t>customer655@example.com</t>
  </si>
  <si>
    <t>CUST0656</t>
  </si>
  <si>
    <t>Customer_656</t>
  </si>
  <si>
    <t>customer656@example.com</t>
  </si>
  <si>
    <t>CUST0657</t>
  </si>
  <si>
    <t>Customer_657</t>
  </si>
  <si>
    <t>customer657@example.com</t>
  </si>
  <si>
    <t>CUST0658</t>
  </si>
  <si>
    <t>Customer_658</t>
  </si>
  <si>
    <t>customer658@example.com</t>
  </si>
  <si>
    <t>CUST0659</t>
  </si>
  <si>
    <t>Customer_659</t>
  </si>
  <si>
    <t>customer659@example.com</t>
  </si>
  <si>
    <t>CUST0660</t>
  </si>
  <si>
    <t>Customer_660</t>
  </si>
  <si>
    <t>customer660@example.com</t>
  </si>
  <si>
    <t>CUST0661</t>
  </si>
  <si>
    <t>Customer_661</t>
  </si>
  <si>
    <t>customer661@example.com</t>
  </si>
  <si>
    <t>CUST0662</t>
  </si>
  <si>
    <t>Customer_662</t>
  </si>
  <si>
    <t>customer662@example.com</t>
  </si>
  <si>
    <t>CUST0663</t>
  </si>
  <si>
    <t>Customer_663</t>
  </si>
  <si>
    <t>customer663@example.com</t>
  </si>
  <si>
    <t>CUST0664</t>
  </si>
  <si>
    <t>Customer_664</t>
  </si>
  <si>
    <t>customer664@example.com</t>
  </si>
  <si>
    <t>CUST0665</t>
  </si>
  <si>
    <t>Customer_665</t>
  </si>
  <si>
    <t>customer665@example.com</t>
  </si>
  <si>
    <t>CUST0666</t>
  </si>
  <si>
    <t>Customer_666</t>
  </si>
  <si>
    <t>customer666@example.com</t>
  </si>
  <si>
    <t>CUST0667</t>
  </si>
  <si>
    <t>Customer_667</t>
  </si>
  <si>
    <t>customer667@example.com</t>
  </si>
  <si>
    <t>CUST0668</t>
  </si>
  <si>
    <t>Customer_668</t>
  </si>
  <si>
    <t>customer668@example.com</t>
  </si>
  <si>
    <t>CUST0669</t>
  </si>
  <si>
    <t>Customer_669</t>
  </si>
  <si>
    <t>customer669@example.com</t>
  </si>
  <si>
    <t>CUST0670</t>
  </si>
  <si>
    <t>Customer_670</t>
  </si>
  <si>
    <t>customer670@example.com</t>
  </si>
  <si>
    <t>CUST0671</t>
  </si>
  <si>
    <t>Customer_671</t>
  </si>
  <si>
    <t>customer671@example.com</t>
  </si>
  <si>
    <t>CUST0672</t>
  </si>
  <si>
    <t>Customer_672</t>
  </si>
  <si>
    <t>customer672@example.com</t>
  </si>
  <si>
    <t>CUST0673</t>
  </si>
  <si>
    <t>Customer_673</t>
  </si>
  <si>
    <t>customer673@example.com</t>
  </si>
  <si>
    <t>CUST0674</t>
  </si>
  <si>
    <t>Customer_674</t>
  </si>
  <si>
    <t>customer674@example.com</t>
  </si>
  <si>
    <t>CUST0675</t>
  </si>
  <si>
    <t>Customer_675</t>
  </si>
  <si>
    <t>customer675@example.com</t>
  </si>
  <si>
    <t>CUST0676</t>
  </si>
  <si>
    <t>Customer_676</t>
  </si>
  <si>
    <t>customer676@example.com</t>
  </si>
  <si>
    <t>CUST0677</t>
  </si>
  <si>
    <t>Customer_677</t>
  </si>
  <si>
    <t>customer677@example.com</t>
  </si>
  <si>
    <t>CUST0678</t>
  </si>
  <si>
    <t>Customer_678</t>
  </si>
  <si>
    <t>customer678@example.com</t>
  </si>
  <si>
    <t>CUST0679</t>
  </si>
  <si>
    <t>Customer_679</t>
  </si>
  <si>
    <t>customer679@example.com</t>
  </si>
  <si>
    <t>CUST0680</t>
  </si>
  <si>
    <t>Customer_680</t>
  </si>
  <si>
    <t>customer680@example.com</t>
  </si>
  <si>
    <t>CUST0681</t>
  </si>
  <si>
    <t>Customer_681</t>
  </si>
  <si>
    <t>customer681@example.com</t>
  </si>
  <si>
    <t>CUST0682</t>
  </si>
  <si>
    <t>Customer_682</t>
  </si>
  <si>
    <t>customer682@example.com</t>
  </si>
  <si>
    <t>CUST0683</t>
  </si>
  <si>
    <t>Customer_683</t>
  </si>
  <si>
    <t>customer683@example.com</t>
  </si>
  <si>
    <t>CUST0684</t>
  </si>
  <si>
    <t>Customer_684</t>
  </si>
  <si>
    <t>customer684@example.com</t>
  </si>
  <si>
    <t>CUST0685</t>
  </si>
  <si>
    <t>Customer_685</t>
  </si>
  <si>
    <t>customer685@example.com</t>
  </si>
  <si>
    <t>CUST0686</t>
  </si>
  <si>
    <t>Customer_686</t>
  </si>
  <si>
    <t>customer686@example.com</t>
  </si>
  <si>
    <t>CUST0687</t>
  </si>
  <si>
    <t>Customer_687</t>
  </si>
  <si>
    <t>customer687@example.com</t>
  </si>
  <si>
    <t>CUST0688</t>
  </si>
  <si>
    <t>Customer_688</t>
  </si>
  <si>
    <t>customer688@example.com</t>
  </si>
  <si>
    <t>CUST0689</t>
  </si>
  <si>
    <t>Customer_689</t>
  </si>
  <si>
    <t>customer689@example.com</t>
  </si>
  <si>
    <t>CUST0690</t>
  </si>
  <si>
    <t>Customer_690</t>
  </si>
  <si>
    <t>customer690@example.com</t>
  </si>
  <si>
    <t>CUST0691</t>
  </si>
  <si>
    <t>Customer_691</t>
  </si>
  <si>
    <t>customer691@example.com</t>
  </si>
  <si>
    <t>CUST0692</t>
  </si>
  <si>
    <t>Customer_692</t>
  </si>
  <si>
    <t>customer692@example.com</t>
  </si>
  <si>
    <t>CUST0693</t>
  </si>
  <si>
    <t>Customer_693</t>
  </si>
  <si>
    <t>customer693@example.com</t>
  </si>
  <si>
    <t>CUST0694</t>
  </si>
  <si>
    <t>Customer_694</t>
  </si>
  <si>
    <t>customer694@example.com</t>
  </si>
  <si>
    <t>CUST0695</t>
  </si>
  <si>
    <t>Customer_695</t>
  </si>
  <si>
    <t>customer695@example.com</t>
  </si>
  <si>
    <t>CUST0696</t>
  </si>
  <si>
    <t>Customer_696</t>
  </si>
  <si>
    <t>customer696@example.com</t>
  </si>
  <si>
    <t>CUST0697</t>
  </si>
  <si>
    <t>Customer_697</t>
  </si>
  <si>
    <t>customer697@example.com</t>
  </si>
  <si>
    <t>CUST0698</t>
  </si>
  <si>
    <t>Customer_698</t>
  </si>
  <si>
    <t>customer698@example.com</t>
  </si>
  <si>
    <t>CUST0699</t>
  </si>
  <si>
    <t>Customer_699</t>
  </si>
  <si>
    <t>customer699@example.com</t>
  </si>
  <si>
    <t>CUST0700</t>
  </si>
  <si>
    <t>Customer_700</t>
  </si>
  <si>
    <t>customer700@example.com</t>
  </si>
  <si>
    <t>CUST0701</t>
  </si>
  <si>
    <t>Customer_701</t>
  </si>
  <si>
    <t>customer701@example.com</t>
  </si>
  <si>
    <t>CUST0702</t>
  </si>
  <si>
    <t>Customer_702</t>
  </si>
  <si>
    <t>customer702@example.com</t>
  </si>
  <si>
    <t>CUST0703</t>
  </si>
  <si>
    <t>Customer_703</t>
  </si>
  <si>
    <t>customer703@example.com</t>
  </si>
  <si>
    <t>CUST0704</t>
  </si>
  <si>
    <t>Customer_704</t>
  </si>
  <si>
    <t>customer704@example.com</t>
  </si>
  <si>
    <t>CUST0705</t>
  </si>
  <si>
    <t>Customer_705</t>
  </si>
  <si>
    <t>customer705@example.com</t>
  </si>
  <si>
    <t>CUST0706</t>
  </si>
  <si>
    <t>Customer_706</t>
  </si>
  <si>
    <t>customer706@example.com</t>
  </si>
  <si>
    <t>CUST0707</t>
  </si>
  <si>
    <t>Customer_707</t>
  </si>
  <si>
    <t>customer707@example.com</t>
  </si>
  <si>
    <t>CUST0708</t>
  </si>
  <si>
    <t>Customer_708</t>
  </si>
  <si>
    <t>customer708@example.com</t>
  </si>
  <si>
    <t>CUST0709</t>
  </si>
  <si>
    <t>Customer_709</t>
  </si>
  <si>
    <t>customer709@example.com</t>
  </si>
  <si>
    <t>CUST0710</t>
  </si>
  <si>
    <t>Customer_710</t>
  </si>
  <si>
    <t>customer710@example.com</t>
  </si>
  <si>
    <t>CUST0711</t>
  </si>
  <si>
    <t>Customer_711</t>
  </si>
  <si>
    <t>customer711@example.com</t>
  </si>
  <si>
    <t>CUST0712</t>
  </si>
  <si>
    <t>Customer_712</t>
  </si>
  <si>
    <t>customer712@example.com</t>
  </si>
  <si>
    <t>CUST0713</t>
  </si>
  <si>
    <t>Customer_713</t>
  </si>
  <si>
    <t>customer713@example.com</t>
  </si>
  <si>
    <t>CUST0714</t>
  </si>
  <si>
    <t>Customer_714</t>
  </si>
  <si>
    <t>customer714@example.com</t>
  </si>
  <si>
    <t>CUST0715</t>
  </si>
  <si>
    <t>Customer_715</t>
  </si>
  <si>
    <t>customer715@example.com</t>
  </si>
  <si>
    <t>CUST0716</t>
  </si>
  <si>
    <t>Customer_716</t>
  </si>
  <si>
    <t>customer716@example.com</t>
  </si>
  <si>
    <t>CUST0717</t>
  </si>
  <si>
    <t>Customer_717</t>
  </si>
  <si>
    <t>customer717@example.com</t>
  </si>
  <si>
    <t>CUST0718</t>
  </si>
  <si>
    <t>Customer_718</t>
  </si>
  <si>
    <t>customer718@example.com</t>
  </si>
  <si>
    <t>CUST0719</t>
  </si>
  <si>
    <t>Customer_719</t>
  </si>
  <si>
    <t>customer719@example.com</t>
  </si>
  <si>
    <t>CUST0720</t>
  </si>
  <si>
    <t>Customer_720</t>
  </si>
  <si>
    <t>customer720@example.com</t>
  </si>
  <si>
    <t>CUST0721</t>
  </si>
  <si>
    <t>Customer_721</t>
  </si>
  <si>
    <t>customer721@example.com</t>
  </si>
  <si>
    <t>CUST0722</t>
  </si>
  <si>
    <t>Customer_722</t>
  </si>
  <si>
    <t>customer722@example.com</t>
  </si>
  <si>
    <t>CUST0723</t>
  </si>
  <si>
    <t>Customer_723</t>
  </si>
  <si>
    <t>customer723@example.com</t>
  </si>
  <si>
    <t>CUST0724</t>
  </si>
  <si>
    <t>Customer_724</t>
  </si>
  <si>
    <t>customer724@example.com</t>
  </si>
  <si>
    <t>CUST0725</t>
  </si>
  <si>
    <t>Customer_725</t>
  </si>
  <si>
    <t>customer725@example.com</t>
  </si>
  <si>
    <t>CUST0726</t>
  </si>
  <si>
    <t>Customer_726</t>
  </si>
  <si>
    <t>customer726@example.com</t>
  </si>
  <si>
    <t>CUST0727</t>
  </si>
  <si>
    <t>Customer_727</t>
  </si>
  <si>
    <t>customer727@example.com</t>
  </si>
  <si>
    <t>CUST0728</t>
  </si>
  <si>
    <t>Customer_728</t>
  </si>
  <si>
    <t>customer728@example.com</t>
  </si>
  <si>
    <t>CUST0729</t>
  </si>
  <si>
    <t>Customer_729</t>
  </si>
  <si>
    <t>customer729@example.com</t>
  </si>
  <si>
    <t>CUST0730</t>
  </si>
  <si>
    <t>Customer_730</t>
  </si>
  <si>
    <t>customer730@example.com</t>
  </si>
  <si>
    <t>CUST0731</t>
  </si>
  <si>
    <t>Customer_731</t>
  </si>
  <si>
    <t>customer731@example.com</t>
  </si>
  <si>
    <t>CUST0732</t>
  </si>
  <si>
    <t>Customer_732</t>
  </si>
  <si>
    <t>customer732@example.com</t>
  </si>
  <si>
    <t>CUST0733</t>
  </si>
  <si>
    <t>Customer_733</t>
  </si>
  <si>
    <t>customer733@example.com</t>
  </si>
  <si>
    <t>CUST0734</t>
  </si>
  <si>
    <t>Customer_734</t>
  </si>
  <si>
    <t>customer734@example.com</t>
  </si>
  <si>
    <t>CUST0735</t>
  </si>
  <si>
    <t>Customer_735</t>
  </si>
  <si>
    <t>customer735@example.com</t>
  </si>
  <si>
    <t>CUST0736</t>
  </si>
  <si>
    <t>Customer_736</t>
  </si>
  <si>
    <t>customer736@example.com</t>
  </si>
  <si>
    <t>CUST0737</t>
  </si>
  <si>
    <t>Customer_737</t>
  </si>
  <si>
    <t>customer737@example.com</t>
  </si>
  <si>
    <t>CUST0738</t>
  </si>
  <si>
    <t>Customer_738</t>
  </si>
  <si>
    <t>customer738@example.com</t>
  </si>
  <si>
    <t>CUST0739</t>
  </si>
  <si>
    <t>Customer_739</t>
  </si>
  <si>
    <t>customer739@example.com</t>
  </si>
  <si>
    <t>CUST0740</t>
  </si>
  <si>
    <t>Customer_740</t>
  </si>
  <si>
    <t>customer740@example.com</t>
  </si>
  <si>
    <t>CUST0741</t>
  </si>
  <si>
    <t>Customer_741</t>
  </si>
  <si>
    <t>customer741@example.com</t>
  </si>
  <si>
    <t>CUST0742</t>
  </si>
  <si>
    <t>Customer_742</t>
  </si>
  <si>
    <t>customer742@example.com</t>
  </si>
  <si>
    <t>CUST0743</t>
  </si>
  <si>
    <t>Customer_743</t>
  </si>
  <si>
    <t>customer743@example.com</t>
  </si>
  <si>
    <t>CUST0744</t>
  </si>
  <si>
    <t>Customer_744</t>
  </si>
  <si>
    <t>customer744@example.com</t>
  </si>
  <si>
    <t>CUST0745</t>
  </si>
  <si>
    <t>Customer_745</t>
  </si>
  <si>
    <t>customer745@example.com</t>
  </si>
  <si>
    <t>CUST0746</t>
  </si>
  <si>
    <t>Customer_746</t>
  </si>
  <si>
    <t>customer746@example.com</t>
  </si>
  <si>
    <t>CUST0747</t>
  </si>
  <si>
    <t>Customer_747</t>
  </si>
  <si>
    <t>customer747@example.com</t>
  </si>
  <si>
    <t>CUST0748</t>
  </si>
  <si>
    <t>Customer_748</t>
  </si>
  <si>
    <t>customer748@example.com</t>
  </si>
  <si>
    <t>CUST0749</t>
  </si>
  <si>
    <t>Customer_749</t>
  </si>
  <si>
    <t>customer749@example.com</t>
  </si>
  <si>
    <t>CUST0750</t>
  </si>
  <si>
    <t>Customer_750</t>
  </si>
  <si>
    <t>customer750@example.com</t>
  </si>
  <si>
    <t>CUST0751</t>
  </si>
  <si>
    <t>Customer_751</t>
  </si>
  <si>
    <t>customer751@example.com</t>
  </si>
  <si>
    <t>CUST0752</t>
  </si>
  <si>
    <t>Customer_752</t>
  </si>
  <si>
    <t>customer752@example.com</t>
  </si>
  <si>
    <t>CUST0753</t>
  </si>
  <si>
    <t>Customer_753</t>
  </si>
  <si>
    <t>customer753@example.com</t>
  </si>
  <si>
    <t>CUST0754</t>
  </si>
  <si>
    <t>Customer_754</t>
  </si>
  <si>
    <t>customer754@example.com</t>
  </si>
  <si>
    <t>CUST0755</t>
  </si>
  <si>
    <t>Customer_755</t>
  </si>
  <si>
    <t>customer755@example.com</t>
  </si>
  <si>
    <t>CUST0756</t>
  </si>
  <si>
    <t>Customer_756</t>
  </si>
  <si>
    <t>customer756@example.com</t>
  </si>
  <si>
    <t>CUST0757</t>
  </si>
  <si>
    <t>Customer_757</t>
  </si>
  <si>
    <t>customer757@example.com</t>
  </si>
  <si>
    <t>CUST0758</t>
  </si>
  <si>
    <t>Customer_758</t>
  </si>
  <si>
    <t>customer758@example.com</t>
  </si>
  <si>
    <t>CUST0759</t>
  </si>
  <si>
    <t>Customer_759</t>
  </si>
  <si>
    <t>customer759@example.com</t>
  </si>
  <si>
    <t>CUST0760</t>
  </si>
  <si>
    <t>Customer_760</t>
  </si>
  <si>
    <t>customer760@example.com</t>
  </si>
  <si>
    <t>CUST0761</t>
  </si>
  <si>
    <t>Customer_761</t>
  </si>
  <si>
    <t>customer761@example.com</t>
  </si>
  <si>
    <t>CUST0762</t>
  </si>
  <si>
    <t>Customer_762</t>
  </si>
  <si>
    <t>customer762@example.com</t>
  </si>
  <si>
    <t>CUST0763</t>
  </si>
  <si>
    <t>Customer_763</t>
  </si>
  <si>
    <t>customer763@example.com</t>
  </si>
  <si>
    <t>CUST0764</t>
  </si>
  <si>
    <t>Customer_764</t>
  </si>
  <si>
    <t>customer764@example.com</t>
  </si>
  <si>
    <t>CUST0765</t>
  </si>
  <si>
    <t>Customer_765</t>
  </si>
  <si>
    <t>customer765@example.com</t>
  </si>
  <si>
    <t>CUST0766</t>
  </si>
  <si>
    <t>Customer_766</t>
  </si>
  <si>
    <t>customer766@example.com</t>
  </si>
  <si>
    <t>CUST0767</t>
  </si>
  <si>
    <t>Customer_767</t>
  </si>
  <si>
    <t>customer767@example.com</t>
  </si>
  <si>
    <t>CUST0768</t>
  </si>
  <si>
    <t>Customer_768</t>
  </si>
  <si>
    <t>customer768@example.com</t>
  </si>
  <si>
    <t>CUST0769</t>
  </si>
  <si>
    <t>Customer_769</t>
  </si>
  <si>
    <t>customer769@example.com</t>
  </si>
  <si>
    <t>CUST0770</t>
  </si>
  <si>
    <t>Customer_770</t>
  </si>
  <si>
    <t>customer770@example.com</t>
  </si>
  <si>
    <t>CUST0771</t>
  </si>
  <si>
    <t>Customer_771</t>
  </si>
  <si>
    <t>customer771@example.com</t>
  </si>
  <si>
    <t>CUST0772</t>
  </si>
  <si>
    <t>Customer_772</t>
  </si>
  <si>
    <t>customer772@example.com</t>
  </si>
  <si>
    <t>CUST0773</t>
  </si>
  <si>
    <t>Customer_773</t>
  </si>
  <si>
    <t>customer773@example.com</t>
  </si>
  <si>
    <t>CUST0774</t>
  </si>
  <si>
    <t>Customer_774</t>
  </si>
  <si>
    <t>customer774@example.com</t>
  </si>
  <si>
    <t>CUST0775</t>
  </si>
  <si>
    <t>Customer_775</t>
  </si>
  <si>
    <t>customer775@example.com</t>
  </si>
  <si>
    <t>CUST0776</t>
  </si>
  <si>
    <t>Customer_776</t>
  </si>
  <si>
    <t>customer776@example.com</t>
  </si>
  <si>
    <t>CUST0777</t>
  </si>
  <si>
    <t>Customer_777</t>
  </si>
  <si>
    <t>customer777@example.com</t>
  </si>
  <si>
    <t>CUST0778</t>
  </si>
  <si>
    <t>Customer_778</t>
  </si>
  <si>
    <t>customer778@example.com</t>
  </si>
  <si>
    <t>CUST0779</t>
  </si>
  <si>
    <t>Customer_779</t>
  </si>
  <si>
    <t>customer779@example.com</t>
  </si>
  <si>
    <t>CUST0780</t>
  </si>
  <si>
    <t>Customer_780</t>
  </si>
  <si>
    <t>customer780@example.com</t>
  </si>
  <si>
    <t>CUST0781</t>
  </si>
  <si>
    <t>Customer_781</t>
  </si>
  <si>
    <t>customer781@example.com</t>
  </si>
  <si>
    <t>CUST0782</t>
  </si>
  <si>
    <t>Customer_782</t>
  </si>
  <si>
    <t>customer782@example.com</t>
  </si>
  <si>
    <t>CUST0783</t>
  </si>
  <si>
    <t>Customer_783</t>
  </si>
  <si>
    <t>customer783@example.com</t>
  </si>
  <si>
    <t>CUST0784</t>
  </si>
  <si>
    <t>Customer_784</t>
  </si>
  <si>
    <t>customer784@example.com</t>
  </si>
  <si>
    <t>CUST0785</t>
  </si>
  <si>
    <t>Customer_785</t>
  </si>
  <si>
    <t>customer785@example.com</t>
  </si>
  <si>
    <t>CUST0786</t>
  </si>
  <si>
    <t>Customer_786</t>
  </si>
  <si>
    <t>customer786@example.com</t>
  </si>
  <si>
    <t>CUST0787</t>
  </si>
  <si>
    <t>Customer_787</t>
  </si>
  <si>
    <t>customer787@example.com</t>
  </si>
  <si>
    <t>CUST0788</t>
  </si>
  <si>
    <t>Customer_788</t>
  </si>
  <si>
    <t>customer788@example.com</t>
  </si>
  <si>
    <t>CUST0789</t>
  </si>
  <si>
    <t>Customer_789</t>
  </si>
  <si>
    <t>customer789@example.com</t>
  </si>
  <si>
    <t>CUST0790</t>
  </si>
  <si>
    <t>Customer_790</t>
  </si>
  <si>
    <t>customer790@example.com</t>
  </si>
  <si>
    <t>CUST0791</t>
  </si>
  <si>
    <t>Customer_791</t>
  </si>
  <si>
    <t>customer791@example.com</t>
  </si>
  <si>
    <t>CUST0792</t>
  </si>
  <si>
    <t>Customer_792</t>
  </si>
  <si>
    <t>customer792@example.com</t>
  </si>
  <si>
    <t>CUST0793</t>
  </si>
  <si>
    <t>Customer_793</t>
  </si>
  <si>
    <t>customer793@example.com</t>
  </si>
  <si>
    <t>CUST0794</t>
  </si>
  <si>
    <t>Customer_794</t>
  </si>
  <si>
    <t>customer794@example.com</t>
  </si>
  <si>
    <t>CUST0795</t>
  </si>
  <si>
    <t>Customer_795</t>
  </si>
  <si>
    <t>customer795@example.com</t>
  </si>
  <si>
    <t>CUST0796</t>
  </si>
  <si>
    <t>Customer_796</t>
  </si>
  <si>
    <t>customer796@example.com</t>
  </si>
  <si>
    <t>CUST0797</t>
  </si>
  <si>
    <t>Customer_797</t>
  </si>
  <si>
    <t>customer797@example.com</t>
  </si>
  <si>
    <t>CUST0798</t>
  </si>
  <si>
    <t>Customer_798</t>
  </si>
  <si>
    <t>customer798@example.com</t>
  </si>
  <si>
    <t>CUST0799</t>
  </si>
  <si>
    <t>Customer_799</t>
  </si>
  <si>
    <t>customer799@example.com</t>
  </si>
  <si>
    <t>CUST0800</t>
  </si>
  <si>
    <t>Customer_800</t>
  </si>
  <si>
    <t>customer800@example.com</t>
  </si>
  <si>
    <t>CUST0801</t>
  </si>
  <si>
    <t>Customer_801</t>
  </si>
  <si>
    <t>customer801@example.com</t>
  </si>
  <si>
    <t>CUST0802</t>
  </si>
  <si>
    <t>Customer_802</t>
  </si>
  <si>
    <t>customer802@example.com</t>
  </si>
  <si>
    <t>CUST0803</t>
  </si>
  <si>
    <t>Customer_803</t>
  </si>
  <si>
    <t>customer803@example.com</t>
  </si>
  <si>
    <t>CUST0804</t>
  </si>
  <si>
    <t>Customer_804</t>
  </si>
  <si>
    <t>customer804@example.com</t>
  </si>
  <si>
    <t>CUST0805</t>
  </si>
  <si>
    <t>Customer_805</t>
  </si>
  <si>
    <t>customer805@example.com</t>
  </si>
  <si>
    <t>CUST0806</t>
  </si>
  <si>
    <t>Customer_806</t>
  </si>
  <si>
    <t>customer806@example.com</t>
  </si>
  <si>
    <t>CUST0807</t>
  </si>
  <si>
    <t>Customer_807</t>
  </si>
  <si>
    <t>customer807@example.com</t>
  </si>
  <si>
    <t>CUST0808</t>
  </si>
  <si>
    <t>Customer_808</t>
  </si>
  <si>
    <t>customer808@example.com</t>
  </si>
  <si>
    <t>CUST0809</t>
  </si>
  <si>
    <t>Customer_809</t>
  </si>
  <si>
    <t>customer809@example.com</t>
  </si>
  <si>
    <t>CUST0810</t>
  </si>
  <si>
    <t>Customer_810</t>
  </si>
  <si>
    <t>customer810@example.com</t>
  </si>
  <si>
    <t>CUST0811</t>
  </si>
  <si>
    <t>Customer_811</t>
  </si>
  <si>
    <t>customer811@example.com</t>
  </si>
  <si>
    <t>CUST0812</t>
  </si>
  <si>
    <t>Customer_812</t>
  </si>
  <si>
    <t>customer812@example.com</t>
  </si>
  <si>
    <t>CUST0813</t>
  </si>
  <si>
    <t>Customer_813</t>
  </si>
  <si>
    <t>customer813@example.com</t>
  </si>
  <si>
    <t>CUST0814</t>
  </si>
  <si>
    <t>Customer_814</t>
  </si>
  <si>
    <t>customer814@example.com</t>
  </si>
  <si>
    <t>CUST0815</t>
  </si>
  <si>
    <t>Customer_815</t>
  </si>
  <si>
    <t>customer815@example.com</t>
  </si>
  <si>
    <t>CUST0816</t>
  </si>
  <si>
    <t>Customer_816</t>
  </si>
  <si>
    <t>customer816@example.com</t>
  </si>
  <si>
    <t>CUST0817</t>
  </si>
  <si>
    <t>Customer_817</t>
  </si>
  <si>
    <t>customer817@example.com</t>
  </si>
  <si>
    <t>CUST0818</t>
  </si>
  <si>
    <t>Customer_818</t>
  </si>
  <si>
    <t>customer818@example.com</t>
  </si>
  <si>
    <t>CUST0819</t>
  </si>
  <si>
    <t>Customer_819</t>
  </si>
  <si>
    <t>customer819@example.com</t>
  </si>
  <si>
    <t>CUST0820</t>
  </si>
  <si>
    <t>Customer_820</t>
  </si>
  <si>
    <t>customer820@example.com</t>
  </si>
  <si>
    <t>CUST0821</t>
  </si>
  <si>
    <t>Customer_821</t>
  </si>
  <si>
    <t>customer821@example.com</t>
  </si>
  <si>
    <t>CUST0822</t>
  </si>
  <si>
    <t>Customer_822</t>
  </si>
  <si>
    <t>customer822@example.com</t>
  </si>
  <si>
    <t>CUST0823</t>
  </si>
  <si>
    <t>Customer_823</t>
  </si>
  <si>
    <t>customer823@example.com</t>
  </si>
  <si>
    <t>CUST0824</t>
  </si>
  <si>
    <t>Customer_824</t>
  </si>
  <si>
    <t>customer824@example.com</t>
  </si>
  <si>
    <t>CUST0825</t>
  </si>
  <si>
    <t>Customer_825</t>
  </si>
  <si>
    <t>customer825@example.com</t>
  </si>
  <si>
    <t>CUST0826</t>
  </si>
  <si>
    <t>Customer_826</t>
  </si>
  <si>
    <t>customer826@example.com</t>
  </si>
  <si>
    <t>CUST0827</t>
  </si>
  <si>
    <t>Customer_827</t>
  </si>
  <si>
    <t>customer827@example.com</t>
  </si>
  <si>
    <t>CUST0828</t>
  </si>
  <si>
    <t>Customer_828</t>
  </si>
  <si>
    <t>customer828@example.com</t>
  </si>
  <si>
    <t>CUST0829</t>
  </si>
  <si>
    <t>Customer_829</t>
  </si>
  <si>
    <t>customer829@example.com</t>
  </si>
  <si>
    <t>CUST0830</t>
  </si>
  <si>
    <t>Customer_830</t>
  </si>
  <si>
    <t>customer830@example.com</t>
  </si>
  <si>
    <t>CUST0831</t>
  </si>
  <si>
    <t>Customer_831</t>
  </si>
  <si>
    <t>customer831@example.com</t>
  </si>
  <si>
    <t>CUST0832</t>
  </si>
  <si>
    <t>Customer_832</t>
  </si>
  <si>
    <t>customer832@example.com</t>
  </si>
  <si>
    <t>CUST0833</t>
  </si>
  <si>
    <t>Customer_833</t>
  </si>
  <si>
    <t>customer833@example.com</t>
  </si>
  <si>
    <t>CUST0834</t>
  </si>
  <si>
    <t>Customer_834</t>
  </si>
  <si>
    <t>customer834@example.com</t>
  </si>
  <si>
    <t>CUST0835</t>
  </si>
  <si>
    <t>Customer_835</t>
  </si>
  <si>
    <t>customer835@example.com</t>
  </si>
  <si>
    <t>CUST0836</t>
  </si>
  <si>
    <t>Customer_836</t>
  </si>
  <si>
    <t>customer836@example.com</t>
  </si>
  <si>
    <t>CUST0837</t>
  </si>
  <si>
    <t>Customer_837</t>
  </si>
  <si>
    <t>customer837@example.com</t>
  </si>
  <si>
    <t>CUST0838</t>
  </si>
  <si>
    <t>Customer_838</t>
  </si>
  <si>
    <t>customer838@example.com</t>
  </si>
  <si>
    <t>CUST0839</t>
  </si>
  <si>
    <t>Customer_839</t>
  </si>
  <si>
    <t>customer839@example.com</t>
  </si>
  <si>
    <t>CUST0840</t>
  </si>
  <si>
    <t>Customer_840</t>
  </si>
  <si>
    <t>customer840@example.com</t>
  </si>
  <si>
    <t>CUST0841</t>
  </si>
  <si>
    <t>Customer_841</t>
  </si>
  <si>
    <t>customer841@example.com</t>
  </si>
  <si>
    <t>CUST0842</t>
  </si>
  <si>
    <t>Customer_842</t>
  </si>
  <si>
    <t>customer842@example.com</t>
  </si>
  <si>
    <t>CUST0843</t>
  </si>
  <si>
    <t>Customer_843</t>
  </si>
  <si>
    <t>customer843@example.com</t>
  </si>
  <si>
    <t>CUST0844</t>
  </si>
  <si>
    <t>Customer_844</t>
  </si>
  <si>
    <t>customer844@example.com</t>
  </si>
  <si>
    <t>CUST0845</t>
  </si>
  <si>
    <t>Customer_845</t>
  </si>
  <si>
    <t>customer845@example.com</t>
  </si>
  <si>
    <t>CUST0846</t>
  </si>
  <si>
    <t>Customer_846</t>
  </si>
  <si>
    <t>customer846@example.com</t>
  </si>
  <si>
    <t>CUST0847</t>
  </si>
  <si>
    <t>Customer_847</t>
  </si>
  <si>
    <t>customer847@example.com</t>
  </si>
  <si>
    <t>CUST0848</t>
  </si>
  <si>
    <t>Customer_848</t>
  </si>
  <si>
    <t>customer848@example.com</t>
  </si>
  <si>
    <t>CUST0849</t>
  </si>
  <si>
    <t>Customer_849</t>
  </si>
  <si>
    <t>customer849@example.com</t>
  </si>
  <si>
    <t>CUST0850</t>
  </si>
  <si>
    <t>Customer_850</t>
  </si>
  <si>
    <t>customer850@example.com</t>
  </si>
  <si>
    <t>CUST0851</t>
  </si>
  <si>
    <t>Customer_851</t>
  </si>
  <si>
    <t>customer851@example.com</t>
  </si>
  <si>
    <t>CUST0852</t>
  </si>
  <si>
    <t>Customer_852</t>
  </si>
  <si>
    <t>customer852@example.com</t>
  </si>
  <si>
    <t>CUST0853</t>
  </si>
  <si>
    <t>Customer_853</t>
  </si>
  <si>
    <t>customer853@example.com</t>
  </si>
  <si>
    <t>CUST0854</t>
  </si>
  <si>
    <t>Customer_854</t>
  </si>
  <si>
    <t>customer854@example.com</t>
  </si>
  <si>
    <t>CUST0855</t>
  </si>
  <si>
    <t>Customer_855</t>
  </si>
  <si>
    <t>customer855@example.com</t>
  </si>
  <si>
    <t>CUST0856</t>
  </si>
  <si>
    <t>Customer_856</t>
  </si>
  <si>
    <t>customer856@example.com</t>
  </si>
  <si>
    <t>CUST0857</t>
  </si>
  <si>
    <t>Customer_857</t>
  </si>
  <si>
    <t>customer857@example.com</t>
  </si>
  <si>
    <t>CUST0858</t>
  </si>
  <si>
    <t>Customer_858</t>
  </si>
  <si>
    <t>customer858@example.com</t>
  </si>
  <si>
    <t>CUST0859</t>
  </si>
  <si>
    <t>Customer_859</t>
  </si>
  <si>
    <t>customer859@example.com</t>
  </si>
  <si>
    <t>CUST0860</t>
  </si>
  <si>
    <t>Customer_860</t>
  </si>
  <si>
    <t>customer860@example.com</t>
  </si>
  <si>
    <t>CUST0861</t>
  </si>
  <si>
    <t>Customer_861</t>
  </si>
  <si>
    <t>customer861@example.com</t>
  </si>
  <si>
    <t>CUST0862</t>
  </si>
  <si>
    <t>Customer_862</t>
  </si>
  <si>
    <t>customer862@example.com</t>
  </si>
  <si>
    <t>CUST0863</t>
  </si>
  <si>
    <t>Customer_863</t>
  </si>
  <si>
    <t>customer863@example.com</t>
  </si>
  <si>
    <t>CUST0864</t>
  </si>
  <si>
    <t>Customer_864</t>
  </si>
  <si>
    <t>customer864@example.com</t>
  </si>
  <si>
    <t>CUST0865</t>
  </si>
  <si>
    <t>Customer_865</t>
  </si>
  <si>
    <t>customer865@example.com</t>
  </si>
  <si>
    <t>CUST0866</t>
  </si>
  <si>
    <t>Customer_866</t>
  </si>
  <si>
    <t>customer866@example.com</t>
  </si>
  <si>
    <t>CUST0867</t>
  </si>
  <si>
    <t>Customer_867</t>
  </si>
  <si>
    <t>customer867@example.com</t>
  </si>
  <si>
    <t>CUST0868</t>
  </si>
  <si>
    <t>Customer_868</t>
  </si>
  <si>
    <t>customer868@example.com</t>
  </si>
  <si>
    <t>CUST0869</t>
  </si>
  <si>
    <t>Customer_869</t>
  </si>
  <si>
    <t>customer869@example.com</t>
  </si>
  <si>
    <t>CUST0870</t>
  </si>
  <si>
    <t>Customer_870</t>
  </si>
  <si>
    <t>customer870@example.com</t>
  </si>
  <si>
    <t>CUST0871</t>
  </si>
  <si>
    <t>Customer_871</t>
  </si>
  <si>
    <t>customer871@example.com</t>
  </si>
  <si>
    <t>CUST0872</t>
  </si>
  <si>
    <t>Customer_872</t>
  </si>
  <si>
    <t>customer872@example.com</t>
  </si>
  <si>
    <t>CUST0873</t>
  </si>
  <si>
    <t>Customer_873</t>
  </si>
  <si>
    <t>customer873@example.com</t>
  </si>
  <si>
    <t>CUST0874</t>
  </si>
  <si>
    <t>Customer_874</t>
  </si>
  <si>
    <t>customer874@example.com</t>
  </si>
  <si>
    <t>CUST0875</t>
  </si>
  <si>
    <t>Customer_875</t>
  </si>
  <si>
    <t>customer875@example.com</t>
  </si>
  <si>
    <t>CUST0876</t>
  </si>
  <si>
    <t>Customer_876</t>
  </si>
  <si>
    <t>customer876@example.com</t>
  </si>
  <si>
    <t>CUST0877</t>
  </si>
  <si>
    <t>Customer_877</t>
  </si>
  <si>
    <t>customer877@example.com</t>
  </si>
  <si>
    <t>CUST0878</t>
  </si>
  <si>
    <t>Customer_878</t>
  </si>
  <si>
    <t>customer878@example.com</t>
  </si>
  <si>
    <t>CUST0879</t>
  </si>
  <si>
    <t>Customer_879</t>
  </si>
  <si>
    <t>customer879@example.com</t>
  </si>
  <si>
    <t>CUST0880</t>
  </si>
  <si>
    <t>Customer_880</t>
  </si>
  <si>
    <t>customer880@example.com</t>
  </si>
  <si>
    <t>CUST0881</t>
  </si>
  <si>
    <t>Customer_881</t>
  </si>
  <si>
    <t>customer881@example.com</t>
  </si>
  <si>
    <t>CUST0882</t>
  </si>
  <si>
    <t>Customer_882</t>
  </si>
  <si>
    <t>customer882@example.com</t>
  </si>
  <si>
    <t>CUST0883</t>
  </si>
  <si>
    <t>Customer_883</t>
  </si>
  <si>
    <t>customer883@example.com</t>
  </si>
  <si>
    <t>CUST0884</t>
  </si>
  <si>
    <t>Customer_884</t>
  </si>
  <si>
    <t>customer884@example.com</t>
  </si>
  <si>
    <t>CUST0885</t>
  </si>
  <si>
    <t>Customer_885</t>
  </si>
  <si>
    <t>customer885@example.com</t>
  </si>
  <si>
    <t>CUST0886</t>
  </si>
  <si>
    <t>Customer_886</t>
  </si>
  <si>
    <t>customer886@example.com</t>
  </si>
  <si>
    <t>CUST0887</t>
  </si>
  <si>
    <t>Customer_887</t>
  </si>
  <si>
    <t>customer887@example.com</t>
  </si>
  <si>
    <t>CUST0888</t>
  </si>
  <si>
    <t>Customer_888</t>
  </si>
  <si>
    <t>customer888@example.com</t>
  </si>
  <si>
    <t>CUST0889</t>
  </si>
  <si>
    <t>Customer_889</t>
  </si>
  <si>
    <t>customer889@example.com</t>
  </si>
  <si>
    <t>CUST0890</t>
  </si>
  <si>
    <t>Customer_890</t>
  </si>
  <si>
    <t>customer890@example.com</t>
  </si>
  <si>
    <t>CUST0891</t>
  </si>
  <si>
    <t>Customer_891</t>
  </si>
  <si>
    <t>customer891@example.com</t>
  </si>
  <si>
    <t>CUST0892</t>
  </si>
  <si>
    <t>Customer_892</t>
  </si>
  <si>
    <t>customer892@example.com</t>
  </si>
  <si>
    <t>CUST0893</t>
  </si>
  <si>
    <t>Customer_893</t>
  </si>
  <si>
    <t>customer893@example.com</t>
  </si>
  <si>
    <t>CUST0894</t>
  </si>
  <si>
    <t>Customer_894</t>
  </si>
  <si>
    <t>customer894@example.com</t>
  </si>
  <si>
    <t>CUST0895</t>
  </si>
  <si>
    <t>Customer_895</t>
  </si>
  <si>
    <t>customer895@example.com</t>
  </si>
  <si>
    <t>CUST0896</t>
  </si>
  <si>
    <t>Customer_896</t>
  </si>
  <si>
    <t>customer896@example.com</t>
  </si>
  <si>
    <t>CUST0897</t>
  </si>
  <si>
    <t>Customer_897</t>
  </si>
  <si>
    <t>customer897@example.com</t>
  </si>
  <si>
    <t>CUST0898</t>
  </si>
  <si>
    <t>Customer_898</t>
  </si>
  <si>
    <t>customer898@example.com</t>
  </si>
  <si>
    <t>CUST0899</t>
  </si>
  <si>
    <t>Customer_899</t>
  </si>
  <si>
    <t>customer899@example.com</t>
  </si>
  <si>
    <t>CUST0900</t>
  </si>
  <si>
    <t>Customer_900</t>
  </si>
  <si>
    <t>customer900@example.com</t>
  </si>
  <si>
    <t>CUST0901</t>
  </si>
  <si>
    <t>Customer_901</t>
  </si>
  <si>
    <t>customer901@example.com</t>
  </si>
  <si>
    <t>CUST0902</t>
  </si>
  <si>
    <t>Customer_902</t>
  </si>
  <si>
    <t>customer902@example.com</t>
  </si>
  <si>
    <t>CUST0903</t>
  </si>
  <si>
    <t>Customer_903</t>
  </si>
  <si>
    <t>customer903@example.com</t>
  </si>
  <si>
    <t>CUST0904</t>
  </si>
  <si>
    <t>Customer_904</t>
  </si>
  <si>
    <t>customer904@example.com</t>
  </si>
  <si>
    <t>CUST0905</t>
  </si>
  <si>
    <t>Customer_905</t>
  </si>
  <si>
    <t>customer905@example.com</t>
  </si>
  <si>
    <t>CUST0906</t>
  </si>
  <si>
    <t>Customer_906</t>
  </si>
  <si>
    <t>customer906@example.com</t>
  </si>
  <si>
    <t>CUST0907</t>
  </si>
  <si>
    <t>Customer_907</t>
  </si>
  <si>
    <t>customer907@example.com</t>
  </si>
  <si>
    <t>CUST0908</t>
  </si>
  <si>
    <t>Customer_908</t>
  </si>
  <si>
    <t>customer908@example.com</t>
  </si>
  <si>
    <t>CUST0909</t>
  </si>
  <si>
    <t>Customer_909</t>
  </si>
  <si>
    <t>customer909@example.com</t>
  </si>
  <si>
    <t>CUST0910</t>
  </si>
  <si>
    <t>Customer_910</t>
  </si>
  <si>
    <t>customer910@example.com</t>
  </si>
  <si>
    <t>CUST0911</t>
  </si>
  <si>
    <t>Customer_911</t>
  </si>
  <si>
    <t>customer911@example.com</t>
  </si>
  <si>
    <t>CUST0912</t>
  </si>
  <si>
    <t>Customer_912</t>
  </si>
  <si>
    <t>customer912@example.com</t>
  </si>
  <si>
    <t>CUST0913</t>
  </si>
  <si>
    <t>Customer_913</t>
  </si>
  <si>
    <t>customer913@example.com</t>
  </si>
  <si>
    <t>CUST0914</t>
  </si>
  <si>
    <t>Customer_914</t>
  </si>
  <si>
    <t>customer914@example.com</t>
  </si>
  <si>
    <t>CUST0915</t>
  </si>
  <si>
    <t>Customer_915</t>
  </si>
  <si>
    <t>customer915@example.com</t>
  </si>
  <si>
    <t>CUST0916</t>
  </si>
  <si>
    <t>Customer_916</t>
  </si>
  <si>
    <t>customer916@example.com</t>
  </si>
  <si>
    <t>CUST0917</t>
  </si>
  <si>
    <t>Customer_917</t>
  </si>
  <si>
    <t>customer917@example.com</t>
  </si>
  <si>
    <t>CUST0918</t>
  </si>
  <si>
    <t>Customer_918</t>
  </si>
  <si>
    <t>customer918@example.com</t>
  </si>
  <si>
    <t>CUST0919</t>
  </si>
  <si>
    <t>Customer_919</t>
  </si>
  <si>
    <t>customer919@example.com</t>
  </si>
  <si>
    <t>CUST0920</t>
  </si>
  <si>
    <t>Customer_920</t>
  </si>
  <si>
    <t>customer920@example.com</t>
  </si>
  <si>
    <t>CUST0921</t>
  </si>
  <si>
    <t>Customer_921</t>
  </si>
  <si>
    <t>customer921@example.com</t>
  </si>
  <si>
    <t>CUST0922</t>
  </si>
  <si>
    <t>Customer_922</t>
  </si>
  <si>
    <t>customer922@example.com</t>
  </si>
  <si>
    <t>CUST0923</t>
  </si>
  <si>
    <t>Customer_923</t>
  </si>
  <si>
    <t>customer923@example.com</t>
  </si>
  <si>
    <t>CUST0924</t>
  </si>
  <si>
    <t>Customer_924</t>
  </si>
  <si>
    <t>customer924@example.com</t>
  </si>
  <si>
    <t>CUST0925</t>
  </si>
  <si>
    <t>Customer_925</t>
  </si>
  <si>
    <t>customer925@example.com</t>
  </si>
  <si>
    <t>CUST0926</t>
  </si>
  <si>
    <t>Customer_926</t>
  </si>
  <si>
    <t>customer926@example.com</t>
  </si>
  <si>
    <t>CUST0927</t>
  </si>
  <si>
    <t>Customer_927</t>
  </si>
  <si>
    <t>customer927@example.com</t>
  </si>
  <si>
    <t>CUST0928</t>
  </si>
  <si>
    <t>Customer_928</t>
  </si>
  <si>
    <t>customer928@example.com</t>
  </si>
  <si>
    <t>CUST0929</t>
  </si>
  <si>
    <t>Customer_929</t>
  </si>
  <si>
    <t>customer929@example.com</t>
  </si>
  <si>
    <t>CUST0930</t>
  </si>
  <si>
    <t>Customer_930</t>
  </si>
  <si>
    <t>customer930@example.com</t>
  </si>
  <si>
    <t>CUST0931</t>
  </si>
  <si>
    <t>Customer_931</t>
  </si>
  <si>
    <t>customer931@example.com</t>
  </si>
  <si>
    <t>CUST0932</t>
  </si>
  <si>
    <t>Customer_932</t>
  </si>
  <si>
    <t>customer932@example.com</t>
  </si>
  <si>
    <t>CUST0933</t>
  </si>
  <si>
    <t>Customer_933</t>
  </si>
  <si>
    <t>customer933@example.com</t>
  </si>
  <si>
    <t>CUST0934</t>
  </si>
  <si>
    <t>Customer_934</t>
  </si>
  <si>
    <t>customer934@example.com</t>
  </si>
  <si>
    <t>CUST0935</t>
  </si>
  <si>
    <t>Customer_935</t>
  </si>
  <si>
    <t>customer935@example.com</t>
  </si>
  <si>
    <t>CUST0936</t>
  </si>
  <si>
    <t>Customer_936</t>
  </si>
  <si>
    <t>customer936@example.com</t>
  </si>
  <si>
    <t>CUST0937</t>
  </si>
  <si>
    <t>Customer_937</t>
  </si>
  <si>
    <t>customer937@example.com</t>
  </si>
  <si>
    <t>CUST0938</t>
  </si>
  <si>
    <t>Customer_938</t>
  </si>
  <si>
    <t>customer938@example.com</t>
  </si>
  <si>
    <t>CUST0939</t>
  </si>
  <si>
    <t>Customer_939</t>
  </si>
  <si>
    <t>customer939@example.com</t>
  </si>
  <si>
    <t>CUST0940</t>
  </si>
  <si>
    <t>Customer_940</t>
  </si>
  <si>
    <t>customer940@example.com</t>
  </si>
  <si>
    <t>CUST0941</t>
  </si>
  <si>
    <t>Customer_941</t>
  </si>
  <si>
    <t>customer941@example.com</t>
  </si>
  <si>
    <t>CUST0942</t>
  </si>
  <si>
    <t>Customer_942</t>
  </si>
  <si>
    <t>customer942@example.com</t>
  </si>
  <si>
    <t>CUST0943</t>
  </si>
  <si>
    <t>Customer_943</t>
  </si>
  <si>
    <t>customer943@example.com</t>
  </si>
  <si>
    <t>CUST0944</t>
  </si>
  <si>
    <t>Customer_944</t>
  </si>
  <si>
    <t>customer944@example.com</t>
  </si>
  <si>
    <t>CUST0945</t>
  </si>
  <si>
    <t>Customer_945</t>
  </si>
  <si>
    <t>customer945@example.com</t>
  </si>
  <si>
    <t>CUST0946</t>
  </si>
  <si>
    <t>Customer_946</t>
  </si>
  <si>
    <t>customer946@example.com</t>
  </si>
  <si>
    <t>CUST0947</t>
  </si>
  <si>
    <t>Customer_947</t>
  </si>
  <si>
    <t>customer947@example.com</t>
  </si>
  <si>
    <t>CUST0948</t>
  </si>
  <si>
    <t>Customer_948</t>
  </si>
  <si>
    <t>customer948@example.com</t>
  </si>
  <si>
    <t>CUST0949</t>
  </si>
  <si>
    <t>Customer_949</t>
  </si>
  <si>
    <t>customer949@example.com</t>
  </si>
  <si>
    <t>CUST0950</t>
  </si>
  <si>
    <t>Customer_950</t>
  </si>
  <si>
    <t>customer950@example.com</t>
  </si>
  <si>
    <t>CUST0951</t>
  </si>
  <si>
    <t>Customer_951</t>
  </si>
  <si>
    <t>customer951@example.com</t>
  </si>
  <si>
    <t>CUST0952</t>
  </si>
  <si>
    <t>Customer_952</t>
  </si>
  <si>
    <t>customer952@example.com</t>
  </si>
  <si>
    <t>CUST0953</t>
  </si>
  <si>
    <t>Customer_953</t>
  </si>
  <si>
    <t>customer953@example.com</t>
  </si>
  <si>
    <t>CUST0954</t>
  </si>
  <si>
    <t>Customer_954</t>
  </si>
  <si>
    <t>customer954@example.com</t>
  </si>
  <si>
    <t>CUST0955</t>
  </si>
  <si>
    <t>Customer_955</t>
  </si>
  <si>
    <t>customer955@example.com</t>
  </si>
  <si>
    <t>CUST0956</t>
  </si>
  <si>
    <t>Customer_956</t>
  </si>
  <si>
    <t>customer956@example.com</t>
  </si>
  <si>
    <t>CUST0957</t>
  </si>
  <si>
    <t>Customer_957</t>
  </si>
  <si>
    <t>customer957@example.com</t>
  </si>
  <si>
    <t>CUST0958</t>
  </si>
  <si>
    <t>Customer_958</t>
  </si>
  <si>
    <t>customer958@example.com</t>
  </si>
  <si>
    <t>CUST0959</t>
  </si>
  <si>
    <t>Customer_959</t>
  </si>
  <si>
    <t>customer959@example.com</t>
  </si>
  <si>
    <t>CUST0960</t>
  </si>
  <si>
    <t>Customer_960</t>
  </si>
  <si>
    <t>customer960@example.com</t>
  </si>
  <si>
    <t>CUST0961</t>
  </si>
  <si>
    <t>Customer_961</t>
  </si>
  <si>
    <t>customer961@example.com</t>
  </si>
  <si>
    <t>CUST0962</t>
  </si>
  <si>
    <t>Customer_962</t>
  </si>
  <si>
    <t>customer962@example.com</t>
  </si>
  <si>
    <t>CUST0963</t>
  </si>
  <si>
    <t>Customer_963</t>
  </si>
  <si>
    <t>customer963@example.com</t>
  </si>
  <si>
    <t>CUST0964</t>
  </si>
  <si>
    <t>Customer_964</t>
  </si>
  <si>
    <t>customer964@example.com</t>
  </si>
  <si>
    <t>CUST0965</t>
  </si>
  <si>
    <t>Customer_965</t>
  </si>
  <si>
    <t>customer965@example.com</t>
  </si>
  <si>
    <t>CUST0966</t>
  </si>
  <si>
    <t>Customer_966</t>
  </si>
  <si>
    <t>customer966@example.com</t>
  </si>
  <si>
    <t>CUST0967</t>
  </si>
  <si>
    <t>Customer_967</t>
  </si>
  <si>
    <t>customer967@example.com</t>
  </si>
  <si>
    <t>CUST0968</t>
  </si>
  <si>
    <t>Customer_968</t>
  </si>
  <si>
    <t>customer968@example.com</t>
  </si>
  <si>
    <t>CUST0969</t>
  </si>
  <si>
    <t>Customer_969</t>
  </si>
  <si>
    <t>customer969@example.com</t>
  </si>
  <si>
    <t>CUST0970</t>
  </si>
  <si>
    <t>Customer_970</t>
  </si>
  <si>
    <t>customer970@example.com</t>
  </si>
  <si>
    <t>CUST0971</t>
  </si>
  <si>
    <t>Customer_971</t>
  </si>
  <si>
    <t>customer971@example.com</t>
  </si>
  <si>
    <t>CUST0972</t>
  </si>
  <si>
    <t>Customer_972</t>
  </si>
  <si>
    <t>customer972@example.com</t>
  </si>
  <si>
    <t>CUST0973</t>
  </si>
  <si>
    <t>Customer_973</t>
  </si>
  <si>
    <t>customer973@example.com</t>
  </si>
  <si>
    <t>CUST0974</t>
  </si>
  <si>
    <t>Customer_974</t>
  </si>
  <si>
    <t>customer974@example.com</t>
  </si>
  <si>
    <t>CUST0975</t>
  </si>
  <si>
    <t>Customer_975</t>
  </si>
  <si>
    <t>customer975@example.com</t>
  </si>
  <si>
    <t>CUST0976</t>
  </si>
  <si>
    <t>Customer_976</t>
  </si>
  <si>
    <t>customer976@example.com</t>
  </si>
  <si>
    <t>CUST0977</t>
  </si>
  <si>
    <t>Customer_977</t>
  </si>
  <si>
    <t>customer977@example.com</t>
  </si>
  <si>
    <t>CUST0978</t>
  </si>
  <si>
    <t>Customer_978</t>
  </si>
  <si>
    <t>customer978@example.com</t>
  </si>
  <si>
    <t>CUST0979</t>
  </si>
  <si>
    <t>Customer_979</t>
  </si>
  <si>
    <t>customer979@example.com</t>
  </si>
  <si>
    <t>CUST0980</t>
  </si>
  <si>
    <t>Customer_980</t>
  </si>
  <si>
    <t>customer980@example.com</t>
  </si>
  <si>
    <t>CUST0981</t>
  </si>
  <si>
    <t>Customer_981</t>
  </si>
  <si>
    <t>customer981@example.com</t>
  </si>
  <si>
    <t>CUST0982</t>
  </si>
  <si>
    <t>Customer_982</t>
  </si>
  <si>
    <t>customer982@example.com</t>
  </si>
  <si>
    <t>CUST0983</t>
  </si>
  <si>
    <t>Customer_983</t>
  </si>
  <si>
    <t>customer983@example.com</t>
  </si>
  <si>
    <t>CUST0984</t>
  </si>
  <si>
    <t>Customer_984</t>
  </si>
  <si>
    <t>customer984@example.com</t>
  </si>
  <si>
    <t>CUST0985</t>
  </si>
  <si>
    <t>Customer_985</t>
  </si>
  <si>
    <t>customer985@example.com</t>
  </si>
  <si>
    <t>CUST0986</t>
  </si>
  <si>
    <t>Customer_986</t>
  </si>
  <si>
    <t>customer986@example.com</t>
  </si>
  <si>
    <t>CUST0987</t>
  </si>
  <si>
    <t>Customer_987</t>
  </si>
  <si>
    <t>customer987@example.com</t>
  </si>
  <si>
    <t>CUST0988</t>
  </si>
  <si>
    <t>Customer_988</t>
  </si>
  <si>
    <t>customer988@example.com</t>
  </si>
  <si>
    <t>CUST0989</t>
  </si>
  <si>
    <t>Customer_989</t>
  </si>
  <si>
    <t>customer989@example.com</t>
  </si>
  <si>
    <t>CUST0990</t>
  </si>
  <si>
    <t>Customer_990</t>
  </si>
  <si>
    <t>customer990@example.com</t>
  </si>
  <si>
    <t>CUST0991</t>
  </si>
  <si>
    <t>Customer_991</t>
  </si>
  <si>
    <t>customer991@example.com</t>
  </si>
  <si>
    <t>CUST0992</t>
  </si>
  <si>
    <t>Customer_992</t>
  </si>
  <si>
    <t>customer992@example.com</t>
  </si>
  <si>
    <t>CUST0993</t>
  </si>
  <si>
    <t>Customer_993</t>
  </si>
  <si>
    <t>customer993@example.com</t>
  </si>
  <si>
    <t>CUST0994</t>
  </si>
  <si>
    <t>Customer_994</t>
  </si>
  <si>
    <t>customer994@example.com</t>
  </si>
  <si>
    <t>CUST0995</t>
  </si>
  <si>
    <t>Customer_995</t>
  </si>
  <si>
    <t>customer995@example.com</t>
  </si>
  <si>
    <t>CUST0996</t>
  </si>
  <si>
    <t>Customer_996</t>
  </si>
  <si>
    <t>customer996@example.com</t>
  </si>
  <si>
    <t>CUST0997</t>
  </si>
  <si>
    <t>Customer_997</t>
  </si>
  <si>
    <t>customer997@example.com</t>
  </si>
  <si>
    <t>CUST0998</t>
  </si>
  <si>
    <t>Customer_998</t>
  </si>
  <si>
    <t>customer998@example.com</t>
  </si>
  <si>
    <t>CUST0999</t>
  </si>
  <si>
    <t>Customer_999</t>
  </si>
  <si>
    <t>customer999@example.com</t>
  </si>
  <si>
    <t>CUST1000</t>
  </si>
  <si>
    <t>Customer_1000</t>
  </si>
  <si>
    <t>customer1000@example.com</t>
  </si>
  <si>
    <t>ProductID</t>
  </si>
  <si>
    <t>ProductName</t>
  </si>
  <si>
    <t>Category</t>
  </si>
  <si>
    <t>UnitPrice</t>
  </si>
  <si>
    <t>PRD0001</t>
  </si>
  <si>
    <t>Product_1</t>
  </si>
  <si>
    <t>Clothing</t>
  </si>
  <si>
    <t>PRD0002</t>
  </si>
  <si>
    <t>Product_2</t>
  </si>
  <si>
    <t>Home</t>
  </si>
  <si>
    <t>PRD0003</t>
  </si>
  <si>
    <t>Product_3</t>
  </si>
  <si>
    <t>PRD0004</t>
  </si>
  <si>
    <t>Product_4</t>
  </si>
  <si>
    <t>PRD0005</t>
  </si>
  <si>
    <t>Product_5</t>
  </si>
  <si>
    <t>PRD0006</t>
  </si>
  <si>
    <t>Product_6</t>
  </si>
  <si>
    <t>Electronics</t>
  </si>
  <si>
    <t>PRD0007</t>
  </si>
  <si>
    <t>Product_7</t>
  </si>
  <si>
    <t>PRD0008</t>
  </si>
  <si>
    <t>Product_8</t>
  </si>
  <si>
    <t>PRD0009</t>
  </si>
  <si>
    <t>Product_9</t>
  </si>
  <si>
    <t>Food</t>
  </si>
  <si>
    <t>PRD0010</t>
  </si>
  <si>
    <t>Product_10</t>
  </si>
  <si>
    <t>PRD0011</t>
  </si>
  <si>
    <t>Product_11</t>
  </si>
  <si>
    <t>PRD0012</t>
  </si>
  <si>
    <t>Product_12</t>
  </si>
  <si>
    <t>PRD0013</t>
  </si>
  <si>
    <t>Product_13</t>
  </si>
  <si>
    <t>PRD0014</t>
  </si>
  <si>
    <t>Product_14</t>
  </si>
  <si>
    <t>PRD0015</t>
  </si>
  <si>
    <t>Product_15</t>
  </si>
  <si>
    <t>Sports</t>
  </si>
  <si>
    <t>PRD0016</t>
  </si>
  <si>
    <t>Product_16</t>
  </si>
  <si>
    <t>PRD0017</t>
  </si>
  <si>
    <t>Product_17</t>
  </si>
  <si>
    <t>PRD0018</t>
  </si>
  <si>
    <t>Product_18</t>
  </si>
  <si>
    <t>PRD0019</t>
  </si>
  <si>
    <t>Product_19</t>
  </si>
  <si>
    <t>PRD0020</t>
  </si>
  <si>
    <t>Product_20</t>
  </si>
  <si>
    <t>PRD0021</t>
  </si>
  <si>
    <t>Product_21</t>
  </si>
  <si>
    <t>PRD0022</t>
  </si>
  <si>
    <t>Product_22</t>
  </si>
  <si>
    <t>PRD0023</t>
  </si>
  <si>
    <t>Product_23</t>
  </si>
  <si>
    <t>PRD0024</t>
  </si>
  <si>
    <t>Product_24</t>
  </si>
  <si>
    <t>PRD0025</t>
  </si>
  <si>
    <t>Product_25</t>
  </si>
  <si>
    <t>PRD0026</t>
  </si>
  <si>
    <t>Product_26</t>
  </si>
  <si>
    <t>PRD0027</t>
  </si>
  <si>
    <t>Product_27</t>
  </si>
  <si>
    <t>PRD0028</t>
  </si>
  <si>
    <t>Product_28</t>
  </si>
  <si>
    <t>PRD0029</t>
  </si>
  <si>
    <t>Product_29</t>
  </si>
  <si>
    <t>PRD0030</t>
  </si>
  <si>
    <t>Product_30</t>
  </si>
  <si>
    <t>PRD0031</t>
  </si>
  <si>
    <t>Product_31</t>
  </si>
  <si>
    <t>PRD0032</t>
  </si>
  <si>
    <t>Product_32</t>
  </si>
  <si>
    <t>PRD0033</t>
  </si>
  <si>
    <t>Product_33</t>
  </si>
  <si>
    <t>PRD0034</t>
  </si>
  <si>
    <t>Product_34</t>
  </si>
  <si>
    <t>PRD0035</t>
  </si>
  <si>
    <t>Product_35</t>
  </si>
  <si>
    <t>PRD0036</t>
  </si>
  <si>
    <t>Product_36</t>
  </si>
  <si>
    <t>PRD0037</t>
  </si>
  <si>
    <t>Product_37</t>
  </si>
  <si>
    <t>PRD0038</t>
  </si>
  <si>
    <t>Product_38</t>
  </si>
  <si>
    <t>PRD0039</t>
  </si>
  <si>
    <t>Product_39</t>
  </si>
  <si>
    <t>PRD0040</t>
  </si>
  <si>
    <t>Product_40</t>
  </si>
  <si>
    <t>PRD0041</t>
  </si>
  <si>
    <t>Product_41</t>
  </si>
  <si>
    <t>PRD0042</t>
  </si>
  <si>
    <t>Product_42</t>
  </si>
  <si>
    <t>PRD0043</t>
  </si>
  <si>
    <t>Product_43</t>
  </si>
  <si>
    <t>PRD0044</t>
  </si>
  <si>
    <t>Product_44</t>
  </si>
  <si>
    <t>PRD0045</t>
  </si>
  <si>
    <t>Product_45</t>
  </si>
  <si>
    <t>PRD0046</t>
  </si>
  <si>
    <t>Product_46</t>
  </si>
  <si>
    <t>PRD0047</t>
  </si>
  <si>
    <t>Product_47</t>
  </si>
  <si>
    <t>PRD0048</t>
  </si>
  <si>
    <t>Product_48</t>
  </si>
  <si>
    <t>PRD0049</t>
  </si>
  <si>
    <t>Product_49</t>
  </si>
  <si>
    <t>PRD0050</t>
  </si>
  <si>
    <t>Product_50</t>
  </si>
  <si>
    <t>PRD0051</t>
  </si>
  <si>
    <t>Product_51</t>
  </si>
  <si>
    <t>PRD0052</t>
  </si>
  <si>
    <t>Product_52</t>
  </si>
  <si>
    <t>PRD0053</t>
  </si>
  <si>
    <t>Product_53</t>
  </si>
  <si>
    <t>PRD0054</t>
  </si>
  <si>
    <t>Product_54</t>
  </si>
  <si>
    <t>PRD0055</t>
  </si>
  <si>
    <t>Product_55</t>
  </si>
  <si>
    <t>PRD0056</t>
  </si>
  <si>
    <t>Product_56</t>
  </si>
  <si>
    <t>PRD0057</t>
  </si>
  <si>
    <t>Product_57</t>
  </si>
  <si>
    <t>PRD0058</t>
  </si>
  <si>
    <t>Product_58</t>
  </si>
  <si>
    <t>PRD0059</t>
  </si>
  <si>
    <t>Product_59</t>
  </si>
  <si>
    <t>PRD0060</t>
  </si>
  <si>
    <t>Product_60</t>
  </si>
  <si>
    <t>PRD0061</t>
  </si>
  <si>
    <t>Product_61</t>
  </si>
  <si>
    <t>PRD0062</t>
  </si>
  <si>
    <t>Product_62</t>
  </si>
  <si>
    <t>PRD0063</t>
  </si>
  <si>
    <t>Product_63</t>
  </si>
  <si>
    <t>PRD0064</t>
  </si>
  <si>
    <t>Product_64</t>
  </si>
  <si>
    <t>PRD0065</t>
  </si>
  <si>
    <t>Product_65</t>
  </si>
  <si>
    <t>PRD0066</t>
  </si>
  <si>
    <t>Product_66</t>
  </si>
  <si>
    <t>PRD0067</t>
  </si>
  <si>
    <t>Product_67</t>
  </si>
  <si>
    <t>PRD0068</t>
  </si>
  <si>
    <t>Product_68</t>
  </si>
  <si>
    <t>PRD0069</t>
  </si>
  <si>
    <t>Product_69</t>
  </si>
  <si>
    <t>PRD0070</t>
  </si>
  <si>
    <t>Product_70</t>
  </si>
  <si>
    <t>PRD0071</t>
  </si>
  <si>
    <t>Product_71</t>
  </si>
  <si>
    <t>PRD0072</t>
  </si>
  <si>
    <t>Product_72</t>
  </si>
  <si>
    <t>PRD0073</t>
  </si>
  <si>
    <t>Product_73</t>
  </si>
  <si>
    <t>PRD0074</t>
  </si>
  <si>
    <t>Product_74</t>
  </si>
  <si>
    <t>PRD0075</t>
  </si>
  <si>
    <t>Product_75</t>
  </si>
  <si>
    <t>PRD0076</t>
  </si>
  <si>
    <t>Product_76</t>
  </si>
  <si>
    <t>PRD0077</t>
  </si>
  <si>
    <t>Product_77</t>
  </si>
  <si>
    <t>PRD0078</t>
  </si>
  <si>
    <t>Product_78</t>
  </si>
  <si>
    <t>PRD0079</t>
  </si>
  <si>
    <t>Product_79</t>
  </si>
  <si>
    <t>PRD0080</t>
  </si>
  <si>
    <t>Product_80</t>
  </si>
  <si>
    <t>PRD0081</t>
  </si>
  <si>
    <t>Product_81</t>
  </si>
  <si>
    <t>PRD0082</t>
  </si>
  <si>
    <t>Product_82</t>
  </si>
  <si>
    <t>PRD0083</t>
  </si>
  <si>
    <t>Product_83</t>
  </si>
  <si>
    <t>PRD0084</t>
  </si>
  <si>
    <t>Product_84</t>
  </si>
  <si>
    <t>PRD0085</t>
  </si>
  <si>
    <t>Product_85</t>
  </si>
  <si>
    <t>PRD0086</t>
  </si>
  <si>
    <t>Product_86</t>
  </si>
  <si>
    <t>PRD0087</t>
  </si>
  <si>
    <t>Product_87</t>
  </si>
  <si>
    <t>PRD0088</t>
  </si>
  <si>
    <t>Product_88</t>
  </si>
  <si>
    <t>PRD0089</t>
  </si>
  <si>
    <t>Product_89</t>
  </si>
  <si>
    <t>PRD0090</t>
  </si>
  <si>
    <t>Product_90</t>
  </si>
  <si>
    <t>PRD0091</t>
  </si>
  <si>
    <t>Product_91</t>
  </si>
  <si>
    <t>PRD0092</t>
  </si>
  <si>
    <t>Product_92</t>
  </si>
  <si>
    <t>PRD0093</t>
  </si>
  <si>
    <t>Product_93</t>
  </si>
  <si>
    <t>PRD0094</t>
  </si>
  <si>
    <t>Product_94</t>
  </si>
  <si>
    <t>PRD0095</t>
  </si>
  <si>
    <t>Product_95</t>
  </si>
  <si>
    <t>PRD0096</t>
  </si>
  <si>
    <t>Product_96</t>
  </si>
  <si>
    <t>PRD0097</t>
  </si>
  <si>
    <t>Product_97</t>
  </si>
  <si>
    <t>PRD0098</t>
  </si>
  <si>
    <t>Product_98</t>
  </si>
  <si>
    <t>PRD0099</t>
  </si>
  <si>
    <t>Product_99</t>
  </si>
  <si>
    <t>PRD0100</t>
  </si>
  <si>
    <t>Product_100</t>
  </si>
  <si>
    <t>PRD0101</t>
  </si>
  <si>
    <t>Product_101</t>
  </si>
  <si>
    <t>PRD0102</t>
  </si>
  <si>
    <t>Product_102</t>
  </si>
  <si>
    <t>PRD0103</t>
  </si>
  <si>
    <t>Product_103</t>
  </si>
  <si>
    <t>PRD0104</t>
  </si>
  <si>
    <t>Product_104</t>
  </si>
  <si>
    <t>PRD0105</t>
  </si>
  <si>
    <t>Product_105</t>
  </si>
  <si>
    <t>PRD0106</t>
  </si>
  <si>
    <t>Product_106</t>
  </si>
  <si>
    <t>PRD0107</t>
  </si>
  <si>
    <t>Product_107</t>
  </si>
  <si>
    <t>PRD0108</t>
  </si>
  <si>
    <t>Product_108</t>
  </si>
  <si>
    <t>PRD0109</t>
  </si>
  <si>
    <t>Product_109</t>
  </si>
  <si>
    <t>PRD0110</t>
  </si>
  <si>
    <t>Product_110</t>
  </si>
  <si>
    <t>PRD0111</t>
  </si>
  <si>
    <t>Product_111</t>
  </si>
  <si>
    <t>PRD0112</t>
  </si>
  <si>
    <t>Product_112</t>
  </si>
  <si>
    <t>PRD0113</t>
  </si>
  <si>
    <t>Product_113</t>
  </si>
  <si>
    <t>PRD0114</t>
  </si>
  <si>
    <t>Product_114</t>
  </si>
  <si>
    <t>PRD0115</t>
  </si>
  <si>
    <t>Product_115</t>
  </si>
  <si>
    <t>PRD0116</t>
  </si>
  <si>
    <t>Product_116</t>
  </si>
  <si>
    <t>PRD0117</t>
  </si>
  <si>
    <t>Product_117</t>
  </si>
  <si>
    <t>PRD0118</t>
  </si>
  <si>
    <t>Product_118</t>
  </si>
  <si>
    <t>PRD0119</t>
  </si>
  <si>
    <t>Product_119</t>
  </si>
  <si>
    <t>PRD0120</t>
  </si>
  <si>
    <t>Product_120</t>
  </si>
  <si>
    <t>PRD0121</t>
  </si>
  <si>
    <t>Product_121</t>
  </si>
  <si>
    <t>PRD0122</t>
  </si>
  <si>
    <t>Product_122</t>
  </si>
  <si>
    <t>PRD0123</t>
  </si>
  <si>
    <t>Product_123</t>
  </si>
  <si>
    <t>PRD0124</t>
  </si>
  <si>
    <t>Product_124</t>
  </si>
  <si>
    <t>PRD0125</t>
  </si>
  <si>
    <t>Product_125</t>
  </si>
  <si>
    <t>PRD0126</t>
  </si>
  <si>
    <t>Product_126</t>
  </si>
  <si>
    <t>PRD0127</t>
  </si>
  <si>
    <t>Product_127</t>
  </si>
  <si>
    <t>PRD0128</t>
  </si>
  <si>
    <t>Product_128</t>
  </si>
  <si>
    <t>PRD0129</t>
  </si>
  <si>
    <t>Product_129</t>
  </si>
  <si>
    <t>PRD0130</t>
  </si>
  <si>
    <t>Product_130</t>
  </si>
  <si>
    <t>PRD0131</t>
  </si>
  <si>
    <t>Product_131</t>
  </si>
  <si>
    <t>PRD0132</t>
  </si>
  <si>
    <t>Product_132</t>
  </si>
  <si>
    <t>PRD0133</t>
  </si>
  <si>
    <t>Product_133</t>
  </si>
  <si>
    <t>PRD0134</t>
  </si>
  <si>
    <t>Product_134</t>
  </si>
  <si>
    <t>PRD0135</t>
  </si>
  <si>
    <t>Product_135</t>
  </si>
  <si>
    <t>PRD0136</t>
  </si>
  <si>
    <t>Product_136</t>
  </si>
  <si>
    <t>PRD0137</t>
  </si>
  <si>
    <t>Product_137</t>
  </si>
  <si>
    <t>PRD0138</t>
  </si>
  <si>
    <t>Product_138</t>
  </si>
  <si>
    <t>PRD0139</t>
  </si>
  <si>
    <t>Product_139</t>
  </si>
  <si>
    <t>PRD0140</t>
  </si>
  <si>
    <t>Product_140</t>
  </si>
  <si>
    <t>PRD0141</t>
  </si>
  <si>
    <t>Product_141</t>
  </si>
  <si>
    <t>PRD0142</t>
  </si>
  <si>
    <t>Product_142</t>
  </si>
  <si>
    <t>PRD0143</t>
  </si>
  <si>
    <t>Product_143</t>
  </si>
  <si>
    <t>PRD0144</t>
  </si>
  <si>
    <t>Product_144</t>
  </si>
  <si>
    <t>PRD0145</t>
  </si>
  <si>
    <t>Product_145</t>
  </si>
  <si>
    <t>PRD0146</t>
  </si>
  <si>
    <t>Product_146</t>
  </si>
  <si>
    <t>PRD0147</t>
  </si>
  <si>
    <t>Product_147</t>
  </si>
  <si>
    <t>PRD0148</t>
  </si>
  <si>
    <t>Product_148</t>
  </si>
  <si>
    <t>PRD0149</t>
  </si>
  <si>
    <t>Product_149</t>
  </si>
  <si>
    <t>PRD0150</t>
  </si>
  <si>
    <t>Product_150</t>
  </si>
  <si>
    <t>PRD0151</t>
  </si>
  <si>
    <t>Product_151</t>
  </si>
  <si>
    <t>PRD0152</t>
  </si>
  <si>
    <t>Product_152</t>
  </si>
  <si>
    <t>PRD0153</t>
  </si>
  <si>
    <t>Product_153</t>
  </si>
  <si>
    <t>PRD0154</t>
  </si>
  <si>
    <t>Product_154</t>
  </si>
  <si>
    <t>PRD0155</t>
  </si>
  <si>
    <t>Product_155</t>
  </si>
  <si>
    <t>PRD0156</t>
  </si>
  <si>
    <t>Product_156</t>
  </si>
  <si>
    <t>PRD0157</t>
  </si>
  <si>
    <t>Product_157</t>
  </si>
  <si>
    <t>PRD0158</t>
  </si>
  <si>
    <t>Product_158</t>
  </si>
  <si>
    <t>PRD0159</t>
  </si>
  <si>
    <t>Product_159</t>
  </si>
  <si>
    <t>PRD0160</t>
  </si>
  <si>
    <t>Product_160</t>
  </si>
  <si>
    <t>PRD0161</t>
  </si>
  <si>
    <t>Product_161</t>
  </si>
  <si>
    <t>PRD0162</t>
  </si>
  <si>
    <t>Product_162</t>
  </si>
  <si>
    <t>PRD0163</t>
  </si>
  <si>
    <t>Product_163</t>
  </si>
  <si>
    <t>PRD0164</t>
  </si>
  <si>
    <t>Product_164</t>
  </si>
  <si>
    <t>PRD0165</t>
  </si>
  <si>
    <t>Product_165</t>
  </si>
  <si>
    <t>PRD0166</t>
  </si>
  <si>
    <t>Product_166</t>
  </si>
  <si>
    <t>PRD0167</t>
  </si>
  <si>
    <t>Product_167</t>
  </si>
  <si>
    <t>PRD0168</t>
  </si>
  <si>
    <t>Product_168</t>
  </si>
  <si>
    <t>PRD0169</t>
  </si>
  <si>
    <t>Product_169</t>
  </si>
  <si>
    <t>PRD0170</t>
  </si>
  <si>
    <t>Product_170</t>
  </si>
  <si>
    <t>PRD0171</t>
  </si>
  <si>
    <t>Product_171</t>
  </si>
  <si>
    <t>PRD0172</t>
  </si>
  <si>
    <t>Product_172</t>
  </si>
  <si>
    <t>PRD0173</t>
  </si>
  <si>
    <t>Product_173</t>
  </si>
  <si>
    <t>PRD0174</t>
  </si>
  <si>
    <t>Product_174</t>
  </si>
  <si>
    <t>PRD0175</t>
  </si>
  <si>
    <t>Product_175</t>
  </si>
  <si>
    <t>PRD0176</t>
  </si>
  <si>
    <t>Product_176</t>
  </si>
  <si>
    <t>PRD0177</t>
  </si>
  <si>
    <t>Product_177</t>
  </si>
  <si>
    <t>PRD0178</t>
  </si>
  <si>
    <t>Product_178</t>
  </si>
  <si>
    <t>PRD0179</t>
  </si>
  <si>
    <t>Product_179</t>
  </si>
  <si>
    <t>PRD0180</t>
  </si>
  <si>
    <t>Product_180</t>
  </si>
  <si>
    <t>PRD0181</t>
  </si>
  <si>
    <t>Product_181</t>
  </si>
  <si>
    <t>PRD0182</t>
  </si>
  <si>
    <t>Product_182</t>
  </si>
  <si>
    <t>PRD0183</t>
  </si>
  <si>
    <t>Product_183</t>
  </si>
  <si>
    <t>PRD0184</t>
  </si>
  <si>
    <t>Product_184</t>
  </si>
  <si>
    <t>PRD0185</t>
  </si>
  <si>
    <t>Product_185</t>
  </si>
  <si>
    <t>PRD0186</t>
  </si>
  <si>
    <t>Product_186</t>
  </si>
  <si>
    <t>PRD0187</t>
  </si>
  <si>
    <t>Product_187</t>
  </si>
  <si>
    <t>PRD0188</t>
  </si>
  <si>
    <t>Product_188</t>
  </si>
  <si>
    <t>PRD0189</t>
  </si>
  <si>
    <t>Product_189</t>
  </si>
  <si>
    <t>PRD0190</t>
  </si>
  <si>
    <t>Product_190</t>
  </si>
  <si>
    <t>PRD0191</t>
  </si>
  <si>
    <t>Product_191</t>
  </si>
  <si>
    <t>PRD0192</t>
  </si>
  <si>
    <t>Product_192</t>
  </si>
  <si>
    <t>PRD0193</t>
  </si>
  <si>
    <t>Product_193</t>
  </si>
  <si>
    <t>PRD0194</t>
  </si>
  <si>
    <t>Product_194</t>
  </si>
  <si>
    <t>PRD0195</t>
  </si>
  <si>
    <t>Product_195</t>
  </si>
  <si>
    <t>PRD0196</t>
  </si>
  <si>
    <t>Product_196</t>
  </si>
  <si>
    <t>PRD0197</t>
  </si>
  <si>
    <t>Product_197</t>
  </si>
  <si>
    <t>PRD0198</t>
  </si>
  <si>
    <t>Product_198</t>
  </si>
  <si>
    <t>PRD0199</t>
  </si>
  <si>
    <t>Product_199</t>
  </si>
  <si>
    <t>PRD0200</t>
  </si>
  <si>
    <t>Product_200</t>
  </si>
  <si>
    <t>PRD0201</t>
  </si>
  <si>
    <t>Product_201</t>
  </si>
  <si>
    <t>PRD0202</t>
  </si>
  <si>
    <t>Product_202</t>
  </si>
  <si>
    <t>PRD0203</t>
  </si>
  <si>
    <t>Product_203</t>
  </si>
  <si>
    <t>PRD0204</t>
  </si>
  <si>
    <t>Product_204</t>
  </si>
  <si>
    <t>PRD0205</t>
  </si>
  <si>
    <t>Product_205</t>
  </si>
  <si>
    <t>PRD0206</t>
  </si>
  <si>
    <t>Product_206</t>
  </si>
  <si>
    <t>PRD0207</t>
  </si>
  <si>
    <t>Product_207</t>
  </si>
  <si>
    <t>PRD0208</t>
  </si>
  <si>
    <t>Product_208</t>
  </si>
  <si>
    <t>PRD0209</t>
  </si>
  <si>
    <t>Product_209</t>
  </si>
  <si>
    <t>PRD0210</t>
  </si>
  <si>
    <t>Product_210</t>
  </si>
  <si>
    <t>PRD0211</t>
  </si>
  <si>
    <t>Product_211</t>
  </si>
  <si>
    <t>PRD0212</t>
  </si>
  <si>
    <t>Product_212</t>
  </si>
  <si>
    <t>PRD0213</t>
  </si>
  <si>
    <t>Product_213</t>
  </si>
  <si>
    <t>PRD0214</t>
  </si>
  <si>
    <t>Product_214</t>
  </si>
  <si>
    <t>PRD0215</t>
  </si>
  <si>
    <t>Product_215</t>
  </si>
  <si>
    <t>PRD0216</t>
  </si>
  <si>
    <t>Product_216</t>
  </si>
  <si>
    <t>PRD0217</t>
  </si>
  <si>
    <t>Product_217</t>
  </si>
  <si>
    <t>PRD0218</t>
  </si>
  <si>
    <t>Product_218</t>
  </si>
  <si>
    <t>PRD0219</t>
  </si>
  <si>
    <t>Product_219</t>
  </si>
  <si>
    <t>PRD0220</t>
  </si>
  <si>
    <t>Product_220</t>
  </si>
  <si>
    <t>PRD0221</t>
  </si>
  <si>
    <t>Product_221</t>
  </si>
  <si>
    <t>PRD0222</t>
  </si>
  <si>
    <t>Product_222</t>
  </si>
  <si>
    <t>PRD0223</t>
  </si>
  <si>
    <t>Product_223</t>
  </si>
  <si>
    <t>PRD0224</t>
  </si>
  <si>
    <t>Product_224</t>
  </si>
  <si>
    <t>PRD0225</t>
  </si>
  <si>
    <t>Product_225</t>
  </si>
  <si>
    <t>PRD0226</t>
  </si>
  <si>
    <t>Product_226</t>
  </si>
  <si>
    <t>PRD0227</t>
  </si>
  <si>
    <t>Product_227</t>
  </si>
  <si>
    <t>PRD0228</t>
  </si>
  <si>
    <t>Product_228</t>
  </si>
  <si>
    <t>PRD0229</t>
  </si>
  <si>
    <t>Product_229</t>
  </si>
  <si>
    <t>PRD0230</t>
  </si>
  <si>
    <t>Product_230</t>
  </si>
  <si>
    <t>PRD0231</t>
  </si>
  <si>
    <t>Product_231</t>
  </si>
  <si>
    <t>PRD0232</t>
  </si>
  <si>
    <t>Product_232</t>
  </si>
  <si>
    <t>PRD0233</t>
  </si>
  <si>
    <t>Product_233</t>
  </si>
  <si>
    <t>PRD0234</t>
  </si>
  <si>
    <t>Product_234</t>
  </si>
  <si>
    <t>PRD0235</t>
  </si>
  <si>
    <t>Product_235</t>
  </si>
  <si>
    <t>PRD0236</t>
  </si>
  <si>
    <t>Product_236</t>
  </si>
  <si>
    <t>PRD0237</t>
  </si>
  <si>
    <t>Product_237</t>
  </si>
  <si>
    <t>PRD0238</t>
  </si>
  <si>
    <t>Product_238</t>
  </si>
  <si>
    <t>PRD0239</t>
  </si>
  <si>
    <t>Product_239</t>
  </si>
  <si>
    <t>PRD0240</t>
  </si>
  <si>
    <t>Product_240</t>
  </si>
  <si>
    <t>PRD0241</t>
  </si>
  <si>
    <t>Product_241</t>
  </si>
  <si>
    <t>PRD0242</t>
  </si>
  <si>
    <t>Product_242</t>
  </si>
  <si>
    <t>PRD0243</t>
  </si>
  <si>
    <t>Product_243</t>
  </si>
  <si>
    <t>PRD0244</t>
  </si>
  <si>
    <t>Product_244</t>
  </si>
  <si>
    <t>PRD0245</t>
  </si>
  <si>
    <t>Product_245</t>
  </si>
  <si>
    <t>PRD0246</t>
  </si>
  <si>
    <t>Product_246</t>
  </si>
  <si>
    <t>PRD0247</t>
  </si>
  <si>
    <t>Product_247</t>
  </si>
  <si>
    <t>PRD0248</t>
  </si>
  <si>
    <t>Product_248</t>
  </si>
  <si>
    <t>PRD0249</t>
  </si>
  <si>
    <t>Product_249</t>
  </si>
  <si>
    <t>PRD0250</t>
  </si>
  <si>
    <t>Product_250</t>
  </si>
  <si>
    <t>PRD0251</t>
  </si>
  <si>
    <t>Product_251</t>
  </si>
  <si>
    <t>PRD0252</t>
  </si>
  <si>
    <t>Product_252</t>
  </si>
  <si>
    <t>PRD0253</t>
  </si>
  <si>
    <t>Product_253</t>
  </si>
  <si>
    <t>PRD0254</t>
  </si>
  <si>
    <t>Product_254</t>
  </si>
  <si>
    <t>PRD0255</t>
  </si>
  <si>
    <t>Product_255</t>
  </si>
  <si>
    <t>PRD0256</t>
  </si>
  <si>
    <t>Product_256</t>
  </si>
  <si>
    <t>PRD0257</t>
  </si>
  <si>
    <t>Product_257</t>
  </si>
  <si>
    <t>PRD0258</t>
  </si>
  <si>
    <t>Product_258</t>
  </si>
  <si>
    <t>PRD0259</t>
  </si>
  <si>
    <t>Product_259</t>
  </si>
  <si>
    <t>PRD0260</t>
  </si>
  <si>
    <t>Product_260</t>
  </si>
  <si>
    <t>PRD0261</t>
  </si>
  <si>
    <t>Product_261</t>
  </si>
  <si>
    <t>PRD0262</t>
  </si>
  <si>
    <t>Product_262</t>
  </si>
  <si>
    <t>PRD0263</t>
  </si>
  <si>
    <t>Product_263</t>
  </si>
  <si>
    <t>PRD0264</t>
  </si>
  <si>
    <t>Product_264</t>
  </si>
  <si>
    <t>PRD0265</t>
  </si>
  <si>
    <t>Product_265</t>
  </si>
  <si>
    <t>PRD0266</t>
  </si>
  <si>
    <t>Product_266</t>
  </si>
  <si>
    <t>PRD0267</t>
  </si>
  <si>
    <t>Product_267</t>
  </si>
  <si>
    <t>PRD0268</t>
  </si>
  <si>
    <t>Product_268</t>
  </si>
  <si>
    <t>PRD0269</t>
  </si>
  <si>
    <t>Product_269</t>
  </si>
  <si>
    <t>PRD0270</t>
  </si>
  <si>
    <t>Product_270</t>
  </si>
  <si>
    <t>PRD0271</t>
  </si>
  <si>
    <t>Product_271</t>
  </si>
  <si>
    <t>PRD0272</t>
  </si>
  <si>
    <t>Product_272</t>
  </si>
  <si>
    <t>PRD0273</t>
  </si>
  <si>
    <t>Product_273</t>
  </si>
  <si>
    <t>PRD0274</t>
  </si>
  <si>
    <t>Product_274</t>
  </si>
  <si>
    <t>PRD0275</t>
  </si>
  <si>
    <t>Product_275</t>
  </si>
  <si>
    <t>PRD0276</t>
  </si>
  <si>
    <t>Product_276</t>
  </si>
  <si>
    <t>PRD0277</t>
  </si>
  <si>
    <t>Product_277</t>
  </si>
  <si>
    <t>PRD0278</t>
  </si>
  <si>
    <t>Product_278</t>
  </si>
  <si>
    <t>PRD0279</t>
  </si>
  <si>
    <t>Product_279</t>
  </si>
  <si>
    <t>PRD0280</t>
  </si>
  <si>
    <t>Product_280</t>
  </si>
  <si>
    <t>PRD0281</t>
  </si>
  <si>
    <t>Product_281</t>
  </si>
  <si>
    <t>PRD0282</t>
  </si>
  <si>
    <t>Product_282</t>
  </si>
  <si>
    <t>PRD0283</t>
  </si>
  <si>
    <t>Product_283</t>
  </si>
  <si>
    <t>PRD0284</t>
  </si>
  <si>
    <t>Product_284</t>
  </si>
  <si>
    <t>PRD0285</t>
  </si>
  <si>
    <t>Product_285</t>
  </si>
  <si>
    <t>PRD0286</t>
  </si>
  <si>
    <t>Product_286</t>
  </si>
  <si>
    <t>PRD0287</t>
  </si>
  <si>
    <t>Product_287</t>
  </si>
  <si>
    <t>PRD0288</t>
  </si>
  <si>
    <t>Product_288</t>
  </si>
  <si>
    <t>PRD0289</t>
  </si>
  <si>
    <t>Product_289</t>
  </si>
  <si>
    <t>PRD0290</t>
  </si>
  <si>
    <t>Product_290</t>
  </si>
  <si>
    <t>PRD0291</t>
  </si>
  <si>
    <t>Product_291</t>
  </si>
  <si>
    <t>PRD0292</t>
  </si>
  <si>
    <t>Product_292</t>
  </si>
  <si>
    <t>PRD0293</t>
  </si>
  <si>
    <t>Product_293</t>
  </si>
  <si>
    <t>PRD0294</t>
  </si>
  <si>
    <t>Product_294</t>
  </si>
  <si>
    <t>PRD0295</t>
  </si>
  <si>
    <t>Product_295</t>
  </si>
  <si>
    <t>PRD0296</t>
  </si>
  <si>
    <t>Product_296</t>
  </si>
  <si>
    <t>PRD0297</t>
  </si>
  <si>
    <t>Product_297</t>
  </si>
  <si>
    <t>PRD0298</t>
  </si>
  <si>
    <t>Product_298</t>
  </si>
  <si>
    <t>PRD0299</t>
  </si>
  <si>
    <t>Product_299</t>
  </si>
  <si>
    <t>PRD0300</t>
  </si>
  <si>
    <t>Product_300</t>
  </si>
  <si>
    <t>PRD0301</t>
  </si>
  <si>
    <t>Product_301</t>
  </si>
  <si>
    <t>PRD0302</t>
  </si>
  <si>
    <t>Product_302</t>
  </si>
  <si>
    <t>PRD0303</t>
  </si>
  <si>
    <t>Product_303</t>
  </si>
  <si>
    <t>PRD0304</t>
  </si>
  <si>
    <t>Product_304</t>
  </si>
  <si>
    <t>PRD0305</t>
  </si>
  <si>
    <t>Product_305</t>
  </si>
  <si>
    <t>PRD0306</t>
  </si>
  <si>
    <t>Product_306</t>
  </si>
  <si>
    <t>PRD0307</t>
  </si>
  <si>
    <t>Product_307</t>
  </si>
  <si>
    <t>PRD0308</t>
  </si>
  <si>
    <t>Product_308</t>
  </si>
  <si>
    <t>PRD0309</t>
  </si>
  <si>
    <t>Product_309</t>
  </si>
  <si>
    <t>PRD0310</t>
  </si>
  <si>
    <t>Product_310</t>
  </si>
  <si>
    <t>PRD0311</t>
  </si>
  <si>
    <t>Product_311</t>
  </si>
  <si>
    <t>PRD0312</t>
  </si>
  <si>
    <t>Product_312</t>
  </si>
  <si>
    <t>PRD0313</t>
  </si>
  <si>
    <t>Product_313</t>
  </si>
  <si>
    <t>PRD0314</t>
  </si>
  <si>
    <t>Product_314</t>
  </si>
  <si>
    <t>PRD0315</t>
  </si>
  <si>
    <t>Product_315</t>
  </si>
  <si>
    <t>PRD0316</t>
  </si>
  <si>
    <t>Product_316</t>
  </si>
  <si>
    <t>PRD0317</t>
  </si>
  <si>
    <t>Product_317</t>
  </si>
  <si>
    <t>PRD0318</t>
  </si>
  <si>
    <t>Product_318</t>
  </si>
  <si>
    <t>PRD0319</t>
  </si>
  <si>
    <t>Product_319</t>
  </si>
  <si>
    <t>PRD0320</t>
  </si>
  <si>
    <t>Product_320</t>
  </si>
  <si>
    <t>PRD0321</t>
  </si>
  <si>
    <t>Product_321</t>
  </si>
  <si>
    <t>PRD0322</t>
  </si>
  <si>
    <t>Product_322</t>
  </si>
  <si>
    <t>PRD0323</t>
  </si>
  <si>
    <t>Product_323</t>
  </si>
  <si>
    <t>PRD0324</t>
  </si>
  <si>
    <t>Product_324</t>
  </si>
  <si>
    <t>PRD0325</t>
  </si>
  <si>
    <t>Product_325</t>
  </si>
  <si>
    <t>PRD0326</t>
  </si>
  <si>
    <t>Product_326</t>
  </si>
  <si>
    <t>PRD0327</t>
  </si>
  <si>
    <t>Product_327</t>
  </si>
  <si>
    <t>PRD0328</t>
  </si>
  <si>
    <t>Product_328</t>
  </si>
  <si>
    <t>PRD0329</t>
  </si>
  <si>
    <t>Product_329</t>
  </si>
  <si>
    <t>PRD0330</t>
  </si>
  <si>
    <t>Product_330</t>
  </si>
  <si>
    <t>PRD0331</t>
  </si>
  <si>
    <t>Product_331</t>
  </si>
  <si>
    <t>PRD0332</t>
  </si>
  <si>
    <t>Product_332</t>
  </si>
  <si>
    <t>PRD0333</t>
  </si>
  <si>
    <t>Product_333</t>
  </si>
  <si>
    <t>PRD0334</t>
  </si>
  <si>
    <t>Product_334</t>
  </si>
  <si>
    <t>PRD0335</t>
  </si>
  <si>
    <t>Product_335</t>
  </si>
  <si>
    <t>PRD0336</t>
  </si>
  <si>
    <t>Product_336</t>
  </si>
  <si>
    <t>PRD0337</t>
  </si>
  <si>
    <t>Product_337</t>
  </si>
  <si>
    <t>PRD0338</t>
  </si>
  <si>
    <t>Product_338</t>
  </si>
  <si>
    <t>PRD0339</t>
  </si>
  <si>
    <t>Product_339</t>
  </si>
  <si>
    <t>PRD0340</t>
  </si>
  <si>
    <t>Product_340</t>
  </si>
  <si>
    <t>PRD0341</t>
  </si>
  <si>
    <t>Product_341</t>
  </si>
  <si>
    <t>PRD0342</t>
  </si>
  <si>
    <t>Product_342</t>
  </si>
  <si>
    <t>PRD0343</t>
  </si>
  <si>
    <t>Product_343</t>
  </si>
  <si>
    <t>PRD0344</t>
  </si>
  <si>
    <t>Product_344</t>
  </si>
  <si>
    <t>PRD0345</t>
  </si>
  <si>
    <t>Product_345</t>
  </si>
  <si>
    <t>PRD0346</t>
  </si>
  <si>
    <t>Product_346</t>
  </si>
  <si>
    <t>PRD0347</t>
  </si>
  <si>
    <t>Product_347</t>
  </si>
  <si>
    <t>PRD0348</t>
  </si>
  <si>
    <t>Product_348</t>
  </si>
  <si>
    <t>PRD0349</t>
  </si>
  <si>
    <t>Product_349</t>
  </si>
  <si>
    <t>PRD0350</t>
  </si>
  <si>
    <t>Product_350</t>
  </si>
  <si>
    <t>PRD0351</t>
  </si>
  <si>
    <t>Product_351</t>
  </si>
  <si>
    <t>PRD0352</t>
  </si>
  <si>
    <t>Product_352</t>
  </si>
  <si>
    <t>PRD0353</t>
  </si>
  <si>
    <t>Product_353</t>
  </si>
  <si>
    <t>PRD0354</t>
  </si>
  <si>
    <t>Product_354</t>
  </si>
  <si>
    <t>PRD0355</t>
  </si>
  <si>
    <t>Product_355</t>
  </si>
  <si>
    <t>PRD0356</t>
  </si>
  <si>
    <t>Product_356</t>
  </si>
  <si>
    <t>PRD0357</t>
  </si>
  <si>
    <t>Product_357</t>
  </si>
  <si>
    <t>PRD0358</t>
  </si>
  <si>
    <t>Product_358</t>
  </si>
  <si>
    <t>PRD0359</t>
  </si>
  <si>
    <t>Product_359</t>
  </si>
  <si>
    <t>PRD0360</t>
  </si>
  <si>
    <t>Product_360</t>
  </si>
  <si>
    <t>PRD0361</t>
  </si>
  <si>
    <t>Product_361</t>
  </si>
  <si>
    <t>PRD0362</t>
  </si>
  <si>
    <t>Product_362</t>
  </si>
  <si>
    <t>PRD0363</t>
  </si>
  <si>
    <t>Product_363</t>
  </si>
  <si>
    <t>PRD0364</t>
  </si>
  <si>
    <t>Product_364</t>
  </si>
  <si>
    <t>PRD0365</t>
  </si>
  <si>
    <t>Product_365</t>
  </si>
  <si>
    <t>PRD0366</t>
  </si>
  <si>
    <t>Product_366</t>
  </si>
  <si>
    <t>PRD0367</t>
  </si>
  <si>
    <t>Product_367</t>
  </si>
  <si>
    <t>PRD0368</t>
  </si>
  <si>
    <t>Product_368</t>
  </si>
  <si>
    <t>PRD0369</t>
  </si>
  <si>
    <t>Product_369</t>
  </si>
  <si>
    <t>PRD0370</t>
  </si>
  <si>
    <t>Product_370</t>
  </si>
  <si>
    <t>PRD0371</t>
  </si>
  <si>
    <t>Product_371</t>
  </si>
  <si>
    <t>PRD0372</t>
  </si>
  <si>
    <t>Product_372</t>
  </si>
  <si>
    <t>PRD0373</t>
  </si>
  <si>
    <t>Product_373</t>
  </si>
  <si>
    <t>PRD0374</t>
  </si>
  <si>
    <t>Product_374</t>
  </si>
  <si>
    <t>PRD0375</t>
  </si>
  <si>
    <t>Product_375</t>
  </si>
  <si>
    <t>PRD0376</t>
  </si>
  <si>
    <t>Product_376</t>
  </si>
  <si>
    <t>PRD0377</t>
  </si>
  <si>
    <t>Product_377</t>
  </si>
  <si>
    <t>PRD0378</t>
  </si>
  <si>
    <t>Product_378</t>
  </si>
  <si>
    <t>PRD0379</t>
  </si>
  <si>
    <t>Product_379</t>
  </si>
  <si>
    <t>PRD0380</t>
  </si>
  <si>
    <t>Product_380</t>
  </si>
  <si>
    <t>PRD0381</t>
  </si>
  <si>
    <t>Product_381</t>
  </si>
  <si>
    <t>PRD0382</t>
  </si>
  <si>
    <t>Product_382</t>
  </si>
  <si>
    <t>PRD0383</t>
  </si>
  <si>
    <t>Product_383</t>
  </si>
  <si>
    <t>PRD0384</t>
  </si>
  <si>
    <t>Product_384</t>
  </si>
  <si>
    <t>PRD0385</t>
  </si>
  <si>
    <t>Product_385</t>
  </si>
  <si>
    <t>PRD0386</t>
  </si>
  <si>
    <t>Product_386</t>
  </si>
  <si>
    <t>PRD0387</t>
  </si>
  <si>
    <t>Product_387</t>
  </si>
  <si>
    <t>PRD0388</t>
  </si>
  <si>
    <t>Product_388</t>
  </si>
  <si>
    <t>PRD0389</t>
  </si>
  <si>
    <t>Product_389</t>
  </si>
  <si>
    <t>PRD0390</t>
  </si>
  <si>
    <t>Product_390</t>
  </si>
  <si>
    <t>PRD0391</t>
  </si>
  <si>
    <t>Product_391</t>
  </si>
  <si>
    <t>PRD0392</t>
  </si>
  <si>
    <t>Product_392</t>
  </si>
  <si>
    <t>PRD0393</t>
  </si>
  <si>
    <t>Product_393</t>
  </si>
  <si>
    <t>PRD0394</t>
  </si>
  <si>
    <t>Product_394</t>
  </si>
  <si>
    <t>PRD0395</t>
  </si>
  <si>
    <t>Product_395</t>
  </si>
  <si>
    <t>PRD0396</t>
  </si>
  <si>
    <t>Product_396</t>
  </si>
  <si>
    <t>PRD0397</t>
  </si>
  <si>
    <t>Product_397</t>
  </si>
  <si>
    <t>PRD0398</t>
  </si>
  <si>
    <t>Product_398</t>
  </si>
  <si>
    <t>PRD0399</t>
  </si>
  <si>
    <t>Product_399</t>
  </si>
  <si>
    <t>PRD0400</t>
  </si>
  <si>
    <t>Product_400</t>
  </si>
  <si>
    <t>PRD0401</t>
  </si>
  <si>
    <t>Product_401</t>
  </si>
  <si>
    <t>PRD0402</t>
  </si>
  <si>
    <t>Product_402</t>
  </si>
  <si>
    <t>PRD0403</t>
  </si>
  <si>
    <t>Product_403</t>
  </si>
  <si>
    <t>PRD0404</t>
  </si>
  <si>
    <t>Product_404</t>
  </si>
  <si>
    <t>PRD0405</t>
  </si>
  <si>
    <t>Product_405</t>
  </si>
  <si>
    <t>PRD0406</t>
  </si>
  <si>
    <t>Product_406</t>
  </si>
  <si>
    <t>PRD0407</t>
  </si>
  <si>
    <t>Product_407</t>
  </si>
  <si>
    <t>PRD0408</t>
  </si>
  <si>
    <t>Product_408</t>
  </si>
  <si>
    <t>PRD0409</t>
  </si>
  <si>
    <t>Product_409</t>
  </si>
  <si>
    <t>PRD0410</t>
  </si>
  <si>
    <t>Product_410</t>
  </si>
  <si>
    <t>PRD0411</t>
  </si>
  <si>
    <t>Product_411</t>
  </si>
  <si>
    <t>PRD0412</t>
  </si>
  <si>
    <t>Product_412</t>
  </si>
  <si>
    <t>PRD0413</t>
  </si>
  <si>
    <t>Product_413</t>
  </si>
  <si>
    <t>PRD0414</t>
  </si>
  <si>
    <t>Product_414</t>
  </si>
  <si>
    <t>PRD0415</t>
  </si>
  <si>
    <t>Product_415</t>
  </si>
  <si>
    <t>PRD0416</t>
  </si>
  <si>
    <t>Product_416</t>
  </si>
  <si>
    <t>PRD0417</t>
  </si>
  <si>
    <t>Product_417</t>
  </si>
  <si>
    <t>PRD0418</t>
  </si>
  <si>
    <t>Product_418</t>
  </si>
  <si>
    <t>PRD0419</t>
  </si>
  <si>
    <t>Product_419</t>
  </si>
  <si>
    <t>PRD0420</t>
  </si>
  <si>
    <t>Product_420</t>
  </si>
  <si>
    <t>PRD0421</t>
  </si>
  <si>
    <t>Product_421</t>
  </si>
  <si>
    <t>PRD0422</t>
  </si>
  <si>
    <t>Product_422</t>
  </si>
  <si>
    <t>PRD0423</t>
  </si>
  <si>
    <t>Product_423</t>
  </si>
  <si>
    <t>PRD0424</t>
  </si>
  <si>
    <t>Product_424</t>
  </si>
  <si>
    <t>PRD0425</t>
  </si>
  <si>
    <t>Product_425</t>
  </si>
  <si>
    <t>PRD0426</t>
  </si>
  <si>
    <t>Product_426</t>
  </si>
  <si>
    <t>PRD0427</t>
  </si>
  <si>
    <t>Product_427</t>
  </si>
  <si>
    <t>PRD0428</t>
  </si>
  <si>
    <t>Product_428</t>
  </si>
  <si>
    <t>PRD0429</t>
  </si>
  <si>
    <t>Product_429</t>
  </si>
  <si>
    <t>PRD0430</t>
  </si>
  <si>
    <t>Product_430</t>
  </si>
  <si>
    <t>PRD0431</t>
  </si>
  <si>
    <t>Product_431</t>
  </si>
  <si>
    <t>PRD0432</t>
  </si>
  <si>
    <t>Product_432</t>
  </si>
  <si>
    <t>PRD0433</t>
  </si>
  <si>
    <t>Product_433</t>
  </si>
  <si>
    <t>PRD0434</t>
  </si>
  <si>
    <t>Product_434</t>
  </si>
  <si>
    <t>PRD0435</t>
  </si>
  <si>
    <t>Product_435</t>
  </si>
  <si>
    <t>PRD0436</t>
  </si>
  <si>
    <t>Product_436</t>
  </si>
  <si>
    <t>PRD0437</t>
  </si>
  <si>
    <t>Product_437</t>
  </si>
  <si>
    <t>PRD0438</t>
  </si>
  <si>
    <t>Product_438</t>
  </si>
  <si>
    <t>PRD0439</t>
  </si>
  <si>
    <t>Product_439</t>
  </si>
  <si>
    <t>PRD0440</t>
  </si>
  <si>
    <t>Product_440</t>
  </si>
  <si>
    <t>PRD0441</t>
  </si>
  <si>
    <t>Product_441</t>
  </si>
  <si>
    <t>PRD0442</t>
  </si>
  <si>
    <t>Product_442</t>
  </si>
  <si>
    <t>PRD0443</t>
  </si>
  <si>
    <t>Product_443</t>
  </si>
  <si>
    <t>PRD0444</t>
  </si>
  <si>
    <t>Product_444</t>
  </si>
  <si>
    <t>PRD0445</t>
  </si>
  <si>
    <t>Product_445</t>
  </si>
  <si>
    <t>PRD0446</t>
  </si>
  <si>
    <t>Product_446</t>
  </si>
  <si>
    <t>PRD0447</t>
  </si>
  <si>
    <t>Product_447</t>
  </si>
  <si>
    <t>PRD0448</t>
  </si>
  <si>
    <t>Product_448</t>
  </si>
  <si>
    <t>PRD0449</t>
  </si>
  <si>
    <t>Product_449</t>
  </si>
  <si>
    <t>PRD0450</t>
  </si>
  <si>
    <t>Product_450</t>
  </si>
  <si>
    <t>PRD0451</t>
  </si>
  <si>
    <t>Product_451</t>
  </si>
  <si>
    <t>PRD0452</t>
  </si>
  <si>
    <t>Product_452</t>
  </si>
  <si>
    <t>PRD0453</t>
  </si>
  <si>
    <t>Product_453</t>
  </si>
  <si>
    <t>PRD0454</t>
  </si>
  <si>
    <t>Product_454</t>
  </si>
  <si>
    <t>PRD0455</t>
  </si>
  <si>
    <t>Product_455</t>
  </si>
  <si>
    <t>PRD0456</t>
  </si>
  <si>
    <t>Product_456</t>
  </si>
  <si>
    <t>PRD0457</t>
  </si>
  <si>
    <t>Product_457</t>
  </si>
  <si>
    <t>PRD0458</t>
  </si>
  <si>
    <t>Product_458</t>
  </si>
  <si>
    <t>PRD0459</t>
  </si>
  <si>
    <t>Product_459</t>
  </si>
  <si>
    <t>PRD0460</t>
  </si>
  <si>
    <t>Product_460</t>
  </si>
  <si>
    <t>PRD0461</t>
  </si>
  <si>
    <t>Product_461</t>
  </si>
  <si>
    <t>PRD0462</t>
  </si>
  <si>
    <t>Product_462</t>
  </si>
  <si>
    <t>PRD0463</t>
  </si>
  <si>
    <t>Product_463</t>
  </si>
  <si>
    <t>PRD0464</t>
  </si>
  <si>
    <t>Product_464</t>
  </si>
  <si>
    <t>PRD0465</t>
  </si>
  <si>
    <t>Product_465</t>
  </si>
  <si>
    <t>PRD0466</t>
  </si>
  <si>
    <t>Product_466</t>
  </si>
  <si>
    <t>PRD0467</t>
  </si>
  <si>
    <t>Product_467</t>
  </si>
  <si>
    <t>PRD0468</t>
  </si>
  <si>
    <t>Product_468</t>
  </si>
  <si>
    <t>PRD0469</t>
  </si>
  <si>
    <t>Product_469</t>
  </si>
  <si>
    <t>PRD0470</t>
  </si>
  <si>
    <t>Product_470</t>
  </si>
  <si>
    <t>PRD0471</t>
  </si>
  <si>
    <t>Product_471</t>
  </si>
  <si>
    <t>PRD0472</t>
  </si>
  <si>
    <t>Product_472</t>
  </si>
  <si>
    <t>PRD0473</t>
  </si>
  <si>
    <t>Product_473</t>
  </si>
  <si>
    <t>PRD0474</t>
  </si>
  <si>
    <t>Product_474</t>
  </si>
  <si>
    <t>PRD0475</t>
  </si>
  <si>
    <t>Product_475</t>
  </si>
  <si>
    <t>PRD0476</t>
  </si>
  <si>
    <t>Product_476</t>
  </si>
  <si>
    <t>PRD0477</t>
  </si>
  <si>
    <t>Product_477</t>
  </si>
  <si>
    <t>PRD0478</t>
  </si>
  <si>
    <t>Product_478</t>
  </si>
  <si>
    <t>PRD0479</t>
  </si>
  <si>
    <t>Product_479</t>
  </si>
  <si>
    <t>PRD0480</t>
  </si>
  <si>
    <t>Product_480</t>
  </si>
  <si>
    <t>PRD0481</t>
  </si>
  <si>
    <t>Product_481</t>
  </si>
  <si>
    <t>PRD0482</t>
  </si>
  <si>
    <t>Product_482</t>
  </si>
  <si>
    <t>PRD0483</t>
  </si>
  <si>
    <t>Product_483</t>
  </si>
  <si>
    <t>PRD0484</t>
  </si>
  <si>
    <t>Product_484</t>
  </si>
  <si>
    <t>PRD0485</t>
  </si>
  <si>
    <t>Product_485</t>
  </si>
  <si>
    <t>PRD0486</t>
  </si>
  <si>
    <t>Product_486</t>
  </si>
  <si>
    <t>PRD0487</t>
  </si>
  <si>
    <t>Product_487</t>
  </si>
  <si>
    <t>PRD0488</t>
  </si>
  <si>
    <t>Product_488</t>
  </si>
  <si>
    <t>PRD0489</t>
  </si>
  <si>
    <t>Product_489</t>
  </si>
  <si>
    <t>PRD0490</t>
  </si>
  <si>
    <t>Product_490</t>
  </si>
  <si>
    <t>PRD0491</t>
  </si>
  <si>
    <t>Product_491</t>
  </si>
  <si>
    <t>PRD0492</t>
  </si>
  <si>
    <t>Product_492</t>
  </si>
  <si>
    <t>PRD0493</t>
  </si>
  <si>
    <t>Product_493</t>
  </si>
  <si>
    <t>PRD0494</t>
  </si>
  <si>
    <t>Product_494</t>
  </si>
  <si>
    <t>PRD0495</t>
  </si>
  <si>
    <t>Product_495</t>
  </si>
  <si>
    <t>PRD0496</t>
  </si>
  <si>
    <t>Product_496</t>
  </si>
  <si>
    <t>PRD0497</t>
  </si>
  <si>
    <t>Product_497</t>
  </si>
  <si>
    <t>PRD0498</t>
  </si>
  <si>
    <t>Product_498</t>
  </si>
  <si>
    <t>PRD0499</t>
  </si>
  <si>
    <t>Product_499</t>
  </si>
  <si>
    <t>PRD0500</t>
  </si>
  <si>
    <t>Product_500</t>
  </si>
  <si>
    <t>OrderID</t>
  </si>
  <si>
    <t>Quantity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</si>
  <si>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</si>
  <si>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</si>
  <si>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</si>
  <si>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</si>
  <si>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</si>
  <si>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</si>
  <si>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</si>
  <si>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</si>
  <si>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</si>
  <si>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</si>
  <si>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</si>
  <si>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</si>
  <si>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</si>
  <si>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</si>
  <si>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</si>
  <si>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</si>
  <si>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</si>
  <si>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</si>
  <si>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</si>
  <si>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</si>
  <si>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</si>
  <si>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</si>
  <si>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</si>
  <si>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</si>
  <si>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</si>
  <si>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</si>
  <si>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</si>
  <si>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</si>
  <si>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</si>
  <si>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</si>
  <si>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</si>
  <si>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</si>
  <si>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</si>
  <si>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</si>
  <si>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</si>
  <si>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</si>
  <si>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</si>
  <si>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</si>
  <si>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</si>
  <si>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</si>
  <si>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</si>
  <si>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</si>
  <si>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</si>
  <si>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</si>
  <si>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</si>
  <si>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</si>
  <si>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</si>
  <si>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</si>
  <si>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</si>
  <si>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</si>
  <si>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</si>
  <si>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</si>
  <si>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</si>
  <si>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</si>
  <si>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</si>
  <si>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</si>
  <si>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</si>
  <si>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</si>
  <si>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</si>
  <si>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</si>
  <si>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</si>
  <si>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</si>
  <si>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</si>
  <si>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</si>
  <si>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</si>
  <si>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</si>
  <si>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</si>
  <si>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</si>
  <si>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</si>
  <si>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</si>
  <si>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</si>
  <si>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</si>
  <si>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</si>
  <si>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</si>
  <si>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</si>
  <si>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</si>
  <si>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</si>
  <si>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</si>
  <si>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</si>
  <si>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</si>
  <si>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</si>
  <si>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</si>
  <si>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</si>
  <si>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</si>
  <si>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</si>
  <si>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</si>
  <si>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</si>
  <si>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</si>
  <si>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</si>
  <si>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</si>
  <si>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</si>
  <si>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</si>
  <si>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</si>
  <si>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</si>
  <si>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</si>
  <si>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</si>
  <si>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</si>
  <si>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</si>
  <si>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</si>
  <si>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</si>
  <si>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</si>
  <si>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</si>
  <si>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</si>
  <si>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</si>
  <si>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</si>
  <si>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</si>
  <si>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</si>
  <si>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</si>
  <si>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</si>
  <si>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</si>
  <si>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</si>
  <si>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</si>
  <si>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</si>
  <si>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</si>
  <si>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</si>
  <si>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</si>
  <si>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</si>
  <si>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</si>
  <si>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</si>
  <si>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</si>
  <si>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</si>
  <si>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</si>
  <si>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</si>
  <si>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</si>
  <si>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</si>
  <si>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</si>
  <si>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</si>
  <si>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</si>
  <si>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</si>
  <si>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</si>
  <si>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</si>
  <si>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</si>
  <si>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</si>
  <si>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</si>
  <si>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</si>
  <si>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</si>
  <si>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</si>
  <si>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</si>
  <si>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</si>
  <si>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</si>
  <si>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</si>
  <si>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</si>
  <si>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</si>
  <si>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</si>
  <si>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</si>
  <si>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</si>
  <si>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</si>
  <si>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</si>
  <si>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</si>
  <si>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</si>
  <si>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</si>
  <si>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</si>
  <si>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</si>
  <si>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</si>
  <si>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</si>
  <si>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</si>
  <si>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</si>
  <si>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</si>
  <si>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</si>
  <si>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</si>
  <si>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</si>
  <si>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</si>
  <si>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</si>
  <si>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</si>
  <si>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</si>
  <si>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</si>
  <si>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</si>
  <si>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</si>
  <si>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</si>
  <si>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</si>
  <si>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</si>
  <si>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</si>
  <si>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</si>
  <si>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</si>
  <si>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</si>
  <si>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</si>
  <si>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</si>
  <si>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</si>
  <si>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</si>
  <si>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</si>
  <si>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</si>
  <si>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</si>
  <si>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</si>
  <si>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</si>
  <si>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</si>
  <si>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</si>
  <si>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</si>
  <si>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</si>
  <si>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</si>
  <si>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</si>
  <si>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</si>
  <si>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</si>
  <si>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</si>
  <si>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</si>
  <si>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</si>
  <si>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</si>
  <si>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</si>
  <si>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</si>
  <si>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</si>
  <si>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</si>
  <si>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</si>
  <si>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</si>
  <si>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</si>
  <si>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</si>
  <si>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</si>
  <si>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</si>
  <si>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</si>
  <si>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</si>
  <si>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</si>
  <si>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</si>
  <si>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</si>
  <si>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</si>
  <si>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</si>
  <si>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</si>
  <si>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</si>
  <si>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</si>
  <si>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</si>
  <si>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</si>
  <si>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</si>
  <si>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</si>
  <si>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</si>
  <si>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</si>
  <si>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</si>
  <si>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</si>
  <si>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</si>
  <si>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</si>
  <si>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</si>
  <si>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</si>
  <si>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</si>
  <si>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</si>
  <si>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</si>
  <si>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</si>
  <si>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</si>
  <si>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</si>
  <si>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</si>
  <si>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</si>
  <si>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</si>
  <si>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</si>
  <si>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</si>
  <si>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</si>
  <si>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</si>
  <si>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</si>
  <si>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</si>
  <si>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</si>
  <si>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</si>
  <si>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</si>
  <si>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</si>
  <si>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</si>
  <si>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</si>
  <si>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</si>
  <si>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</si>
  <si>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</si>
  <si>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</si>
  <si>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</si>
  <si>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</si>
  <si>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</si>
  <si>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</si>
  <si>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</si>
  <si>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</si>
  <si>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</si>
  <si>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</si>
  <si>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</si>
  <si>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</si>
  <si>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</si>
  <si>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</si>
  <si>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</si>
  <si>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</si>
  <si>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</si>
  <si>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</si>
  <si>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</si>
  <si>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</si>
  <si>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</si>
  <si>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</si>
  <si>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</si>
  <si>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</si>
  <si>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</si>
  <si>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</si>
  <si>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</si>
  <si>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</si>
  <si>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</si>
  <si>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</si>
  <si>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</si>
  <si>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</si>
  <si>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</si>
  <si>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</si>
  <si>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</si>
  <si>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</si>
  <si>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</si>
  <si>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</si>
  <si>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</si>
  <si>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</si>
  <si>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</si>
  <si>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</si>
  <si>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</si>
  <si>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</si>
  <si>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</si>
  <si>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</si>
  <si>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</si>
  <si>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</si>
  <si>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</si>
  <si>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</si>
  <si>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</si>
  <si>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</si>
  <si>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</si>
  <si>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</si>
  <si>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</si>
  <si>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</si>
  <si>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</si>
  <si>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</si>
  <si>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</si>
  <si>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</si>
  <si>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</si>
  <si>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</si>
  <si>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</si>
  <si>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</si>
  <si>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</si>
  <si>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</si>
  <si>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</si>
  <si>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</si>
  <si>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</si>
  <si>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</si>
  <si>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</si>
  <si>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</si>
  <si>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</si>
  <si>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</si>
  <si>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</si>
  <si>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</si>
  <si>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</si>
  <si>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</si>
  <si>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</si>
  <si>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</si>
  <si>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</si>
  <si>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</si>
  <si>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</si>
  <si>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</si>
  <si>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</si>
  <si>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</si>
  <si>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</si>
  <si>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</si>
  <si>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</si>
  <si>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</si>
  <si>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</si>
  <si>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</si>
  <si>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</si>
  <si>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</si>
  <si>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</si>
  <si>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</si>
  <si>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</si>
  <si>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</si>
  <si>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</si>
  <si>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</si>
  <si>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</si>
  <si>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</si>
  <si>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</si>
  <si>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</si>
  <si>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</si>
  <si>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</si>
  <si>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</si>
  <si>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</si>
  <si>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</si>
  <si>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</si>
  <si>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</si>
  <si>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</si>
  <si>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</si>
  <si>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</si>
  <si>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</si>
  <si>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</si>
  <si>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</si>
  <si>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</si>
  <si>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</si>
  <si>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</si>
  <si>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</si>
  <si>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</si>
  <si>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</si>
  <si>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</si>
  <si>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</si>
  <si>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</si>
  <si>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</si>
  <si>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</si>
  <si>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</si>
  <si>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</si>
  <si>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</si>
  <si>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</si>
  <si>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</si>
  <si>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</si>
  <si>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</si>
  <si>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</si>
  <si>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</si>
  <si>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</si>
  <si>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</si>
  <si>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</si>
  <si>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</si>
  <si>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</si>
  <si>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</si>
  <si>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</si>
  <si>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</si>
  <si>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</si>
  <si>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</si>
  <si>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</si>
  <si>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</si>
  <si>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</si>
  <si>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</si>
  <si>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</si>
  <si>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</si>
  <si>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</si>
  <si>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</si>
  <si>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</si>
  <si>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</si>
  <si>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</si>
  <si>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</si>
  <si>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</si>
  <si>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</si>
  <si>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</si>
  <si>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</si>
  <si>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</si>
  <si>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</si>
  <si>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</si>
  <si>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</si>
  <si>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</si>
  <si>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</si>
  <si>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</si>
  <si>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</si>
  <si>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</si>
  <si>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</si>
  <si>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</si>
  <si>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</si>
  <si>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</si>
  <si>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</si>
  <si>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</si>
  <si>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</si>
  <si>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</si>
  <si>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</si>
  <si>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</si>
  <si>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</si>
  <si>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</si>
  <si>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</si>
  <si>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</si>
  <si>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</si>
  <si>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</si>
  <si>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</si>
  <si>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</si>
  <si>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</si>
  <si>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</si>
  <si>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</si>
  <si>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</si>
  <si>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</si>
  <si>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</si>
  <si>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</si>
  <si>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</si>
  <si>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</si>
  <si>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</si>
  <si>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</si>
  <si>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</si>
  <si>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</si>
  <si>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</si>
  <si>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</si>
  <si>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</si>
  <si>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</si>
  <si>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</si>
  <si>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</si>
  <si>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</si>
  <si>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</si>
  <si>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</si>
  <si>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</si>
  <si>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</si>
  <si>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</si>
  <si>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</si>
  <si>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</si>
  <si>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</si>
  <si>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</si>
  <si>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</si>
  <si>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</si>
  <si>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</si>
  <si>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</si>
  <si>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</si>
  <si>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</si>
  <si>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</si>
  <si>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</si>
  <si>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</si>
  <si>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</si>
  <si>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</si>
  <si>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</si>
  <si>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</si>
  <si>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</si>
  <si>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</si>
  <si>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</si>
  <si>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</si>
  <si>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</si>
  <si>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</si>
  <si>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</si>
  <si>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</si>
  <si>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</si>
  <si>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</si>
  <si>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</si>
  <si>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</si>
  <si>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</si>
  <si>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</si>
  <si>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</si>
  <si>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</si>
  <si>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</si>
  <si>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</si>
  <si>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</si>
  <si>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</si>
  <si>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</si>
  <si>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</si>
  <si>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</si>
  <si>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</si>
  <si>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</si>
  <si>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</si>
  <si>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</si>
  <si>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</si>
  <si>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</si>
  <si>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</si>
  <si>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</si>
  <si>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</si>
  <si>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</si>
  <si>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</si>
  <si>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</si>
  <si>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</si>
  <si>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</si>
  <si>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</si>
  <si>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</si>
  <si>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</si>
  <si>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</si>
  <si>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</si>
  <si>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</si>
  <si>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</si>
  <si>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</si>
  <si>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</si>
  <si>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</si>
  <si>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</si>
  <si>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</si>
  <si>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</si>
  <si>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</si>
  <si>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</si>
  <si>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</si>
  <si>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</si>
  <si>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</si>
  <si>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</si>
  <si>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</si>
  <si>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</si>
  <si>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</si>
  <si>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</si>
  <si>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</si>
  <si>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</si>
  <si>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</si>
  <si>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</si>
  <si>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</si>
  <si>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</si>
  <si>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</si>
  <si>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</si>
  <si>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</si>
  <si>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</si>
  <si>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</si>
  <si>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</si>
  <si>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</si>
  <si>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</si>
  <si>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</si>
  <si>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</si>
  <si>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</si>
  <si>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</si>
  <si>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</si>
  <si>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</si>
  <si>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</si>
  <si>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</si>
  <si>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</si>
  <si>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</si>
  <si>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</si>
  <si>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</si>
  <si>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</si>
  <si>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</si>
  <si>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</si>
  <si>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</si>
  <si>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</si>
  <si>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</si>
  <si>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</si>
  <si>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</si>
  <si>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</si>
  <si>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</si>
  <si>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</si>
  <si>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</si>
  <si>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</si>
  <si>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</si>
  <si>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</si>
  <si>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</si>
  <si>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</si>
  <si>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</si>
  <si>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</si>
  <si>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</si>
  <si>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</si>
  <si>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</si>
  <si>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</si>
  <si>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</si>
  <si>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</si>
  <si>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</si>
  <si>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</si>
  <si>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</si>
  <si>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</si>
  <si>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</si>
  <si>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</si>
  <si>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</si>
  <si>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</si>
  <si>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</si>
  <si>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</si>
  <si>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</si>
  <si>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</si>
  <si>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</si>
  <si>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</si>
  <si>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</si>
  <si>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</si>
  <si>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</si>
  <si>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</si>
  <si>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</si>
  <si>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</si>
  <si>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</si>
  <si>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</si>
  <si>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</si>
  <si>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</si>
  <si>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</si>
  <si>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</si>
  <si>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</si>
  <si>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</si>
  <si>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</si>
  <si>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</si>
  <si>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</si>
  <si>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</si>
  <si>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</si>
  <si>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</si>
  <si>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</si>
  <si>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</si>
  <si>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</si>
  <si>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</si>
  <si>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</si>
  <si>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</si>
  <si>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</si>
  <si>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</si>
  <si>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</si>
  <si>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</si>
  <si>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</si>
  <si>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</si>
  <si>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</si>
  <si>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</si>
  <si>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</si>
  <si>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</si>
  <si>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</si>
  <si>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</si>
  <si>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</si>
  <si>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</si>
  <si>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</si>
  <si>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</si>
  <si>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</si>
  <si>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</si>
  <si>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</si>
  <si>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</si>
  <si>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</si>
  <si>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</si>
  <si>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</si>
  <si>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</si>
  <si>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</si>
  <si>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</si>
  <si>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</si>
  <si>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</si>
  <si>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</si>
  <si>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</si>
  <si>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</si>
  <si>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</si>
  <si>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</si>
  <si>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</si>
  <si>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</si>
  <si>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</si>
  <si>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</si>
  <si>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</si>
  <si>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</si>
  <si>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</si>
  <si>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</si>
  <si>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</si>
  <si>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</si>
  <si>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</si>
  <si>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</si>
  <si>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</si>
  <si>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</si>
  <si>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</si>
  <si>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</si>
  <si>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</si>
  <si>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</si>
  <si>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</si>
  <si>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</si>
  <si>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</si>
  <si>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</si>
  <si>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</si>
  <si>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</si>
  <si>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</si>
  <si>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</si>
  <si>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</si>
  <si>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</si>
  <si>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</si>
  <si>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</si>
  <si>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</si>
  <si>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</si>
  <si>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</si>
  <si>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</si>
  <si>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</si>
  <si>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</si>
  <si>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</si>
  <si>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</si>
  <si>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</si>
  <si>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</si>
  <si>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</si>
  <si>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</si>
  <si>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</si>
  <si>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</si>
  <si>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</si>
  <si>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</si>
  <si>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</si>
  <si>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</si>
  <si>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</si>
  <si>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</si>
  <si>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</si>
  <si>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</si>
  <si>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</si>
  <si>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</si>
  <si>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</si>
  <si>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</si>
  <si>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</si>
  <si>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</si>
  <si>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</si>
  <si>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</si>
  <si>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</si>
  <si>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</si>
  <si>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</si>
  <si>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</si>
  <si>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</si>
  <si>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</si>
  <si>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</si>
  <si>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</si>
  <si>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</si>
  <si>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</si>
  <si>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</si>
  <si>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</si>
  <si>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</si>
  <si>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</si>
  <si>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</si>
  <si>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</si>
  <si>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</si>
  <si>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</si>
  <si>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</si>
  <si>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</si>
  <si>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</si>
  <si>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</si>
  <si>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</si>
  <si>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</si>
  <si>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</si>
  <si>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</si>
  <si>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</si>
  <si>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</si>
  <si>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</si>
  <si>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</si>
  <si>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</si>
  <si>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</si>
  <si>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</si>
  <si>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</si>
  <si>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</si>
  <si>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</si>
  <si>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</si>
  <si>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</si>
  <si>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</si>
  <si>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</si>
  <si>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</si>
  <si>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</si>
  <si>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</si>
  <si>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</si>
  <si>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</si>
  <si>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</si>
  <si>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</si>
  <si>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</si>
  <si>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</si>
  <si>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</si>
  <si>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</si>
  <si>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</si>
  <si>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</si>
  <si>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</si>
  <si>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</si>
  <si>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</si>
  <si>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</si>
  <si>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</si>
  <si>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</si>
  <si>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</si>
  <si>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</si>
  <si>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</si>
  <si>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</si>
  <si>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</si>
  <si>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</si>
  <si>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</si>
  <si>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</si>
  <si>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</si>
  <si>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</si>
  <si>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</si>
  <si>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</si>
  <si>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</si>
  <si>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</si>
  <si>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</si>
  <si>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</si>
  <si>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</si>
  <si>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</si>
  <si>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</si>
  <si>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</si>
  <si>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</si>
  <si>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</si>
  <si>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</si>
  <si>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</si>
  <si>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</si>
  <si>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</si>
  <si>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</si>
  <si>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</si>
  <si>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</si>
  <si>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</si>
  <si>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</si>
  <si>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</si>
  <si>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</si>
  <si>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</si>
  <si>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</si>
  <si>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</si>
  <si>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</si>
  <si>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</si>
  <si>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</si>
  <si>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</si>
  <si>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</si>
  <si>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</si>
  <si>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</si>
  <si>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</si>
  <si>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</si>
  <si>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</si>
  <si>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</si>
  <si>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</si>
  <si>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</si>
  <si>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</si>
  <si>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</si>
  <si>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</si>
  <si>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</si>
  <si>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</si>
  <si>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</si>
  <si>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</si>
  <si>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</si>
  <si>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</si>
  <si>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</si>
  <si>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</si>
  <si>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</si>
  <si>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</si>
  <si>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</si>
  <si>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</si>
  <si>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</si>
  <si>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</si>
  <si>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</si>
  <si>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</si>
  <si>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</si>
  <si>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</si>
  <si>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</si>
  <si>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</si>
  <si>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</si>
  <si>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</si>
  <si>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</si>
  <si>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</si>
  <si>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</si>
  <si>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</si>
  <si>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</si>
  <si>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</si>
  <si>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</si>
  <si>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</si>
  <si>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</si>
  <si>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</si>
  <si>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</si>
  <si>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</si>
  <si>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</si>
  <si>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</si>
  <si>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</si>
  <si>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</si>
  <si>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</si>
  <si>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</si>
  <si>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</si>
  <si>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</si>
  <si>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</si>
  <si>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</si>
  <si>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</si>
  <si>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</si>
  <si>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</si>
  <si>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</si>
  <si>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</si>
  <si>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</si>
  <si>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</si>
  <si>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</si>
  <si>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</si>
  <si>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</si>
  <si>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</si>
  <si>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</si>
  <si>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</si>
  <si>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</si>
  <si>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</si>
  <si>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</si>
  <si>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</si>
  <si>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</si>
  <si>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</si>
  <si>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</si>
  <si>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</si>
  <si>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</si>
  <si>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</si>
  <si>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</si>
  <si>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</si>
  <si>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</si>
  <si>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</si>
  <si>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</si>
  <si>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</si>
  <si>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</si>
  <si>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</si>
  <si>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</si>
  <si>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</si>
  <si>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</si>
  <si>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</si>
  <si>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</si>
  <si>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</si>
  <si>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</si>
  <si>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</si>
  <si>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</si>
  <si>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</si>
  <si>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</si>
  <si>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</si>
  <si>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</si>
  <si>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</si>
  <si>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</si>
  <si>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</si>
  <si>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</si>
  <si>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</si>
  <si>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</si>
  <si>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</si>
  <si>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</si>
  <si>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</si>
  <si>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</si>
  <si>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</si>
  <si>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</si>
  <si>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</si>
  <si>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</si>
  <si>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</si>
  <si>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</si>
  <si>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</si>
  <si>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</si>
  <si>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</si>
  <si>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</si>
  <si>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</si>
  <si>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</si>
  <si>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</si>
  <si>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</si>
  <si>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</si>
  <si>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</si>
  <si>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</si>
  <si>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</si>
  <si>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</si>
  <si>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</si>
  <si>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</si>
  <si>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</si>
  <si>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</si>
  <si>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</si>
  <si>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</si>
  <si>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</si>
  <si>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</si>
  <si>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</si>
  <si>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</si>
  <si>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</si>
  <si>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</si>
  <si>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</si>
  <si>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</si>
  <si>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</si>
  <si>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</si>
  <si>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</si>
  <si>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</si>
  <si>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</si>
  <si>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</si>
  <si>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</si>
  <si>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</si>
  <si>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</si>
  <si>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</si>
  <si>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</si>
  <si>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</si>
  <si>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</si>
  <si>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</si>
  <si>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</si>
  <si>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</si>
  <si>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</si>
  <si>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</si>
  <si>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</si>
  <si>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</si>
  <si>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</si>
  <si>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</si>
  <si>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</si>
  <si>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</si>
  <si>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</si>
  <si>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</si>
  <si>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</si>
  <si>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</si>
  <si>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</si>
  <si>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</si>
  <si>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</si>
  <si>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</si>
  <si>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</si>
  <si>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</si>
  <si>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</si>
  <si>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</si>
  <si>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</si>
  <si>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</si>
  <si>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</si>
  <si>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</si>
  <si>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</si>
  <si>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</si>
  <si>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</si>
  <si>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</si>
  <si>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</si>
  <si>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</si>
  <si>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</si>
  <si>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</si>
  <si>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</si>
  <si>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</si>
  <si>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</si>
  <si>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</si>
  <si>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</si>
  <si>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</si>
  <si>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</si>
  <si>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</si>
  <si>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</si>
  <si>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</si>
  <si>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</si>
  <si>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</si>
  <si>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</si>
  <si>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</si>
  <si>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</si>
  <si>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</si>
  <si>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</si>
  <si>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</si>
  <si>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</si>
  <si>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</si>
  <si>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</si>
  <si>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</si>
  <si>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</si>
  <si>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</si>
  <si>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</si>
  <si>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</si>
  <si>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</si>
  <si>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</si>
  <si>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</si>
  <si>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</si>
  <si>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</si>
  <si>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</si>
  <si>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</si>
  <si>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</si>
  <si>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</si>
  <si>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</si>
  <si>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</si>
  <si>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</si>
  <si>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</si>
  <si>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</si>
  <si>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</si>
  <si>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</si>
  <si>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</si>
  <si>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</si>
  <si>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</si>
  <si>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</si>
  <si>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</si>
  <si>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</si>
  <si>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</si>
  <si>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</si>
  <si>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</si>
  <si>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</si>
  <si>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</si>
  <si>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</si>
  <si>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</si>
  <si>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</si>
  <si>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</si>
  <si>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</si>
  <si>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</si>
  <si>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</si>
  <si>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</si>
  <si>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</si>
  <si>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</si>
  <si>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</si>
  <si>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</si>
  <si>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</si>
  <si>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</si>
  <si>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</si>
  <si>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</si>
  <si>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</si>
  <si>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</si>
  <si>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</si>
  <si>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</si>
  <si>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</si>
  <si>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</si>
  <si>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</si>
  <si>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</si>
  <si>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</si>
  <si>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</si>
  <si>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</si>
  <si>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</si>
  <si>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</si>
  <si>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</si>
  <si>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</si>
  <si>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</si>
  <si>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</si>
  <si>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</si>
  <si>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</si>
  <si>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</si>
  <si>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</si>
  <si>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</si>
  <si>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</si>
  <si>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</si>
  <si>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</si>
  <si>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</si>
  <si>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</si>
  <si>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</si>
  <si>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</si>
  <si>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</si>
  <si>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</si>
  <si>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</si>
  <si>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</si>
  <si>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</si>
  <si>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</si>
  <si>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</si>
  <si>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</si>
  <si>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</si>
  <si>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</si>
  <si>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</si>
  <si>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</si>
  <si>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</si>
  <si>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</si>
  <si>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</si>
  <si>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</si>
  <si>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</si>
  <si>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</si>
  <si>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</si>
  <si>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</si>
  <si>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</si>
  <si>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</si>
  <si>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</si>
  <si>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</si>
  <si>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</si>
  <si>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</si>
  <si>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</si>
  <si>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</si>
  <si>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</si>
  <si>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</si>
  <si>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</si>
  <si>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</si>
  <si>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</si>
  <si>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</si>
  <si>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</si>
  <si>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</si>
  <si>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</si>
  <si>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</si>
  <si>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</si>
  <si>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</si>
  <si>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</si>
  <si>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</si>
  <si>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</si>
  <si>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</si>
  <si>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</si>
  <si>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</si>
  <si>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</si>
  <si>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</si>
  <si>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</si>
  <si>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</si>
  <si>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</si>
  <si>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</si>
  <si>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</si>
  <si>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</si>
  <si>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</si>
  <si>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</si>
  <si>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</si>
  <si>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</si>
  <si>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</si>
  <si>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</si>
  <si>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</si>
  <si>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</si>
  <si>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</si>
  <si>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</si>
  <si>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</si>
  <si>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</si>
  <si>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</si>
  <si>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</si>
  <si>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</si>
  <si>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</si>
  <si>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</si>
  <si>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</si>
  <si>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</si>
  <si>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</si>
  <si>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</si>
  <si>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</si>
  <si>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</si>
  <si>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</si>
  <si>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</si>
  <si>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</si>
  <si>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</si>
  <si>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</si>
  <si>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</si>
  <si>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</si>
  <si>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</si>
  <si>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</si>
  <si>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</si>
  <si>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</si>
  <si>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</si>
  <si>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</si>
  <si>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</si>
  <si>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</si>
  <si>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</si>
  <si>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</si>
  <si>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</si>
  <si>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</si>
  <si>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</si>
  <si>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</si>
  <si>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</si>
  <si>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</si>
  <si>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</si>
  <si>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</si>
  <si>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</si>
  <si>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</si>
  <si>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</si>
  <si>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</si>
  <si>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</si>
  <si>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</si>
  <si>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</si>
  <si>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</si>
  <si>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</si>
  <si>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</si>
  <si>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</si>
  <si>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</si>
  <si>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</si>
  <si>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</si>
  <si>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</si>
  <si>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</si>
  <si>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</si>
  <si>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</si>
  <si>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</si>
  <si>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</si>
  <si>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</si>
  <si>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</si>
  <si>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</si>
  <si>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</si>
  <si>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</si>
  <si>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</si>
  <si>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</si>
  <si>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</si>
  <si>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</si>
  <si>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</si>
  <si>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</si>
  <si>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</si>
  <si>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</si>
  <si>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</si>
  <si>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</si>
  <si>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</si>
  <si>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</si>
  <si>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</si>
  <si>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</si>
  <si>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</si>
  <si>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</si>
  <si>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</si>
  <si>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</si>
  <si>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</si>
  <si>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</si>
  <si>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</si>
  <si>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</si>
  <si>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</si>
  <si>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</si>
  <si>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</si>
  <si>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</si>
  <si>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</si>
  <si>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</si>
  <si>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</si>
  <si>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</si>
  <si>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</si>
  <si>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</si>
  <si>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</si>
  <si>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</si>
  <si>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</si>
  <si>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</si>
  <si>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</si>
  <si>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</si>
  <si>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</si>
  <si>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</si>
  <si>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</si>
  <si>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</si>
  <si>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</si>
  <si>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</si>
  <si>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</si>
  <si>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</si>
  <si>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</si>
  <si>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</si>
  <si>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</si>
  <si>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</si>
  <si>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</si>
  <si>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</si>
  <si>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</si>
  <si>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</si>
  <si>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</si>
  <si>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</si>
  <si>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</si>
  <si>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</si>
  <si>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</si>
  <si>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</si>
  <si>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</si>
  <si>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</si>
  <si>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</si>
  <si>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</si>
  <si>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</si>
  <si>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</si>
  <si>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</si>
  <si>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</si>
  <si>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</si>
  <si>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</si>
  <si>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</si>
  <si>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</si>
  <si>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</si>
  <si>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</si>
  <si>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</si>
  <si>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</si>
  <si>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</si>
  <si>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</si>
  <si>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</si>
  <si>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</si>
  <si>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</si>
  <si>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</si>
  <si>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</si>
  <si>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</si>
  <si>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</si>
  <si>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</si>
  <si>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</si>
  <si>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</si>
  <si>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</si>
  <si>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</si>
  <si>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</si>
  <si>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</si>
  <si>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</si>
  <si>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</si>
  <si>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</si>
  <si>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</si>
  <si>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</si>
  <si>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</si>
  <si>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</si>
  <si>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</si>
  <si>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</si>
  <si>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</si>
  <si>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</si>
  <si>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</si>
  <si>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</si>
  <si>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</si>
  <si>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</si>
  <si>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</si>
  <si>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</si>
  <si>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</si>
  <si>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</si>
  <si>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</si>
  <si>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</si>
  <si>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</si>
  <si>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</si>
  <si>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</si>
  <si>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</si>
  <si>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</si>
  <si>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</si>
  <si>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</si>
  <si>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</si>
  <si>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</si>
  <si>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</si>
  <si>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</si>
  <si>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</si>
  <si>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</si>
  <si>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</si>
  <si>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</si>
  <si>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</si>
  <si>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</si>
  <si>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</si>
  <si>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</si>
  <si>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</si>
  <si>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</si>
  <si>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</si>
  <si>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</si>
  <si>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</si>
  <si>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</si>
  <si>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</si>
  <si>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</si>
  <si>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</si>
  <si>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</si>
  <si>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</si>
  <si>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</si>
  <si>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</si>
  <si>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</si>
  <si>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</si>
  <si>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</si>
  <si>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</si>
  <si>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</si>
  <si>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</si>
  <si>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</si>
  <si>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</si>
  <si>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</si>
  <si>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</si>
  <si>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</si>
  <si>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</si>
  <si>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</si>
  <si>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</si>
  <si>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</si>
  <si>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</si>
  <si>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</si>
  <si>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</si>
  <si>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</si>
  <si>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</si>
  <si>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</si>
  <si>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</si>
  <si>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</si>
  <si>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</si>
  <si>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</si>
  <si>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</si>
  <si>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</si>
  <si>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</si>
  <si>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</si>
  <si>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</si>
  <si>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</si>
  <si>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</si>
  <si>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</si>
  <si>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</si>
  <si>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</si>
  <si>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</si>
  <si>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</si>
  <si>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</si>
  <si>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</si>
  <si>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</si>
  <si>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</si>
  <si>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</si>
  <si>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</si>
  <si>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</si>
  <si>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</si>
  <si>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</si>
  <si>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</si>
  <si>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</si>
  <si>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</si>
  <si>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</si>
  <si>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</si>
  <si>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</si>
  <si>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</si>
  <si>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</si>
  <si>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</si>
  <si>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</si>
  <si>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</si>
  <si>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</si>
  <si>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</si>
  <si>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</si>
  <si>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</si>
  <si>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</si>
  <si>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</si>
  <si>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</si>
  <si>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</si>
  <si>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</si>
  <si>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</si>
  <si>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</si>
  <si>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</si>
  <si>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</si>
  <si>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</si>
  <si>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</si>
  <si>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</si>
  <si>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</si>
  <si>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</si>
  <si>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</si>
  <si>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</si>
  <si>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</si>
  <si>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</si>
  <si>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</si>
  <si>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</si>
  <si>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</si>
  <si>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</si>
  <si>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</si>
  <si>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</si>
  <si>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</si>
  <si>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</si>
  <si>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</si>
  <si>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</si>
  <si>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</si>
  <si>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</si>
  <si>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</si>
  <si>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</si>
  <si>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</si>
  <si>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</si>
  <si>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</si>
  <si>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</si>
  <si>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</si>
  <si>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</si>
  <si>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</si>
  <si>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</si>
  <si>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</si>
  <si>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</si>
  <si>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</si>
  <si>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</si>
  <si>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</si>
  <si>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</si>
  <si>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</si>
  <si>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</si>
  <si>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</si>
  <si>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</si>
  <si>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</si>
  <si>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</si>
  <si>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</si>
  <si>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</si>
  <si>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</si>
  <si>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</si>
  <si>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</si>
  <si>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</si>
  <si>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</si>
  <si>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</si>
  <si>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</si>
  <si>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</si>
  <si>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</si>
  <si>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</si>
  <si>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</si>
  <si>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</si>
  <si>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</si>
  <si>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</si>
  <si>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</si>
  <si>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</si>
  <si>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</si>
  <si>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</si>
  <si>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</si>
  <si>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</si>
  <si>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</si>
  <si>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</si>
  <si>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</si>
  <si>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</si>
  <si>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</si>
  <si>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</si>
  <si>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</si>
  <si>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</si>
  <si>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</si>
  <si>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</si>
  <si>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</si>
  <si>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</si>
  <si>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</si>
  <si>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</si>
  <si>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</si>
  <si>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</si>
  <si>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</si>
  <si>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</si>
  <si>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</si>
  <si>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</si>
  <si>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</si>
  <si>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</si>
  <si>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</si>
  <si>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</si>
  <si>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</si>
  <si>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</si>
  <si>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</si>
  <si>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</si>
  <si>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</si>
  <si>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</si>
  <si>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</si>
  <si>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</si>
  <si>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</si>
  <si>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</si>
  <si>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</si>
  <si>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</si>
  <si>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</si>
  <si>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</si>
  <si>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</si>
  <si>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</si>
  <si>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</si>
  <si>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</si>
  <si>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</si>
  <si>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</si>
  <si>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</si>
  <si>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</si>
  <si>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</si>
  <si>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</si>
  <si>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</si>
  <si>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</si>
  <si>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</si>
  <si>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</si>
  <si>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</si>
  <si>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</si>
  <si>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</si>
  <si>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</si>
  <si>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</si>
  <si>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</si>
  <si>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</si>
  <si>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</si>
  <si>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</si>
  <si>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</si>
  <si>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</si>
  <si>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</si>
  <si>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</si>
  <si>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</si>
  <si>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</si>
  <si>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</si>
  <si>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</si>
  <si>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</si>
  <si>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</si>
  <si>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</si>
  <si>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</si>
  <si>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</si>
  <si>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</si>
  <si>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</si>
  <si>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</si>
  <si>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</si>
  <si>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</si>
  <si>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</si>
  <si>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</si>
  <si>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</si>
  <si>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</si>
  <si>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</si>
  <si>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</si>
  <si>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</si>
  <si>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</si>
  <si>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</si>
  <si>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</si>
  <si>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</si>
  <si>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</si>
  <si>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</si>
  <si>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</si>
  <si>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</si>
  <si>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</si>
  <si>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</si>
  <si>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</si>
  <si>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</si>
  <si>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</si>
  <si>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</si>
  <si>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</si>
  <si>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</si>
  <si>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</si>
  <si>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</si>
  <si>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</si>
  <si>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</si>
  <si>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</si>
  <si>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</si>
  <si>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</si>
  <si>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</si>
  <si>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</si>
  <si>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</si>
  <si>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</si>
  <si>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</si>
  <si>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</si>
  <si>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</si>
  <si>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</si>
  <si>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</si>
  <si>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</si>
  <si>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</si>
  <si>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</si>
  <si>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</si>
  <si>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</si>
  <si>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</si>
  <si>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</si>
  <si>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</si>
  <si>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</si>
  <si>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</si>
  <si>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</si>
  <si>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</si>
  <si>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</si>
  <si>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</si>
  <si>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</si>
  <si>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</si>
  <si>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</si>
  <si>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</si>
  <si>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</si>
  <si>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</si>
  <si>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</si>
  <si>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</si>
  <si>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</si>
  <si>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</si>
  <si>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</si>
  <si>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</si>
  <si>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</si>
  <si>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</si>
  <si>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</si>
  <si>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</si>
  <si>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</si>
  <si>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</si>
  <si>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</si>
  <si>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</si>
  <si>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</si>
  <si>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</si>
  <si>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</si>
  <si>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</si>
  <si>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</si>
  <si>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</si>
  <si>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</si>
  <si>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</si>
  <si>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</si>
  <si>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</si>
  <si>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</si>
  <si>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</si>
  <si>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</si>
  <si>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</si>
  <si>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</si>
  <si>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</si>
  <si>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</si>
  <si>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</si>
  <si>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</si>
  <si>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</si>
  <si>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</si>
  <si>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</si>
  <si>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</si>
  <si>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</si>
  <si>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</si>
  <si>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</si>
  <si>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</si>
  <si>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</si>
  <si>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</si>
  <si>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</si>
  <si>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</si>
  <si>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</si>
  <si>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</si>
  <si>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</si>
  <si>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</si>
  <si>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</si>
  <si>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</si>
  <si>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</si>
  <si>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</si>
  <si>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</si>
  <si>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</si>
  <si>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</si>
  <si>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</si>
  <si>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</si>
  <si>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</si>
  <si>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</si>
  <si>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</si>
  <si>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</si>
  <si>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</si>
  <si>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</si>
  <si>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</si>
  <si>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</si>
  <si>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</si>
  <si>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</si>
  <si>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</si>
  <si>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</si>
  <si>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</si>
  <si>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</si>
  <si>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</si>
  <si>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</si>
  <si>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</si>
  <si>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</si>
  <si>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</si>
  <si>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</si>
  <si>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</si>
  <si>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</si>
  <si>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</si>
  <si>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</si>
  <si>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</si>
  <si>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</si>
  <si>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</si>
  <si>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</si>
  <si>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</si>
  <si>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</si>
  <si>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</si>
  <si>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</si>
  <si>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</si>
  <si>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</si>
  <si>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</si>
  <si>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</si>
  <si>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</si>
  <si>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</si>
  <si>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</si>
  <si>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</si>
  <si>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</si>
  <si>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</si>
  <si>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</si>
  <si>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</si>
  <si>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</si>
  <si>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</si>
  <si>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</si>
  <si>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</si>
  <si>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</si>
  <si>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</si>
  <si>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</si>
  <si>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</si>
  <si>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</si>
  <si>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</si>
  <si>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</si>
  <si>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</si>
  <si>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</si>
  <si>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</si>
  <si>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</si>
  <si>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</si>
  <si>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</si>
  <si>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</si>
  <si>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</si>
  <si>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</si>
  <si>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</si>
  <si>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</si>
  <si>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</si>
  <si>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</si>
  <si>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</si>
  <si>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</si>
  <si>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</si>
  <si>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</si>
  <si>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</si>
  <si>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</si>
  <si>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</si>
  <si>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</si>
  <si>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</si>
  <si>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</si>
  <si>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</si>
  <si>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</si>
  <si>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</si>
  <si>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</si>
  <si>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</si>
  <si>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</si>
  <si>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</si>
  <si>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</si>
  <si>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</si>
  <si>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</si>
  <si>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</si>
  <si>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</si>
  <si>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</si>
  <si>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</si>
  <si>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</si>
  <si>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</si>
  <si>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</si>
  <si>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</si>
  <si>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</si>
  <si>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</si>
  <si>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</si>
  <si>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</si>
  <si>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</si>
  <si>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</si>
  <si>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</si>
  <si>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</si>
  <si>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</si>
  <si>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</si>
  <si>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</si>
  <si>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</si>
  <si>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</si>
  <si>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</si>
  <si>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</si>
  <si>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</si>
  <si>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</si>
  <si>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</si>
  <si>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</si>
  <si>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</si>
  <si>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</si>
  <si>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</si>
  <si>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</si>
  <si>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</si>
  <si>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</si>
  <si>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</si>
  <si>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</si>
  <si>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</si>
  <si>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</si>
  <si>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</si>
  <si>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</si>
  <si>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</si>
  <si>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</si>
  <si>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</si>
  <si>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</si>
  <si>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</si>
  <si>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</si>
  <si>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</si>
  <si>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</si>
  <si>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</si>
  <si>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</si>
  <si>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</si>
  <si>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</si>
  <si>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</si>
  <si>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</si>
  <si>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</si>
  <si>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</si>
  <si>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</si>
  <si>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</si>
  <si>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</si>
  <si>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</si>
  <si>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</si>
  <si>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</si>
  <si>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</si>
  <si>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</si>
  <si>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</si>
  <si>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</si>
  <si>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</si>
  <si>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</si>
  <si>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</si>
  <si>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</si>
  <si>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</si>
  <si>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</si>
  <si>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</si>
  <si>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</si>
  <si>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</si>
  <si>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</si>
  <si>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</si>
  <si>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</si>
  <si>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</si>
  <si>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</si>
  <si>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</si>
  <si>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</si>
  <si>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</si>
  <si>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</si>
  <si>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</si>
  <si>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</si>
  <si>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</si>
  <si>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</si>
  <si>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</si>
  <si>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</si>
  <si>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</si>
  <si>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</si>
  <si>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</si>
  <si>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</si>
  <si>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</si>
  <si>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</si>
  <si>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</si>
  <si>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</si>
  <si>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</si>
  <si>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</si>
  <si>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</si>
  <si>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</si>
  <si>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</si>
  <si>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</si>
  <si>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</si>
  <si>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</si>
  <si>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</si>
  <si>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</si>
  <si>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</si>
  <si>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</si>
  <si>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</si>
  <si>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</si>
  <si>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</si>
  <si>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</si>
  <si>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</si>
  <si>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</si>
  <si>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</si>
  <si>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</si>
  <si>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</si>
  <si>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</si>
  <si>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</si>
  <si>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</si>
  <si>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</si>
  <si>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</si>
  <si>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</si>
  <si>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</si>
  <si>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</si>
  <si>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</si>
  <si>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</si>
  <si>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</si>
  <si>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</si>
  <si>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</si>
  <si>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</si>
  <si>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</si>
  <si>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</si>
  <si>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</si>
  <si>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</si>
  <si>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</si>
  <si>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</si>
  <si>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</si>
  <si>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</si>
  <si>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</si>
  <si>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</si>
  <si>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</si>
  <si>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</si>
  <si>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</si>
  <si>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</si>
  <si>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</si>
  <si>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</si>
  <si>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</si>
  <si>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</si>
  <si>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</si>
  <si>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</si>
  <si>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</si>
  <si>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</si>
  <si>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</si>
  <si>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</si>
  <si>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</si>
  <si>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</si>
  <si>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</si>
  <si>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</si>
  <si>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</si>
  <si>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</si>
  <si>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</si>
  <si>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</si>
  <si>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</si>
  <si>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</si>
  <si>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</si>
  <si>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</si>
  <si>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</si>
  <si>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</si>
  <si>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</si>
  <si>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</si>
  <si>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</si>
  <si>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</si>
  <si>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</si>
  <si>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</si>
  <si>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</si>
  <si>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</si>
  <si>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</si>
  <si>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</si>
  <si>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</si>
  <si>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</si>
  <si>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</si>
  <si>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</si>
  <si>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</si>
  <si>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</si>
  <si>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</si>
  <si>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</si>
  <si>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</si>
  <si>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</si>
  <si>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</si>
  <si>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</si>
  <si>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</si>
  <si>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</si>
  <si>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</si>
  <si>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</si>
  <si>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</si>
  <si>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</si>
  <si>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</si>
  <si>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</si>
  <si>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</si>
  <si>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</si>
  <si>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</si>
  <si>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</si>
  <si>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</si>
  <si>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</si>
  <si>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</si>
  <si>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</si>
  <si>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</si>
  <si>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</si>
  <si>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</si>
  <si>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</si>
  <si>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</si>
  <si>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</si>
  <si>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</si>
  <si>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</si>
  <si>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</si>
  <si>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</si>
  <si>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</si>
  <si>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</si>
  <si>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</si>
  <si>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</si>
  <si>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</si>
  <si>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</si>
  <si>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</si>
  <si>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</si>
  <si>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</si>
  <si>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</si>
  <si>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</si>
  <si>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</si>
  <si>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</si>
  <si>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</si>
  <si>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</si>
  <si>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</si>
  <si>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</si>
  <si>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</si>
  <si>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</si>
  <si>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</si>
  <si>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</si>
  <si>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</si>
  <si>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</si>
  <si>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</si>
  <si>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</si>
  <si>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</si>
  <si>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</si>
  <si>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</si>
  <si>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</si>
  <si>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</si>
  <si>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</si>
  <si>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</si>
  <si>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</si>
  <si>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</si>
  <si>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</si>
  <si>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</si>
  <si>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</si>
  <si>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</si>
  <si>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</si>
  <si>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</si>
  <si>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</si>
  <si>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</si>
  <si>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</si>
  <si>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</si>
  <si>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</si>
  <si>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</si>
  <si>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</si>
  <si>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</si>
  <si>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</si>
  <si>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</si>
  <si>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</si>
  <si>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</si>
  <si>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</si>
  <si>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</si>
  <si>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</si>
  <si>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</si>
  <si>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</si>
  <si>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</si>
  <si>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</si>
  <si>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</si>
  <si>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</si>
  <si>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</si>
  <si>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</si>
  <si>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</si>
  <si>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</si>
  <si>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</si>
  <si>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</si>
  <si>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</si>
  <si>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</si>
  <si>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</si>
  <si>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</si>
  <si>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</si>
  <si>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</si>
  <si>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</si>
  <si>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</si>
  <si>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</si>
  <si>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</si>
  <si>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</si>
  <si>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</si>
  <si>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</si>
  <si>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</si>
  <si>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</si>
  <si>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</si>
  <si>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</si>
  <si>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</si>
  <si>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</si>
  <si>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</si>
  <si>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</si>
  <si>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</si>
  <si>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</si>
  <si>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</si>
  <si>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</si>
  <si>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</si>
  <si>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</si>
  <si>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</si>
  <si>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</si>
  <si>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</si>
  <si>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</si>
  <si>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</si>
  <si>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</si>
  <si>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</si>
  <si>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</si>
  <si>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</si>
  <si>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</si>
  <si>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</si>
  <si>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</si>
  <si>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</si>
  <si>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</si>
  <si>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</si>
  <si>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</si>
  <si>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</si>
  <si>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</si>
  <si>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</si>
  <si>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</si>
  <si>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</si>
  <si>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</si>
  <si>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</si>
  <si>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</si>
  <si>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</si>
  <si>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</si>
  <si>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</si>
  <si>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</si>
  <si>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</si>
  <si>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</si>
  <si>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</si>
  <si>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</si>
  <si>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</si>
  <si>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</si>
  <si>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</si>
  <si>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</si>
  <si>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</si>
  <si>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</si>
  <si>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</si>
  <si>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</si>
  <si>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</si>
  <si>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</si>
  <si>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</si>
  <si>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</si>
  <si>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</si>
  <si>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</si>
  <si>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</si>
  <si>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</si>
  <si>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</si>
  <si>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</si>
  <si>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</si>
  <si>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</si>
  <si>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</si>
  <si>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</si>
  <si>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</si>
  <si>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</si>
  <si>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</si>
  <si>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</si>
  <si>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</si>
  <si>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</si>
  <si>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</si>
  <si>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</si>
  <si>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</si>
  <si>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</si>
  <si>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</si>
  <si>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</si>
  <si>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</si>
  <si>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</si>
  <si>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</si>
  <si>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</si>
  <si>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</si>
  <si>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</si>
  <si>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</si>
  <si>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</si>
  <si>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</si>
  <si>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</si>
  <si>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</si>
  <si>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</si>
  <si>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</si>
  <si>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</si>
  <si>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</si>
  <si>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</si>
  <si>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</si>
  <si>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</si>
  <si>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</si>
  <si>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</si>
  <si>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</si>
  <si>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</si>
  <si>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</si>
  <si>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</si>
  <si>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</si>
  <si>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</si>
  <si>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</si>
  <si>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</si>
  <si>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</si>
  <si>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</si>
  <si>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</si>
  <si>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</si>
  <si>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</si>
  <si>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</si>
  <si>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</si>
  <si>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</si>
  <si>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</si>
  <si>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</si>
  <si>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</si>
  <si>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</si>
  <si>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</si>
  <si>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</si>
  <si>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</si>
  <si>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</si>
  <si>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</si>
  <si>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</si>
  <si>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</si>
  <si>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</si>
  <si>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</si>
  <si>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</si>
  <si>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</si>
  <si>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</si>
  <si>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</si>
  <si>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</si>
  <si>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</si>
  <si>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</si>
  <si>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</si>
  <si>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</si>
  <si>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</si>
  <si>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</si>
  <si>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</si>
  <si>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</si>
  <si>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</si>
  <si>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</si>
  <si>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</si>
  <si>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</si>
  <si>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</si>
  <si>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</si>
  <si>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</si>
  <si>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</si>
  <si>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</si>
  <si>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</si>
  <si>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</si>
  <si>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</si>
  <si>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</si>
  <si>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</si>
  <si>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</si>
  <si>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</si>
  <si>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</si>
  <si>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</si>
  <si>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</si>
  <si>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</si>
  <si>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</si>
  <si>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</si>
  <si>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</si>
  <si>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</si>
  <si>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</si>
  <si>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</si>
  <si>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</si>
  <si>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</si>
  <si>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</si>
  <si>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</si>
  <si>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</si>
  <si>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</si>
  <si>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</si>
  <si>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</si>
  <si>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</si>
  <si>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</si>
  <si>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</si>
  <si>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</si>
  <si>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</si>
  <si>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</si>
  <si>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</si>
  <si>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</si>
  <si>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</si>
  <si>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</si>
  <si>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</si>
  <si>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</si>
  <si>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</si>
  <si>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</si>
  <si>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</si>
  <si>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</si>
  <si>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</si>
  <si>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</si>
  <si>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</si>
  <si>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</si>
  <si>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</si>
  <si>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</si>
  <si>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</si>
  <si>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</si>
  <si>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</si>
  <si>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</si>
  <si>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</si>
  <si>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</si>
  <si>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</si>
  <si>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</si>
  <si>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</si>
  <si>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</si>
  <si>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</si>
  <si>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</si>
  <si>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</si>
  <si>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</si>
  <si>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</si>
  <si>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</si>
  <si>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</si>
  <si>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</si>
  <si>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</si>
  <si>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</si>
  <si>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</si>
  <si>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</si>
  <si>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</si>
  <si>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</si>
  <si>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</si>
  <si>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</si>
  <si>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</si>
  <si>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</si>
  <si>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</si>
  <si>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</si>
  <si>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</si>
  <si>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</si>
  <si>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</si>
  <si>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</si>
  <si>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</si>
  <si>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</si>
  <si>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</si>
  <si>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</si>
  <si>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</si>
  <si>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</si>
  <si>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</si>
  <si>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</si>
  <si>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</si>
  <si>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</si>
  <si>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</si>
  <si>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</si>
  <si>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</si>
  <si>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</si>
  <si>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</si>
  <si>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</si>
  <si>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</si>
  <si>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</si>
  <si>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</si>
  <si>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</si>
  <si>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</si>
  <si>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</si>
  <si>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</si>
  <si>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</si>
  <si>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</si>
  <si>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</si>
  <si>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</si>
  <si>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</si>
  <si>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</si>
  <si>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</si>
  <si>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</si>
  <si>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</si>
  <si>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</si>
  <si>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</si>
  <si>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</si>
  <si>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</si>
  <si>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</si>
  <si>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</si>
  <si>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</si>
  <si>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</si>
  <si>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</si>
  <si>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</si>
  <si>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</si>
  <si>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</si>
  <si>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</si>
  <si>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</si>
  <si>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</si>
  <si>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</si>
  <si>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</si>
  <si>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</si>
  <si>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</si>
  <si>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</si>
  <si>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</si>
  <si>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</si>
  <si>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</si>
  <si>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</si>
  <si>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</si>
  <si>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</si>
  <si>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</si>
  <si>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</si>
  <si>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</si>
  <si>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</si>
  <si>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</si>
  <si>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</si>
  <si>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</si>
  <si>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</si>
  <si>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</si>
  <si>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</si>
  <si>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</si>
  <si>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</si>
  <si>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</si>
  <si>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</si>
  <si>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</si>
  <si>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</si>
  <si>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</si>
  <si>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</si>
  <si>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</si>
  <si>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</si>
  <si>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</si>
  <si>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</si>
  <si>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</si>
  <si>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</si>
  <si>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</si>
  <si>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</si>
  <si>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</si>
  <si>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</si>
  <si>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</si>
  <si>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</si>
  <si>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</si>
  <si>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</si>
  <si>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</si>
  <si>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</si>
  <si>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</si>
  <si>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</si>
  <si>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</si>
  <si>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</si>
  <si>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</si>
  <si>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</si>
  <si>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</si>
  <si>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</si>
  <si>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</si>
  <si>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</si>
  <si>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</si>
  <si>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</si>
  <si>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</si>
  <si>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</si>
  <si>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</si>
  <si>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</si>
  <si>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</si>
  <si>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</si>
  <si>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</si>
  <si>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</si>
  <si>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</si>
  <si>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</si>
  <si>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</si>
  <si>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</si>
  <si>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</si>
  <si>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</si>
  <si>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</si>
  <si>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</si>
  <si>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</si>
  <si>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</si>
  <si>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</si>
  <si>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</si>
  <si>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</si>
  <si>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</si>
  <si>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</si>
  <si>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</si>
  <si>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</si>
  <si>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</si>
  <si>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</si>
  <si>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</si>
  <si>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</si>
  <si>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</si>
  <si>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</si>
  <si>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</si>
  <si>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</si>
  <si>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</si>
  <si>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</si>
  <si>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</si>
  <si>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</si>
  <si>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</si>
  <si>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</si>
  <si>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</si>
  <si>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</si>
  <si>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</si>
  <si>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</si>
  <si>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</si>
  <si>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</si>
  <si>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</si>
  <si>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</si>
  <si>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</si>
  <si>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</si>
  <si>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</si>
  <si>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</si>
  <si>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</si>
  <si>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</si>
  <si>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</si>
  <si>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</si>
  <si>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</si>
  <si>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</si>
  <si>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</si>
  <si>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</si>
  <si>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</si>
  <si>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</si>
  <si>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</si>
  <si>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</si>
  <si>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</si>
  <si>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</si>
  <si>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</si>
  <si>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</si>
  <si>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</si>
  <si>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</si>
  <si>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</si>
  <si>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</si>
  <si>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</si>
  <si>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</si>
  <si>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</si>
  <si>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</si>
  <si>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</si>
  <si>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</si>
  <si>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</si>
  <si>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</si>
  <si>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</si>
  <si>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</si>
  <si>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</si>
  <si>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</si>
  <si>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</si>
  <si>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</si>
  <si>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</si>
  <si>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</si>
  <si>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</si>
  <si>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</si>
  <si>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</si>
  <si>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</si>
  <si>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</si>
  <si>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</si>
  <si>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</si>
  <si>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</si>
  <si>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</si>
  <si>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</si>
  <si>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</si>
  <si>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</si>
  <si>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</si>
  <si>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</si>
  <si>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</si>
  <si>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</si>
  <si>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</si>
  <si>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</si>
  <si>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</si>
  <si>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</si>
  <si>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</si>
  <si>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</si>
  <si>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</si>
  <si>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</si>
  <si>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</si>
  <si>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</si>
  <si>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</si>
  <si>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</si>
  <si>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</si>
  <si>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</si>
  <si>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</si>
  <si>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</si>
  <si>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</si>
  <si>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</si>
  <si>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</si>
  <si>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</si>
  <si>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</si>
  <si>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</si>
  <si>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</si>
  <si>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</si>
  <si>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</si>
  <si>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</si>
  <si>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</si>
  <si>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</si>
  <si>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</si>
  <si>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</si>
  <si>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</si>
  <si>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</si>
  <si>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</si>
  <si>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</si>
  <si>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</si>
  <si>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</si>
  <si>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</si>
  <si>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</si>
  <si>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</si>
  <si>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</si>
  <si>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</si>
  <si>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</si>
  <si>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</si>
  <si>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</si>
  <si>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</si>
  <si>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</si>
  <si>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</si>
  <si>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</si>
  <si>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</si>
  <si>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</si>
  <si>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</si>
  <si>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</si>
  <si>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</si>
  <si>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</si>
  <si>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</si>
  <si>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</si>
  <si>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</si>
  <si>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</si>
  <si>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</si>
  <si>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</si>
  <si>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</si>
  <si>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</si>
  <si>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</si>
  <si>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</si>
  <si>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</si>
  <si>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</si>
  <si>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</si>
  <si>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</si>
  <si>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</si>
  <si>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</si>
  <si>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</si>
  <si>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</si>
  <si>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</si>
  <si>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</si>
  <si>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</si>
  <si>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</si>
  <si>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</si>
  <si>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</si>
  <si>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</si>
  <si>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</si>
  <si>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</si>
  <si>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</si>
  <si>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</si>
  <si>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</si>
  <si>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</si>
  <si>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</si>
  <si>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</si>
  <si>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</si>
  <si>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</si>
  <si>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</si>
  <si>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</si>
  <si>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</si>
  <si>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</si>
  <si>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</si>
  <si>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</si>
  <si>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</si>
  <si>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</si>
  <si>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</si>
  <si>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</si>
  <si>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</si>
  <si>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</si>
  <si>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</si>
  <si>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</si>
  <si>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</si>
  <si>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</si>
  <si>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</si>
  <si>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</si>
  <si>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</si>
  <si>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</si>
  <si>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</si>
  <si>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</si>
  <si>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</si>
  <si>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</si>
  <si>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</si>
  <si>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</si>
  <si>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</si>
  <si>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</si>
  <si>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</si>
  <si>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</si>
  <si>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</si>
  <si>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</si>
  <si>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</si>
  <si>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</si>
  <si>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</si>
  <si>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</si>
  <si>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</si>
  <si>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</si>
  <si>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</si>
  <si>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</si>
  <si>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</si>
  <si>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</si>
  <si>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</si>
  <si>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</si>
  <si>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</si>
  <si>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</si>
  <si>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</si>
  <si>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</si>
  <si>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</si>
  <si>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</si>
  <si>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</si>
  <si>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</si>
  <si>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</si>
  <si>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</si>
  <si>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</si>
  <si>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</si>
  <si>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</si>
  <si>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</si>
  <si>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</si>
  <si>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</si>
  <si>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</si>
  <si>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</si>
  <si>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</si>
  <si>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</si>
  <si>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</si>
  <si>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</si>
  <si>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</si>
  <si>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</si>
  <si>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</si>
  <si>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</si>
  <si>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</si>
  <si>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</si>
  <si>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</si>
  <si>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</si>
  <si>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</si>
  <si>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</si>
  <si>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</si>
  <si>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</si>
  <si>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</si>
  <si>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</si>
  <si>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</si>
  <si>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</si>
  <si>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</si>
  <si>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</si>
  <si>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</si>
  <si>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</si>
  <si>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</si>
  <si>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</si>
  <si>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</si>
  <si>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</si>
  <si>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</si>
  <si>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</si>
  <si>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</si>
  <si>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</si>
  <si>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</si>
  <si>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</si>
  <si>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</si>
  <si>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</si>
  <si>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</si>
  <si>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</si>
  <si>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</si>
  <si>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</si>
  <si>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</si>
  <si>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</si>
  <si>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</si>
  <si>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</si>
  <si>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</si>
  <si>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</si>
  <si>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</si>
  <si>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</si>
  <si>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</si>
  <si>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</si>
  <si>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</si>
  <si>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</si>
  <si>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</si>
  <si>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</si>
  <si>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</si>
  <si>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</si>
  <si>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</si>
  <si>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</si>
  <si>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</si>
  <si>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</si>
  <si>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</si>
  <si>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</si>
  <si>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</si>
  <si>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</si>
  <si>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</si>
  <si>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</si>
  <si>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</si>
  <si>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</si>
  <si>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</si>
  <si>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</si>
  <si>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</si>
  <si>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</si>
  <si>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</si>
  <si>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</si>
  <si>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</si>
  <si>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</si>
  <si>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</si>
  <si>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</si>
  <si>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</si>
  <si>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</si>
  <si>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</si>
  <si>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</si>
  <si>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</si>
  <si>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</si>
  <si>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</si>
  <si>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</si>
  <si>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</si>
  <si>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</si>
  <si>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</si>
  <si>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</si>
  <si>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</si>
  <si>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</si>
  <si>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</si>
  <si>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</si>
  <si>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</si>
  <si>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</si>
  <si>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</si>
  <si>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</si>
  <si>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</si>
  <si>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</si>
  <si>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</si>
  <si>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</si>
  <si>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</si>
  <si>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</si>
  <si>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</si>
  <si>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</si>
  <si>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</si>
  <si>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</si>
  <si>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</si>
  <si>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</si>
  <si>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</si>
  <si>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</si>
  <si>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</si>
  <si>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</si>
  <si>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</si>
  <si>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</si>
  <si>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</si>
  <si>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</si>
  <si>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</si>
  <si>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</si>
  <si>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</si>
  <si>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</si>
  <si>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</si>
  <si>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</si>
  <si>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</si>
  <si>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</si>
  <si>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</si>
  <si>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</si>
  <si>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</si>
  <si>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</si>
  <si>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</si>
  <si>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</si>
  <si>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</si>
  <si>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</si>
  <si>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</si>
  <si>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</si>
  <si>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</si>
  <si>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</si>
  <si>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</si>
  <si>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</si>
  <si>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</si>
  <si>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</si>
  <si>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</si>
  <si>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</si>
  <si>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</si>
  <si>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</si>
  <si>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</si>
  <si>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</si>
  <si>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</si>
  <si>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</si>
  <si>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</si>
  <si>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</si>
  <si>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</si>
  <si>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</si>
  <si>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</si>
  <si>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</si>
  <si>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</si>
  <si>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</si>
  <si>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</si>
  <si>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</si>
  <si>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</si>
  <si>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</si>
  <si>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</si>
  <si>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</si>
  <si>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</si>
  <si>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</si>
  <si>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</si>
  <si>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</si>
  <si>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</si>
  <si>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</si>
  <si>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</si>
  <si>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</si>
  <si>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</si>
  <si>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</si>
  <si>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</si>
  <si>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</si>
  <si>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</si>
  <si>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</si>
  <si>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</si>
  <si>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</si>
  <si>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</si>
  <si>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</si>
  <si>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</si>
  <si>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</si>
  <si>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</si>
  <si>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</si>
  <si>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</si>
  <si>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</si>
  <si>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</si>
  <si>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</si>
  <si>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</si>
  <si>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</si>
  <si>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</si>
  <si>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</si>
  <si>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</si>
  <si>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</si>
  <si>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</si>
  <si>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</si>
  <si>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</si>
  <si>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</si>
  <si>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</si>
  <si>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</si>
  <si>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</si>
  <si>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</si>
  <si>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</si>
  <si>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</si>
  <si>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</si>
  <si>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</si>
  <si>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</si>
  <si>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</si>
  <si>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</si>
  <si>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</si>
  <si>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</si>
  <si>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</si>
  <si>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</si>
  <si>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</si>
  <si>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</si>
  <si>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</si>
  <si>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</si>
  <si>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</si>
  <si>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</si>
  <si>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</si>
  <si>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</si>
  <si>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</si>
  <si>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</si>
  <si>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</si>
  <si>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</si>
  <si>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</si>
  <si>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</si>
  <si>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</si>
  <si>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</si>
  <si>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</si>
  <si>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</si>
  <si>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</si>
  <si>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</si>
  <si>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</si>
  <si>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</si>
  <si>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</si>
  <si>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</si>
  <si>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</si>
  <si>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</si>
  <si>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</si>
  <si>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</si>
  <si>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</si>
  <si>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</si>
  <si>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</si>
  <si>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</si>
  <si>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</si>
  <si>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</si>
  <si>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</si>
  <si>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</si>
  <si>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</si>
  <si>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</si>
  <si>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</si>
  <si>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</si>
  <si>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</si>
  <si>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</si>
  <si>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</si>
  <si>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</si>
  <si>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</si>
  <si>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</si>
  <si>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</si>
  <si>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</si>
  <si>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</si>
  <si>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</si>
  <si>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</si>
  <si>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</si>
  <si>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</si>
  <si>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</si>
  <si>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</si>
  <si>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</si>
  <si>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</si>
  <si>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</si>
  <si>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</si>
  <si>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</si>
  <si>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</si>
  <si>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</si>
  <si>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</si>
  <si>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</si>
  <si>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</si>
  <si>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</si>
  <si>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</si>
  <si>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</si>
  <si>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</si>
  <si>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</si>
  <si>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</si>
  <si>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</si>
  <si>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</si>
  <si>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</si>
  <si>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</si>
  <si>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</si>
  <si>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</si>
  <si>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</si>
  <si>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</si>
  <si>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</si>
  <si>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</si>
  <si>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</si>
  <si>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</si>
  <si>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</si>
  <si>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</si>
  <si>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</si>
  <si>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</si>
  <si>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</si>
  <si>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</si>
  <si>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</si>
  <si>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</si>
  <si>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Customer Name</t>
  </si>
  <si>
    <t>Product Name</t>
  </si>
  <si>
    <t xml:space="preserve">Unit Price </t>
  </si>
  <si>
    <t>Total Sales</t>
  </si>
  <si>
    <t>Grand Total</t>
  </si>
  <si>
    <t xml:space="preserve">Top 10 Performing Products </t>
  </si>
  <si>
    <t>Revenue</t>
  </si>
  <si>
    <t>Catergory</t>
  </si>
  <si>
    <t xml:space="preserve">PERORMANCE </t>
  </si>
  <si>
    <t>REVENUE BY COUNTRY</t>
  </si>
  <si>
    <t>REVENUE BY PRODUCT CATEGORY</t>
  </si>
  <si>
    <t>REVENUE BY 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</si>
</sst>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GH₵&quot;* #,##0.00_-;\-&quot;GH₵&quot;* #,##0.00_-;_-&quot;GH₵&quot;* &quot;-&quot;??_-;_-@_-"/>
    <numFmt numFmtId="164" formatCode="_-&quot;GH₵&quot;* #,##0.0_-;\-&quot;GH₵&quot;* #,##0.0_-;_-&quot;GH₵&quot;* &quot;-&quot;??_-;_-@_-"/>
    <numFmt numFmtId="165" formatCode="_-[$$-409]* #,##0.00_ ;_-[$$-409]* \-#,##0.00\ ;_-[$$-409]* &quot;-&quot;??_ ;_-@_ "/>
    <numFmt numFmtId="166" formatCode="_-[$$-1009]* #,##0.0_-;\-[$$-1009]* #,##0.0_-;_-[$$-1009]* &quot;-&quot;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" fontId="4" fillId="0" borderId="0" xfId="0" applyNumberFormat="1" applyFont="1"/>
    <xf numFmtId="49" fontId="3" fillId="2" borderId="0" xfId="0" applyNumberFormat="1" applyFont="1" applyFill="1"/>
    <xf numFmtId="49" fontId="4" fillId="0" borderId="0" xfId="0" applyNumberFormat="1" applyFont="1"/>
    <xf numFmtId="1" fontId="3" fillId="2" borderId="0" xfId="0" applyNumberFormat="1" applyFont="1" applyFill="1"/>
    <xf numFmtId="49" fontId="2" fillId="0" borderId="0" xfId="0" applyNumberFormat="1" applyFont="1"/>
    <xf numFmtId="164" fontId="3" fillId="2" borderId="0" xfId="0" applyNumberFormat="1" applyFont="1" applyFill="1"/>
    <xf numFmtId="164" fontId="4" fillId="0" borderId="0" xfId="0" applyNumberFormat="1" applyFont="1"/>
    <xf numFmtId="44" fontId="3" fillId="2" borderId="0" xfId="1" applyNumberFormat="1" applyFont="1" applyFill="1"/>
    <xf numFmtId="44" fontId="4" fillId="0" borderId="0" xfId="1" applyNumberFormat="1" applyFont="1"/>
    <xf numFmtId="44" fontId="2" fillId="0" borderId="0" xfId="1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4" fillId="0" borderId="0" xfId="0" applyNumberFormat="1" applyFont="1"/>
    <xf numFmtId="166" fontId="0" fillId="0" borderId="0" xfId="0" applyNumberFormat="1"/>
    <xf numFmtId="0" fontId="5" fillId="3" borderId="0" xfId="0" applyFont="1" applyFill="1"/>
    <xf numFmtId="0" fontId="5" fillId="3" borderId="1" xfId="0" applyFont="1" applyFill="1" applyBorder="1"/>
    <xf numFmtId="9" fontId="0" fillId="4" borderId="0" xfId="1" applyFont="1" applyFill="1"/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2">
    <cellStyle name="Normal" xfId="0" builtinId="0"/>
    <cellStyle name="Percent" xfId="1" builtinId="5"/>
  </cellStyles>
  <dxfs count="30">
    <dxf>
      <alignment vertical="center"/>
    </dxf>
    <dxf>
      <alignment horizontal="center"/>
    </dxf>
    <dxf>
      <numFmt numFmtId="30" formatCode="@"/>
    </dxf>
    <dxf>
      <numFmt numFmtId="166" formatCode="_-[$$-1009]* #,##0.0_-;\-[$$-1009]* #,##0.0_-;_-[$$-1009]* &quot;-&quot;?_-;_-@_-"/>
    </dxf>
    <dxf>
      <numFmt numFmtId="30" formatCode="@"/>
    </dxf>
    <dxf>
      <numFmt numFmtId="166" formatCode="_-[$$-1009]* #,##0.0_-;\-[$$-1009]* #,##0.0_-;_-[$$-1009]* &quot;-&quot;?_-;_-@_-"/>
    </dxf>
    <dxf>
      <numFmt numFmtId="30" formatCode="@"/>
    </dxf>
    <dxf>
      <numFmt numFmtId="166" formatCode="_-[$$-1009]* #,##0.0_-;\-[$$-1009]* #,##0.0_-;_-[$$-1009]* &quot;-&quot;?_-;_-@_-"/>
    </dxf>
    <dxf>
      <numFmt numFmtId="166" formatCode="_-[$$-1009]* #,##0.0_-;\-[$$-1009]* #,##0.0_-;_-[$$-1009]* &quot;-&quot;?_-;_-@_-"/>
    </dxf>
    <dxf>
      <numFmt numFmtId="30" formatCode="@"/>
    </dxf>
    <dxf>
      <numFmt numFmtId="166" formatCode="_-[$$-1009]* #,##0.0_-;\-[$$-1009]* #,##0.0_-;_-[$$-1009]* &quot;-&quot;?_-;_-@_-"/>
    </dxf>
    <dxf>
      <numFmt numFmtId="30" formatCode="@"/>
    </dxf>
    <dxf>
      <numFmt numFmtId="14" formatCode="0.00%"/>
    </dxf>
    <dxf>
      <numFmt numFmtId="30" formatCode="@"/>
    </dxf>
    <dxf>
      <numFmt numFmtId="166" formatCode="_-[$$-1009]* #,##0.0_-;\-[$$-1009]* #,##0.0_-;_-[$$-1009]* &quot;-&quot;?_-;_-@_-"/>
    </dxf>
    <dxf>
      <numFmt numFmtId="30" formatCode="@"/>
    </dxf>
    <dxf>
      <numFmt numFmtId="166" formatCode="_-[$$-1009]* #,##0.0_-;\-[$$-1009]* #,##0.0_-;_-[$$-1009]* &quot;-&quot;?_-;_-@_-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&quot;GH₵&quot;* #,##0.0_-;\-&quot;GH₵&quot;* #,##0.0_-;_-&quot;GH₵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4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data.xlsx]Pivot table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Total Sales</a:t>
            </a:r>
            <a:r>
              <a:rPr lang="en-US" b="0" baseline="0"/>
              <a:t> </a:t>
            </a:r>
            <a:r>
              <a:rPr lang="en-US" b="1" baseline="0"/>
              <a:t>by Country</a:t>
            </a:r>
          </a:p>
        </c:rich>
      </c:tx>
      <c:layout>
        <c:manualLayout>
          <c:xMode val="edge"/>
          <c:yMode val="edge"/>
          <c:x val="0.35472716778774122"/>
          <c:y val="0.1388888888888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280411133156415E-2"/>
          <c:y val="0.16958178679431216"/>
          <c:w val="0.94163011585189427"/>
          <c:h val="0.61104008935827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'!$A$4:$A$11</c:f>
              <c:strCache>
                <c:ptCount val="7"/>
                <c:pt idx="0">
                  <c:v>Canada</c:v>
                </c:pt>
                <c:pt idx="1">
                  <c:v>Ghana</c:v>
                </c:pt>
                <c:pt idx="2">
                  <c:v>UK</c:v>
                </c:pt>
                <c:pt idx="3">
                  <c:v>Kenya</c:v>
                </c:pt>
                <c:pt idx="4">
                  <c:v>Nigeria</c:v>
                </c:pt>
                <c:pt idx="5">
                  <c:v>USA</c:v>
                </c:pt>
                <c:pt idx="6">
                  <c:v>South Africa</c:v>
                </c:pt>
              </c:strCache>
            </c:strRef>
          </c:cat>
          <c:val>
            <c:numRef>
              <c:f>'Pivot table '!$B$4:$B$11</c:f>
              <c:numCache>
                <c:formatCode>_-[$$-1009]* #,##0.0_-;\-[$$-1009]* #,##0.0_-;_-[$$-1009]* "-"?_-;_-@_-</c:formatCode>
                <c:ptCount val="7"/>
                <c:pt idx="0">
                  <c:v>48925.099999999991</c:v>
                </c:pt>
                <c:pt idx="1">
                  <c:v>44921.549999999996</c:v>
                </c:pt>
                <c:pt idx="2">
                  <c:v>42763.29</c:v>
                </c:pt>
                <c:pt idx="3">
                  <c:v>42235.719999999994</c:v>
                </c:pt>
                <c:pt idx="4">
                  <c:v>42170.630000000005</c:v>
                </c:pt>
                <c:pt idx="5">
                  <c:v>37524.110000000008</c:v>
                </c:pt>
                <c:pt idx="6">
                  <c:v>34066.26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3-440C-A016-1A6B1DFB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27"/>
        <c:axId val="921694463"/>
        <c:axId val="921682943"/>
      </c:barChart>
      <c:catAx>
        <c:axId val="92169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21682943"/>
        <c:crosses val="autoZero"/>
        <c:auto val="1"/>
        <c:lblAlgn val="ctr"/>
        <c:lblOffset val="100"/>
        <c:noMultiLvlLbl val="0"/>
      </c:catAx>
      <c:valAx>
        <c:axId val="921682943"/>
        <c:scaling>
          <c:orientation val="minMax"/>
        </c:scaling>
        <c:delete val="1"/>
        <c:axPos val="l"/>
        <c:numFmt formatCode="_-[$$-1009]* #,##0.0_-;\-[$$-1009]* #,##0.0_-;_-[$$-1009]* &quot;-&quot;?_-;_-@_-" sourceLinked="1"/>
        <c:majorTickMark val="out"/>
        <c:minorTickMark val="none"/>
        <c:tickLblPos val="nextTo"/>
        <c:crossAx val="9216944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data.xlsx]Pivot table 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Product Category </a:t>
            </a:r>
            <a:r>
              <a:rPr lang="en-US"/>
              <a:t>by Revenue</a:t>
            </a:r>
          </a:p>
        </c:rich>
      </c:tx>
      <c:layout>
        <c:manualLayout>
          <c:xMode val="edge"/>
          <c:yMode val="edge"/>
          <c:x val="0.20629401050655274"/>
          <c:y val="3.3248199378899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260414408607642"/>
          <c:y val="0.14638757171568537"/>
          <c:w val="0.48357197668735219"/>
          <c:h val="0.79349432901709271"/>
        </c:manualLayout>
      </c:layout>
      <c:pieChart>
        <c:varyColors val="1"/>
        <c:ser>
          <c:idx val="0"/>
          <c:order val="0"/>
          <c:tx>
            <c:strRef>
              <c:f>'Pivot table 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B3-4F00-A94E-208EBA528E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B3-4F00-A94E-208EBA528E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B3-4F00-A94E-208EBA528E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B3-4F00-A94E-208EBA528E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B3-4F00-A94E-208EBA528E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'!$D$5:$D$10</c:f>
              <c:strCache>
                <c:ptCount val="5"/>
                <c:pt idx="0">
                  <c:v>Electronics</c:v>
                </c:pt>
                <c:pt idx="1">
                  <c:v>Home</c:v>
                </c:pt>
                <c:pt idx="2">
                  <c:v>Clothing</c:v>
                </c:pt>
                <c:pt idx="3">
                  <c:v>Food</c:v>
                </c:pt>
                <c:pt idx="4">
                  <c:v>Sports</c:v>
                </c:pt>
              </c:strCache>
            </c:strRef>
          </c:cat>
          <c:val>
            <c:numRef>
              <c:f>'Pivot table '!$E$5:$E$10</c:f>
              <c:numCache>
                <c:formatCode>_-[$$-1009]* #,##0.0_-;\-[$$-1009]* #,##0.0_-;_-[$$-1009]* "-"?_-;_-@_-</c:formatCode>
                <c:ptCount val="5"/>
                <c:pt idx="0">
                  <c:v>78285.060000000027</c:v>
                </c:pt>
                <c:pt idx="1">
                  <c:v>71591.78</c:v>
                </c:pt>
                <c:pt idx="2">
                  <c:v>71378.569999999992</c:v>
                </c:pt>
                <c:pt idx="3">
                  <c:v>67757.98</c:v>
                </c:pt>
                <c:pt idx="4">
                  <c:v>64467.339999999975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B3-4F00-A94E-208EBA528E3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32289</xdr:colOff>
      <xdr:row>0</xdr:row>
      <xdr:rowOff>40359</xdr:rowOff>
    </xdr:from>
    <xdr:to>
      <xdr:col>8</xdr:col>
      <xdr:colOff>573115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3CC0A8-471B-3CA0-A112-6A41FDA8D7CD}"/>
            </a:ext>
          </a:extLst>
        </xdr:cNvPr>
        <xdr:cNvSpPr txBox="1"/>
      </xdr:nvSpPr>
      <xdr:spPr>
        <a:xfrm>
          <a:off x="1872713" y="40359"/>
          <a:ext cx="6602923" cy="399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Company Sales Analysis</a:t>
          </a:r>
          <a:endParaRPr lang="en-GH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298664</xdr:colOff>
      <xdr:row>2</xdr:row>
      <xdr:rowOff>16145</xdr:rowOff>
    </xdr:from>
    <xdr:to>
      <xdr:col>6</xdr:col>
      <xdr:colOff>1452966</xdr:colOff>
      <xdr:row>14</xdr:row>
      <xdr:rowOff>169513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02C11B-5697-484E-81F2-4A085834C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1703199</xdr:colOff>
      <xdr:row>1</xdr:row>
      <xdr:rowOff>185657</xdr:rowOff>
    </xdr:from>
    <xdr:to>
      <xdr:col>11</xdr:col>
      <xdr:colOff>1872711</xdr:colOff>
      <xdr:row>14</xdr:row>
      <xdr:rowOff>121078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E3644C-BD80-4F04-AB52-23267B787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2.529737152778" createdVersion="8" refreshedVersion="8" minRefreshableVersion="3" recordCount="3000" xr:uid="{E4C00C4F-86BE-49E8-8D3F-574D9795F88A}">
  <cacheSource type="worksheet">
    <worksheetSource name="Customer_Table"/>
  </cacheSource>
  <cacheFields count="10">
    <cacheField name="OrderID" numFmtId="0">
      <sharedItems/>
    </cacheField>
    <cacheField name="CustomerID" numFmtId="49">
      <sharedItems/>
    </cacheField>
    <cacheField name="ProductID" numFmtId="49">
      <sharedItems/>
    </cacheField>
    <cacheField name="Quantity" numFmtId="1">
      <sharedItems containsSemiMixedTypes="0" containsString="0" containsNumber="1" containsInteger="1" minValue="1" maxValue="10"/>
    </cacheField>
    <cacheField name="Customer Name" numFmtId="49">
      <sharedItems/>
    </cacheField>
    <cacheField name="Country" numFmtId="49">
      <sharedItems count="8">
        <s v="Kenya"/>
        <s v="USA"/>
        <s v="South Africa"/>
        <s v="UK"/>
        <s v="Nigeria"/>
        <s v="Canada"/>
        <s v="Ghana"/>
        <s v="Country not Found"/>
      </sharedItems>
    </cacheField>
    <cacheField name="Product Name" numFmtId="49">
      <sharedItems count="184">
        <s v="Product_108"/>
        <s v="Product_254"/>
        <s v="Product_267"/>
        <s v="Product_163"/>
        <s v="Product_136"/>
        <s v="Product_101"/>
        <s v="Product_353"/>
        <s v="Product_343"/>
        <s v="Product_311"/>
        <s v="Product_362"/>
        <s v="Product_169"/>
        <s v="Product_289"/>
        <s v="Product_363"/>
        <s v="Product_365"/>
        <s v="Product_128"/>
        <s v="Product_83"/>
        <s v="Product_167"/>
        <s v="Product_340"/>
        <s v="Product_201"/>
        <s v="Product_338"/>
        <s v="Product_220"/>
        <s v="Product_442"/>
        <s v="Product_324"/>
        <s v="Product_160"/>
        <s v="Product Missing"/>
        <s v="Product_124"/>
        <s v="Product_208"/>
        <s v="Product_68"/>
        <s v="Product_422"/>
        <s v="Product_162"/>
        <s v="Product_452"/>
        <s v="Product_177"/>
        <s v="Product_462"/>
        <s v="Product_116"/>
        <s v="Product_401"/>
        <s v="Product_352"/>
        <s v="Product_298"/>
        <s v="Product_141"/>
        <s v="Product_56"/>
        <s v="Product_240"/>
        <s v="Product_327"/>
        <s v="Product_84"/>
        <s v="Product_242"/>
        <s v="Product_59"/>
        <s v="Product_416"/>
        <s v="Product_189"/>
        <s v="Product_358"/>
        <s v="Product_168"/>
        <s v="Product_276"/>
        <s v="Product_330"/>
        <s v="Product_459"/>
        <s v="Product_193"/>
        <s v="Product_451"/>
        <s v="Product_209"/>
        <s v="Product_100"/>
        <s v="Product_448"/>
        <s v="Product_368"/>
        <s v="Product_125"/>
        <s v="Product_313"/>
        <s v="Product_465"/>
        <s v="Product_172"/>
        <s v="Product_458"/>
        <s v="Product_419"/>
        <s v="Product_212"/>
        <s v="Product_260"/>
        <s v="Product_478"/>
        <s v="Product_492"/>
        <s v="Product_147"/>
        <s v="Product_217"/>
        <s v="Product_349"/>
        <s v="Product_434"/>
        <s v="Product_361"/>
        <s v="Product_257"/>
        <s v="Product_165"/>
        <s v="Product_175"/>
        <s v="Product_231"/>
        <s v="Product_134"/>
        <s v="Product_433"/>
        <s v="Product_286"/>
        <s v="Product_295"/>
        <s v="Product_494"/>
        <s v="Product_250"/>
        <s v="Product_499"/>
        <s v="Product_121"/>
        <s v="Product_253"/>
        <s v="Product_350"/>
        <s v="Product_145"/>
        <s v="Product_467"/>
        <s v="Product_322"/>
        <s v="Product_158"/>
        <s v="Product_194"/>
        <s v="Product_275"/>
        <s v="Product_192"/>
        <s v="Product_140"/>
        <s v="Product_154"/>
        <s v="Product_178"/>
        <s v="Product_470"/>
        <s v="Product_319"/>
        <s v="Product_364"/>
        <s v="Product_218"/>
        <s v="Product_202"/>
        <s v="Product_348"/>
        <s v="Product_132"/>
        <s v="Product_464"/>
        <s v="Product_246"/>
        <s v="Product_335"/>
        <s v="Product_357"/>
        <s v="Product_337"/>
        <s v="Product_164"/>
        <s v="Product_245"/>
        <s v="Product_372"/>
        <s v="Product_152"/>
        <s v="Product_373"/>
        <s v="Product_376"/>
        <s v="Product_469"/>
        <s v="Product_213"/>
        <s v="Product_188"/>
        <s v="Product_259"/>
        <s v="Product_384"/>
        <s v="Product_412"/>
        <s v="Product_166"/>
        <s v="Product_182"/>
        <s v="Product_444"/>
        <s v="Product_207"/>
        <s v="Product_481"/>
        <s v="Product_454"/>
        <s v="Product_476"/>
        <s v="Product_320"/>
        <s v="Product_221"/>
        <s v="Product_395"/>
        <s v="Product_300"/>
        <s v="Product_309"/>
        <s v="Product_332"/>
        <s v="Product_455"/>
        <s v="Product_461"/>
        <s v="Product_227"/>
        <s v="Product_370"/>
        <s v="Product_336"/>
        <s v="Product_285"/>
        <s v="Product_255"/>
        <s v="Product_429"/>
        <s v="Product_273"/>
        <s v="Product_411"/>
        <s v="Product_318"/>
        <s v="Product_371"/>
        <s v="Product_269"/>
        <s v="Product_474"/>
        <s v="Product_497"/>
        <s v="Product_294"/>
        <s v="Product_265"/>
        <s v="Product_483"/>
        <s v="Product_486"/>
        <s v="Product_388"/>
        <s v="Product_264"/>
        <s v="Product_306"/>
        <s v="Product_369"/>
        <s v="Product_500"/>
        <s v="Product_482"/>
        <s v="Product_325"/>
        <s v="Product_426"/>
        <s v="Product_394"/>
        <s v="Product_301"/>
        <s v="Product_342"/>
        <s v="Product_383"/>
        <s v="Product_446"/>
        <s v="Product_356"/>
        <s v="Product_397"/>
        <s v="Product_496"/>
        <s v="Product_418"/>
        <s v="Product_393"/>
        <s v="Product_410"/>
        <s v="Product_488"/>
        <s v="Product_396"/>
        <s v="Product_495"/>
        <s v="Product_449"/>
        <s v="Product_421"/>
        <s v="Product_406"/>
        <s v="Product_390"/>
        <s v="Product_456"/>
        <s v="Product_405"/>
        <s v="Product_409"/>
        <s v="Product_485"/>
        <s v="Product_484"/>
        <s v="Product_447"/>
      </sharedItems>
    </cacheField>
    <cacheField name="Category" numFmtId="49">
      <sharedItems count="6">
        <s v="Electronics"/>
        <s v="Home"/>
        <s v="Clothing"/>
        <s v="Food"/>
        <s v="Sports"/>
        <s v="Category Missing"/>
      </sharedItems>
    </cacheField>
    <cacheField name="Unit Price " numFmtId="164">
      <sharedItems containsMixedTypes="1" containsNumber="1" minValue="10.47" maxValue="499.34"/>
    </cacheField>
    <cacheField name="Total Sales" numFmtId="164">
      <sharedItems containsSemiMixedTypes="0" containsString="0" containsNumber="1" minValue="0" maxValue="4963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RD00001"/>
    <s v="CUST0703"/>
    <s v="PRD0108"/>
    <n v="10"/>
    <s v="Customer_703"/>
    <x v="0"/>
    <x v="0"/>
    <x v="0"/>
    <n v="360.09"/>
    <n v="3600.8999999999996"/>
  </r>
  <r>
    <s v="ORD00002"/>
    <s v="CUST0176"/>
    <s v="PRD0254"/>
    <n v="10"/>
    <s v="Customer_176"/>
    <x v="1"/>
    <x v="1"/>
    <x v="1"/>
    <n v="366"/>
    <n v="3660"/>
  </r>
  <r>
    <s v="ORD00003"/>
    <s v="CUST0671"/>
    <s v="PRD0267"/>
    <n v="3"/>
    <s v="Customer_671"/>
    <x v="1"/>
    <x v="2"/>
    <x v="2"/>
    <n v="430.53"/>
    <n v="1291.5899999999999"/>
  </r>
  <r>
    <s v="ORD00004"/>
    <s v="CUST0972"/>
    <s v="PRD0163"/>
    <n v="7"/>
    <s v="Customer_972"/>
    <x v="2"/>
    <x v="3"/>
    <x v="3"/>
    <n v="206.83"/>
    <n v="1447.8100000000002"/>
  </r>
  <r>
    <s v="ORD00005"/>
    <s v="CUST0153"/>
    <s v="PRD0136"/>
    <n v="4"/>
    <s v="Customer_153"/>
    <x v="3"/>
    <x v="4"/>
    <x v="4"/>
    <n v="124.48"/>
    <n v="497.92"/>
  </r>
  <r>
    <s v="ORD00006"/>
    <s v="CUST0333"/>
    <s v="PRD0101"/>
    <n v="1"/>
    <s v="Customer_333"/>
    <x v="2"/>
    <x v="5"/>
    <x v="2"/>
    <n v="14"/>
    <n v="14"/>
  </r>
  <r>
    <s v="ORD00007"/>
    <s v="CUST0660"/>
    <s v="PRD0353"/>
    <n v="8"/>
    <s v="Customer_660"/>
    <x v="1"/>
    <x v="6"/>
    <x v="1"/>
    <n v="47.02"/>
    <n v="376.16"/>
  </r>
  <r>
    <s v="ORD00008"/>
    <s v="CUST0762"/>
    <s v="PRD0343"/>
    <n v="5"/>
    <s v="Customer_762"/>
    <x v="4"/>
    <x v="7"/>
    <x v="3"/>
    <n v="487.11"/>
    <n v="2435.5500000000002"/>
  </r>
  <r>
    <s v="ORD00009"/>
    <s v="CUST0035"/>
    <s v="PRD0311"/>
    <n v="5"/>
    <s v="Customer_35"/>
    <x v="4"/>
    <x v="8"/>
    <x v="0"/>
    <n v="348.17"/>
    <n v="1740.8500000000001"/>
  </r>
  <r>
    <s v="ORD00010"/>
    <s v="CUST0479"/>
    <s v="PRD0362"/>
    <n v="8"/>
    <s v="Customer_479"/>
    <x v="1"/>
    <x v="9"/>
    <x v="3"/>
    <n v="235.87"/>
    <n v="1886.96"/>
  </r>
  <r>
    <s v="ORD00011"/>
    <s v="CUST0325"/>
    <s v="PRD0169"/>
    <n v="5"/>
    <s v="Customer_325"/>
    <x v="5"/>
    <x v="10"/>
    <x v="3"/>
    <n v="279.2"/>
    <n v="1396"/>
  </r>
  <r>
    <s v="ORD00012"/>
    <s v="CUST0467"/>
    <s v="PRD0289"/>
    <n v="4"/>
    <s v="Customer_467"/>
    <x v="6"/>
    <x v="11"/>
    <x v="0"/>
    <n v="362.84"/>
    <n v="1451.36"/>
  </r>
  <r>
    <s v="ORD00013"/>
    <s v="CUST0539"/>
    <s v="PRD0363"/>
    <n v="1"/>
    <s v="Customer_539"/>
    <x v="6"/>
    <x v="12"/>
    <x v="3"/>
    <n v="124.41"/>
    <n v="124.41"/>
  </r>
  <r>
    <s v="ORD00014"/>
    <s v="CUST0762"/>
    <s v="PRD0365"/>
    <n v="3"/>
    <s v="Customer_762"/>
    <x v="4"/>
    <x v="13"/>
    <x v="2"/>
    <n v="18.690000000000001"/>
    <n v="56.070000000000007"/>
  </r>
  <r>
    <s v="ORD00015"/>
    <s v="CUST0733"/>
    <s v="PRD0128"/>
    <n v="9"/>
    <s v="Customer_733"/>
    <x v="2"/>
    <x v="14"/>
    <x v="1"/>
    <n v="10.47"/>
    <n v="94.23"/>
  </r>
  <r>
    <s v="ORD00016"/>
    <s v="CUST0326"/>
    <s v="PRD0083"/>
    <n v="6"/>
    <s v="Customer_326"/>
    <x v="2"/>
    <x v="15"/>
    <x v="0"/>
    <n v="453.79"/>
    <n v="2722.7400000000002"/>
  </r>
  <r>
    <s v="ORD00017"/>
    <s v="CUST0548"/>
    <s v="PRD0167"/>
    <n v="6"/>
    <s v="Customer_548"/>
    <x v="3"/>
    <x v="16"/>
    <x v="2"/>
    <n v="467.95"/>
    <n v="2807.7"/>
  </r>
  <r>
    <s v="ORD00018"/>
    <s v="CUST0236"/>
    <s v="PRD0340"/>
    <n v="2"/>
    <s v="Customer_236"/>
    <x v="1"/>
    <x v="17"/>
    <x v="2"/>
    <n v="124.34"/>
    <n v="248.68"/>
  </r>
  <r>
    <s v="ORD00019"/>
    <s v="CUST0548"/>
    <s v="PRD0201"/>
    <n v="2"/>
    <s v="Customer_548"/>
    <x v="3"/>
    <x v="18"/>
    <x v="1"/>
    <n v="370.97"/>
    <n v="741.94"/>
  </r>
  <r>
    <s v="ORD00020"/>
    <s v="CUST0393"/>
    <s v="PRD0338"/>
    <n v="9"/>
    <s v="Customer_393"/>
    <x v="6"/>
    <x v="19"/>
    <x v="1"/>
    <n v="491.06"/>
    <n v="4419.54"/>
  </r>
  <r>
    <s v="ORD00021"/>
    <s v="CUST0638"/>
    <s v="PRD0220"/>
    <n v="3"/>
    <s v="Customer_638"/>
    <x v="1"/>
    <x v="20"/>
    <x v="4"/>
    <n v="82.11"/>
    <n v="246.32999999999998"/>
  </r>
  <r>
    <s v="ORD00022"/>
    <s v="CUST0903"/>
    <s v="PRD0442"/>
    <n v="9"/>
    <s v="Customer_903"/>
    <x v="5"/>
    <x v="21"/>
    <x v="4"/>
    <n v="48.2"/>
    <n v="433.8"/>
  </r>
  <r>
    <s v="ORD00023"/>
    <s v="CUST0687"/>
    <s v="PRD0324"/>
    <n v="8"/>
    <s v="Customer_687"/>
    <x v="2"/>
    <x v="22"/>
    <x v="1"/>
    <n v="230.35"/>
    <n v="1842.8"/>
  </r>
  <r>
    <s v="ORD00024"/>
    <s v="CUST0594"/>
    <s v="PRD0160"/>
    <n v="10"/>
    <s v="Customer_594"/>
    <x v="5"/>
    <x v="23"/>
    <x v="0"/>
    <n v="319.02"/>
    <n v="3190.2"/>
  </r>
  <r>
    <s v="ORD00025"/>
    <s v="CUST0006"/>
    <s v="PRD0016"/>
    <n v="3"/>
    <s v="Customer Not Found"/>
    <x v="7"/>
    <x v="24"/>
    <x v="5"/>
    <s v="Price Missing"/>
    <n v="0"/>
  </r>
  <r>
    <s v="ORD00026"/>
    <s v="CUST0602"/>
    <s v="PRD0124"/>
    <n v="9"/>
    <s v="Customer_602"/>
    <x v="3"/>
    <x v="25"/>
    <x v="2"/>
    <n v="443.5"/>
    <n v="3991.5"/>
  </r>
  <r>
    <s v="ORD00027"/>
    <s v="CUST0580"/>
    <s v="PRD0208"/>
    <n v="2"/>
    <s v="Customer_580"/>
    <x v="3"/>
    <x v="26"/>
    <x v="0"/>
    <n v="497.15"/>
    <n v="994.3"/>
  </r>
  <r>
    <s v="ORD00028"/>
    <s v="CUST0855"/>
    <s v="PRD0068"/>
    <n v="3"/>
    <s v="Customer_855"/>
    <x v="4"/>
    <x v="27"/>
    <x v="0"/>
    <n v="292.60000000000002"/>
    <n v="877.80000000000007"/>
  </r>
  <r>
    <s v="ORD00029"/>
    <s v="CUST0085"/>
    <s v="PRD0422"/>
    <n v="6"/>
    <s v="Customer_85"/>
    <x v="4"/>
    <x v="28"/>
    <x v="0"/>
    <n v="342"/>
    <n v="2052"/>
  </r>
  <r>
    <s v="ORD00030"/>
    <s v="CUST0928"/>
    <s v="PRD0162"/>
    <n v="9"/>
    <s v="Customer_928"/>
    <x v="3"/>
    <x v="29"/>
    <x v="3"/>
    <n v="252.66"/>
    <n v="2273.94"/>
  </r>
  <r>
    <s v="ORD00031"/>
    <s v="CUST0389"/>
    <s v="PRD0452"/>
    <n v="4"/>
    <s v="Customer_389"/>
    <x v="0"/>
    <x v="30"/>
    <x v="3"/>
    <n v="462.53"/>
    <n v="1850.12"/>
  </r>
  <r>
    <s v="ORD00032"/>
    <s v="CUST0686"/>
    <s v="PRD0177"/>
    <n v="9"/>
    <s v="Customer_686"/>
    <x v="3"/>
    <x v="31"/>
    <x v="2"/>
    <n v="80.099999999999994"/>
    <n v="720.9"/>
  </r>
  <r>
    <s v="ORD00033"/>
    <s v="CUST0549"/>
    <s v="PRD0462"/>
    <n v="7"/>
    <s v="Customer_549"/>
    <x v="4"/>
    <x v="32"/>
    <x v="3"/>
    <n v="146.15"/>
    <n v="1023.0500000000001"/>
  </r>
  <r>
    <s v="ORD00034"/>
    <s v="CUST0538"/>
    <s v="PRD0116"/>
    <n v="9"/>
    <s v="Customer_538"/>
    <x v="0"/>
    <x v="33"/>
    <x v="0"/>
    <n v="128.93"/>
    <n v="1160.3700000000001"/>
  </r>
  <r>
    <s v="ORD00035"/>
    <s v="CUST0768"/>
    <s v="PRD0401"/>
    <n v="8"/>
    <s v="Customer_768"/>
    <x v="1"/>
    <x v="34"/>
    <x v="2"/>
    <n v="86.02"/>
    <n v="688.16"/>
  </r>
  <r>
    <s v="ORD00036"/>
    <s v="CUST0474"/>
    <s v="PRD0116"/>
    <n v="3"/>
    <s v="Customer_474"/>
    <x v="1"/>
    <x v="33"/>
    <x v="0"/>
    <n v="128.93"/>
    <n v="386.79"/>
  </r>
  <r>
    <s v="ORD00037"/>
    <s v="CUST0436"/>
    <s v="PRD0352"/>
    <n v="5"/>
    <s v="Customer_436"/>
    <x v="6"/>
    <x v="35"/>
    <x v="2"/>
    <n v="47.88"/>
    <n v="239.4"/>
  </r>
  <r>
    <s v="ORD00038"/>
    <s v="CUST0608"/>
    <s v="PRD0298"/>
    <n v="5"/>
    <s v="Customer_608"/>
    <x v="6"/>
    <x v="36"/>
    <x v="1"/>
    <n v="412.48"/>
    <n v="2062.4"/>
  </r>
  <r>
    <s v="ORD00039"/>
    <s v="CUST0409"/>
    <s v="PRD0027"/>
    <n v="1"/>
    <s v="Customer_409"/>
    <x v="4"/>
    <x v="24"/>
    <x v="5"/>
    <s v="Price Missing"/>
    <n v="0"/>
  </r>
  <r>
    <s v="ORD00040"/>
    <s v="CUST0137"/>
    <s v="PRD0141"/>
    <n v="2"/>
    <s v="Customer_137"/>
    <x v="6"/>
    <x v="37"/>
    <x v="4"/>
    <n v="446.76"/>
    <n v="893.52"/>
  </r>
  <r>
    <s v="ORD00041"/>
    <s v="CUST0757"/>
    <s v="PRD0056"/>
    <n v="7"/>
    <s v="Customer_757"/>
    <x v="2"/>
    <x v="38"/>
    <x v="3"/>
    <n v="223.21"/>
    <n v="1562.47"/>
  </r>
  <r>
    <s v="ORD00042"/>
    <s v="CUST0244"/>
    <s v="PRD0240"/>
    <n v="5"/>
    <s v="Customer_244"/>
    <x v="3"/>
    <x v="39"/>
    <x v="0"/>
    <n v="224.72"/>
    <n v="1123.5999999999999"/>
  </r>
  <r>
    <s v="ORD00043"/>
    <s v="CUST0471"/>
    <s v="PRD0327"/>
    <n v="2"/>
    <s v="Customer_471"/>
    <x v="3"/>
    <x v="40"/>
    <x v="2"/>
    <n v="286.63"/>
    <n v="573.26"/>
  </r>
  <r>
    <s v="ORD00044"/>
    <s v="CUST0513"/>
    <s v="PRD0084"/>
    <n v="9"/>
    <s v="Customer_513"/>
    <x v="3"/>
    <x v="41"/>
    <x v="0"/>
    <n v="380.08"/>
    <n v="3420.72"/>
  </r>
  <r>
    <s v="ORD00045"/>
    <s v="CUST0608"/>
    <s v="PRD0242"/>
    <n v="7"/>
    <s v="Customer_608"/>
    <x v="6"/>
    <x v="42"/>
    <x v="0"/>
    <n v="268.45"/>
    <n v="1879.1499999999999"/>
  </r>
  <r>
    <s v="ORD00046"/>
    <s v="CUST0058"/>
    <s v="PRD0059"/>
    <n v="3"/>
    <s v="Customer_58"/>
    <x v="4"/>
    <x v="43"/>
    <x v="0"/>
    <n v="399.42"/>
    <n v="1198.26"/>
  </r>
  <r>
    <s v="ORD00047"/>
    <s v="CUST0080"/>
    <s v="PRD0029"/>
    <n v="4"/>
    <s v="Customer_80"/>
    <x v="2"/>
    <x v="24"/>
    <x v="5"/>
    <s v="Price Missing"/>
    <n v="0"/>
  </r>
  <r>
    <s v="ORD00048"/>
    <s v="CUST0632"/>
    <s v="PRD0416"/>
    <n v="8"/>
    <s v="Customer_632"/>
    <x v="4"/>
    <x v="44"/>
    <x v="1"/>
    <n v="447.74"/>
    <n v="3581.92"/>
  </r>
  <r>
    <s v="ORD00049"/>
    <s v="CUST0413"/>
    <s v="PRD0022"/>
    <n v="5"/>
    <s v="Customer_413"/>
    <x v="2"/>
    <x v="24"/>
    <x v="5"/>
    <s v="Price Missing"/>
    <n v="0"/>
  </r>
  <r>
    <s v="ORD00050"/>
    <s v="CUST0912"/>
    <s v="PRD0189"/>
    <n v="8"/>
    <s v="Customer_912"/>
    <x v="4"/>
    <x v="45"/>
    <x v="0"/>
    <n v="486.73"/>
    <n v="3893.84"/>
  </r>
  <r>
    <s v="ORD00051"/>
    <s v="CUST0922"/>
    <s v="PRD0358"/>
    <n v="8"/>
    <s v="Customer_922"/>
    <x v="5"/>
    <x v="46"/>
    <x v="3"/>
    <n v="242.48"/>
    <n v="1939.84"/>
  </r>
  <r>
    <s v="ORD00052"/>
    <s v="CUST0440"/>
    <s v="PRD0168"/>
    <n v="9"/>
    <s v="Customer_440"/>
    <x v="2"/>
    <x v="47"/>
    <x v="4"/>
    <n v="31.09"/>
    <n v="279.81"/>
  </r>
  <r>
    <s v="ORD00053"/>
    <s v="CUST0969"/>
    <s v="PRD0276"/>
    <n v="6"/>
    <s v="Customer_969"/>
    <x v="5"/>
    <x v="48"/>
    <x v="1"/>
    <n v="494.01"/>
    <n v="2964.06"/>
  </r>
  <r>
    <s v="ORD00054"/>
    <s v="CUST0351"/>
    <s v="PRD0015"/>
    <n v="3"/>
    <s v="Customer_351"/>
    <x v="1"/>
    <x v="24"/>
    <x v="5"/>
    <s v="Price Missing"/>
    <n v="0"/>
  </r>
  <r>
    <s v="ORD00055"/>
    <s v="CUST0747"/>
    <s v="PRD0330"/>
    <n v="9"/>
    <s v="Customer_747"/>
    <x v="6"/>
    <x v="49"/>
    <x v="2"/>
    <n v="18.88"/>
    <n v="169.92"/>
  </r>
  <r>
    <s v="ORD00056"/>
    <s v="CUST0436"/>
    <s v="PRD0013"/>
    <n v="5"/>
    <s v="Customer_436"/>
    <x v="6"/>
    <x v="24"/>
    <x v="5"/>
    <s v="Price Missing"/>
    <n v="0"/>
  </r>
  <r>
    <s v="ORD00057"/>
    <s v="CUST0282"/>
    <s v="PRD0459"/>
    <n v="10"/>
    <s v="Customer_282"/>
    <x v="6"/>
    <x v="50"/>
    <x v="4"/>
    <n v="496.34"/>
    <n v="4963.3999999999996"/>
  </r>
  <r>
    <s v="ORD00058"/>
    <s v="CUST0916"/>
    <s v="PRD0193"/>
    <n v="10"/>
    <s v="Customer_916"/>
    <x v="4"/>
    <x v="51"/>
    <x v="2"/>
    <n v="392.99"/>
    <n v="3929.9"/>
  </r>
  <r>
    <s v="ORD00059"/>
    <s v="CUST0495"/>
    <s v="PRD0324"/>
    <n v="5"/>
    <s v="Customer_495"/>
    <x v="2"/>
    <x v="22"/>
    <x v="1"/>
    <n v="230.35"/>
    <n v="1151.75"/>
  </r>
  <r>
    <s v="ORD00060"/>
    <s v="CUST0457"/>
    <s v="PRD0451"/>
    <n v="4"/>
    <s v="Customer_457"/>
    <x v="6"/>
    <x v="52"/>
    <x v="3"/>
    <n v="399.91"/>
    <n v="1599.64"/>
  </r>
  <r>
    <s v="ORD00061"/>
    <s v="CUST0432"/>
    <s v="PRD0209"/>
    <n v="7"/>
    <s v="Customer_432"/>
    <x v="5"/>
    <x v="53"/>
    <x v="2"/>
    <n v="452.71"/>
    <n v="3168.97"/>
  </r>
  <r>
    <s v="ORD00062"/>
    <s v="CUST0416"/>
    <s v="PRD0416"/>
    <n v="7"/>
    <s v="Customer_416"/>
    <x v="6"/>
    <x v="44"/>
    <x v="1"/>
    <n v="447.74"/>
    <n v="3134.1800000000003"/>
  </r>
  <r>
    <s v="ORD00063"/>
    <s v="CUST0758"/>
    <s v="PRD0100"/>
    <n v="10"/>
    <s v="Customer_758"/>
    <x v="3"/>
    <x v="54"/>
    <x v="1"/>
    <n v="182.77"/>
    <n v="1827.7"/>
  </r>
  <r>
    <s v="ORD00064"/>
    <s v="CUST0507"/>
    <s v="PRD0448"/>
    <n v="9"/>
    <s v="Customer_507"/>
    <x v="2"/>
    <x v="55"/>
    <x v="2"/>
    <n v="172.2"/>
    <n v="1549.8"/>
  </r>
  <r>
    <s v="ORD00065"/>
    <s v="CUST0779"/>
    <s v="PRD0368"/>
    <n v="2"/>
    <s v="Customer_779"/>
    <x v="1"/>
    <x v="56"/>
    <x v="1"/>
    <n v="469.99"/>
    <n v="939.98"/>
  </r>
  <r>
    <s v="ORD00066"/>
    <s v="CUST0353"/>
    <s v="PRD0125"/>
    <n v="9"/>
    <s v="Customer_353"/>
    <x v="5"/>
    <x v="57"/>
    <x v="0"/>
    <n v="335.22"/>
    <n v="3016.9800000000005"/>
  </r>
  <r>
    <s v="ORD00067"/>
    <s v="CUST0669"/>
    <s v="PRD0324"/>
    <n v="5"/>
    <s v="Customer_669"/>
    <x v="5"/>
    <x v="22"/>
    <x v="1"/>
    <n v="230.35"/>
    <n v="1151.75"/>
  </r>
  <r>
    <s v="ORD00068"/>
    <s v="CUST0325"/>
    <s v="PRD0313"/>
    <n v="2"/>
    <s v="Customer_325"/>
    <x v="5"/>
    <x v="58"/>
    <x v="3"/>
    <n v="163.4"/>
    <n v="326.8"/>
  </r>
  <r>
    <s v="ORD00069"/>
    <s v="CUST0532"/>
    <s v="PRD0465"/>
    <n v="6"/>
    <s v="Customer_532"/>
    <x v="3"/>
    <x v="59"/>
    <x v="3"/>
    <n v="82.99"/>
    <n v="497.93999999999994"/>
  </r>
  <r>
    <s v="ORD00070"/>
    <s v="CUST0782"/>
    <s v="PRD0172"/>
    <n v="2"/>
    <s v="Customer_782"/>
    <x v="1"/>
    <x v="60"/>
    <x v="4"/>
    <n v="205.17"/>
    <n v="410.34"/>
  </r>
  <r>
    <s v="ORD00071"/>
    <s v="CUST0473"/>
    <s v="PRD0458"/>
    <n v="9"/>
    <s v="Customer_473"/>
    <x v="5"/>
    <x v="61"/>
    <x v="0"/>
    <n v="103.21"/>
    <n v="928.89"/>
  </r>
  <r>
    <s v="ORD00072"/>
    <s v="CUST0703"/>
    <s v="PRD0363"/>
    <n v="4"/>
    <s v="Customer_703"/>
    <x v="0"/>
    <x v="12"/>
    <x v="3"/>
    <n v="124.41"/>
    <n v="497.64"/>
  </r>
  <r>
    <s v="ORD00073"/>
    <s v="CUST0419"/>
    <s v="PRD0419"/>
    <n v="4"/>
    <s v="Customer_419"/>
    <x v="0"/>
    <x v="62"/>
    <x v="0"/>
    <n v="34.869999999999997"/>
    <n v="139.47999999999999"/>
  </r>
  <r>
    <s v="ORD00074"/>
    <s v="CUST0410"/>
    <s v="PRD0212"/>
    <n v="6"/>
    <s v="Customer_410"/>
    <x v="3"/>
    <x v="63"/>
    <x v="1"/>
    <n v="189.26"/>
    <n v="1135.56"/>
  </r>
  <r>
    <s v="ORD00075"/>
    <s v="CUST0449"/>
    <s v="PRD0260"/>
    <n v="1"/>
    <s v="Customer_449"/>
    <x v="6"/>
    <x v="64"/>
    <x v="0"/>
    <n v="474.47"/>
    <n v="474.47"/>
  </r>
  <r>
    <s v="ORD00076"/>
    <s v="CUST0409"/>
    <s v="PRD0478"/>
    <n v="3"/>
    <s v="Customer_409"/>
    <x v="4"/>
    <x v="65"/>
    <x v="3"/>
    <n v="446.75"/>
    <n v="1340.25"/>
  </r>
  <r>
    <s v="ORD00077"/>
    <s v="CUST0190"/>
    <s v="PRD0492"/>
    <n v="3"/>
    <s v="Customer_190"/>
    <x v="2"/>
    <x v="66"/>
    <x v="4"/>
    <n v="390.12"/>
    <n v="1170.3600000000001"/>
  </r>
  <r>
    <s v="ORD00078"/>
    <s v="CUST0712"/>
    <s v="PRD0220"/>
    <n v="5"/>
    <s v="Customer_712"/>
    <x v="1"/>
    <x v="20"/>
    <x v="4"/>
    <n v="82.11"/>
    <n v="410.55"/>
  </r>
  <r>
    <s v="ORD00079"/>
    <s v="CUST0843"/>
    <s v="PRD0147"/>
    <n v="7"/>
    <s v="Customer_843"/>
    <x v="0"/>
    <x v="67"/>
    <x v="4"/>
    <n v="89.13"/>
    <n v="623.91"/>
  </r>
  <r>
    <s v="ORD00080"/>
    <s v="CUST0927"/>
    <s v="PRD0217"/>
    <n v="9"/>
    <s v="Customer_927"/>
    <x v="4"/>
    <x v="68"/>
    <x v="2"/>
    <n v="233.83"/>
    <n v="2104.4700000000003"/>
  </r>
  <r>
    <s v="ORD00081"/>
    <s v="CUST0632"/>
    <s v="PRD0063"/>
    <n v="9"/>
    <s v="Customer_632"/>
    <x v="4"/>
    <x v="24"/>
    <x v="5"/>
    <s v="Price Missing"/>
    <n v="0"/>
  </r>
  <r>
    <s v="ORD00082"/>
    <s v="CUST0594"/>
    <s v="PRD0349"/>
    <n v="5"/>
    <s v="Customer_594"/>
    <x v="5"/>
    <x v="69"/>
    <x v="2"/>
    <n v="372.7"/>
    <n v="1863.5"/>
  </r>
  <r>
    <s v="ORD00083"/>
    <s v="CUST0238"/>
    <s v="PRD0434"/>
    <n v="5"/>
    <s v="Customer_238"/>
    <x v="0"/>
    <x v="70"/>
    <x v="0"/>
    <n v="388.37"/>
    <n v="1941.85"/>
  </r>
  <r>
    <s v="ORD00084"/>
    <s v="CUST0528"/>
    <s v="PRD0361"/>
    <n v="8"/>
    <s v="Customer_528"/>
    <x v="5"/>
    <x v="71"/>
    <x v="3"/>
    <n v="149.83000000000001"/>
    <n v="1198.6400000000001"/>
  </r>
  <r>
    <s v="ORD00085"/>
    <s v="CUST0190"/>
    <s v="PRD0353"/>
    <n v="1"/>
    <s v="Customer_190"/>
    <x v="2"/>
    <x v="6"/>
    <x v="1"/>
    <n v="47.02"/>
    <n v="47.02"/>
  </r>
  <r>
    <s v="ORD00086"/>
    <s v="CUST0252"/>
    <s v="PRD0257"/>
    <n v="1"/>
    <s v="Customer_252"/>
    <x v="5"/>
    <x v="72"/>
    <x v="0"/>
    <n v="432.32"/>
    <n v="432.32"/>
  </r>
  <r>
    <s v="ORD00087"/>
    <s v="CUST0908"/>
    <s v="PRD0165"/>
    <n v="10"/>
    <s v="Customer_908"/>
    <x v="3"/>
    <x v="73"/>
    <x v="3"/>
    <n v="491.55"/>
    <n v="4915.5"/>
  </r>
  <r>
    <s v="ORD00088"/>
    <s v="CUST0495"/>
    <s v="PRD0327"/>
    <n v="6"/>
    <s v="Customer_495"/>
    <x v="2"/>
    <x v="40"/>
    <x v="2"/>
    <n v="286.63"/>
    <n v="1719.78"/>
  </r>
  <r>
    <s v="ORD00089"/>
    <s v="CUST0354"/>
    <s v="PRD0175"/>
    <n v="3"/>
    <s v="Customer_354"/>
    <x v="4"/>
    <x v="74"/>
    <x v="0"/>
    <n v="471.73"/>
    <n v="1415.19"/>
  </r>
  <r>
    <s v="ORD00090"/>
    <s v="CUST0621"/>
    <s v="PRD0231"/>
    <n v="5"/>
    <s v="Customer_621"/>
    <x v="2"/>
    <x v="75"/>
    <x v="3"/>
    <n v="337.23"/>
    <n v="1686.15"/>
  </r>
  <r>
    <s v="ORD00091"/>
    <s v="CUST0669"/>
    <s v="PRD0134"/>
    <n v="1"/>
    <s v="Customer_669"/>
    <x v="5"/>
    <x v="76"/>
    <x v="3"/>
    <n v="64.75"/>
    <n v="64.75"/>
  </r>
  <r>
    <s v="ORD00092"/>
    <s v="CUST0590"/>
    <s v="PRD0433"/>
    <n v="1"/>
    <s v="Customer_590"/>
    <x v="1"/>
    <x v="77"/>
    <x v="4"/>
    <n v="314.3"/>
    <n v="314.3"/>
  </r>
  <r>
    <s v="ORD00093"/>
    <s v="CUST0502"/>
    <s v="PRD0286"/>
    <n v="2"/>
    <s v="Customer_502"/>
    <x v="4"/>
    <x v="78"/>
    <x v="2"/>
    <n v="228.02"/>
    <n v="456.04"/>
  </r>
  <r>
    <s v="ORD00094"/>
    <s v="CUST0389"/>
    <s v="PRD0295"/>
    <n v="4"/>
    <s v="Customer_389"/>
    <x v="0"/>
    <x v="79"/>
    <x v="0"/>
    <n v="337.91"/>
    <n v="1351.64"/>
  </r>
  <r>
    <s v="ORD00095"/>
    <s v="CUST0290"/>
    <s v="PRD0494"/>
    <n v="3"/>
    <s v="Customer_290"/>
    <x v="5"/>
    <x v="80"/>
    <x v="2"/>
    <n v="116.33"/>
    <n v="348.99"/>
  </r>
  <r>
    <s v="ORD00096"/>
    <s v="CUST0389"/>
    <s v="PRD0087"/>
    <n v="10"/>
    <s v="Customer_389"/>
    <x v="0"/>
    <x v="24"/>
    <x v="5"/>
    <s v="Price Missing"/>
    <n v="0"/>
  </r>
  <r>
    <s v="ORD00097"/>
    <s v="CUST0863"/>
    <s v="PRD0250"/>
    <n v="8"/>
    <s v="Customer_863"/>
    <x v="0"/>
    <x v="81"/>
    <x v="4"/>
    <n v="166.31"/>
    <n v="1330.48"/>
  </r>
  <r>
    <s v="ORD00098"/>
    <s v="CUST0573"/>
    <s v="PRD0048"/>
    <n v="8"/>
    <s v="Customer_573"/>
    <x v="5"/>
    <x v="24"/>
    <x v="5"/>
    <s v="Price Missing"/>
    <n v="0"/>
  </r>
  <r>
    <s v="ORD00099"/>
    <s v="CUST0826"/>
    <s v="PRD0499"/>
    <n v="4"/>
    <s v="Customer_826"/>
    <x v="1"/>
    <x v="82"/>
    <x v="1"/>
    <n v="254.31"/>
    <n v="1017.24"/>
  </r>
  <r>
    <s v="ORD00100"/>
    <s v="CUST0527"/>
    <s v="PRD0121"/>
    <n v="5"/>
    <s v="Customer_527"/>
    <x v="6"/>
    <x v="83"/>
    <x v="2"/>
    <n v="170.01"/>
    <n v="850.05"/>
  </r>
  <r>
    <s v="ORD00101"/>
    <s v="CUST0646"/>
    <s v="PRD0240"/>
    <n v="10"/>
    <s v="Customer_646"/>
    <x v="5"/>
    <x v="39"/>
    <x v="0"/>
    <n v="224.72"/>
    <n v="2247.1999999999998"/>
  </r>
  <r>
    <s v="ORD00102"/>
    <s v="CUST0650"/>
    <s v="PRD0253"/>
    <n v="4"/>
    <s v="Customer_650"/>
    <x v="6"/>
    <x v="84"/>
    <x v="0"/>
    <n v="81.77"/>
    <n v="327.08"/>
  </r>
  <r>
    <s v="ORD00103"/>
    <s v="CUST0669"/>
    <s v="PRD0350"/>
    <n v="6"/>
    <s v="Customer_669"/>
    <x v="5"/>
    <x v="85"/>
    <x v="2"/>
    <n v="485.88"/>
    <n v="2915.2799999999997"/>
  </r>
  <r>
    <s v="ORD00104"/>
    <s v="CUST0260"/>
    <s v="PRD0145"/>
    <n v="10"/>
    <s v="Customer_260"/>
    <x v="2"/>
    <x v="86"/>
    <x v="4"/>
    <n v="220.29"/>
    <n v="2202.9"/>
  </r>
  <r>
    <s v="ORD00105"/>
    <s v="CUST0240"/>
    <s v="PRD0467"/>
    <n v="8"/>
    <s v="Customer_240"/>
    <x v="4"/>
    <x v="87"/>
    <x v="0"/>
    <n v="279.95999999999998"/>
    <n v="2239.6799999999998"/>
  </r>
  <r>
    <s v="ORD00106"/>
    <s v="CUST0109"/>
    <s v="PRD0169"/>
    <n v="3"/>
    <s v="Customer_109"/>
    <x v="0"/>
    <x v="10"/>
    <x v="3"/>
    <n v="279.2"/>
    <n v="837.59999999999991"/>
  </r>
  <r>
    <s v="ORD00107"/>
    <s v="CUST0074"/>
    <s v="PRD0322"/>
    <n v="10"/>
    <s v="Customer Not Found"/>
    <x v="7"/>
    <x v="88"/>
    <x v="2"/>
    <n v="14.3"/>
    <n v="143"/>
  </r>
  <r>
    <s v="ORD00108"/>
    <s v="CUST0947"/>
    <s v="PRD0451"/>
    <n v="6"/>
    <s v="Customer_947"/>
    <x v="0"/>
    <x v="52"/>
    <x v="3"/>
    <n v="399.91"/>
    <n v="2399.46"/>
  </r>
  <r>
    <s v="ORD00109"/>
    <s v="CUST0535"/>
    <s v="PRD0352"/>
    <n v="9"/>
    <s v="Customer_535"/>
    <x v="6"/>
    <x v="35"/>
    <x v="2"/>
    <n v="47.88"/>
    <n v="430.92"/>
  </r>
  <r>
    <s v="ORD00110"/>
    <s v="CUST0154"/>
    <s v="PRD0158"/>
    <n v="4"/>
    <s v="Customer_154"/>
    <x v="1"/>
    <x v="89"/>
    <x v="3"/>
    <n v="499.34"/>
    <n v="1997.36"/>
  </r>
  <r>
    <s v="ORD00111"/>
    <s v="CUST0738"/>
    <s v="PRD0194"/>
    <n v="3"/>
    <s v="Customer_738"/>
    <x v="5"/>
    <x v="90"/>
    <x v="0"/>
    <n v="461.37"/>
    <n v="1384.1100000000001"/>
  </r>
  <r>
    <s v="ORD00112"/>
    <s v="CUST0681"/>
    <s v="PRD0352"/>
    <n v="5"/>
    <s v="Customer_681"/>
    <x v="5"/>
    <x v="35"/>
    <x v="2"/>
    <n v="47.88"/>
    <n v="239.4"/>
  </r>
  <r>
    <s v="ORD00113"/>
    <s v="CUST0025"/>
    <s v="PRD0275"/>
    <n v="2"/>
    <s v="Customer Not Found"/>
    <x v="7"/>
    <x v="91"/>
    <x v="4"/>
    <n v="472.34"/>
    <n v="944.68"/>
  </r>
  <r>
    <s v="ORD00114"/>
    <s v="CUST0120"/>
    <s v="PRD0192"/>
    <n v="7"/>
    <s v="Customer_120"/>
    <x v="4"/>
    <x v="92"/>
    <x v="3"/>
    <n v="35.92"/>
    <n v="251.44"/>
  </r>
  <r>
    <s v="ORD00115"/>
    <s v="CUST0434"/>
    <s v="PRD0140"/>
    <n v="4"/>
    <s v="Customer_434"/>
    <x v="0"/>
    <x v="93"/>
    <x v="2"/>
    <n v="135.07"/>
    <n v="540.28"/>
  </r>
  <r>
    <s v="ORD00116"/>
    <s v="CUST0157"/>
    <s v="PRD0110"/>
    <n v="10"/>
    <s v="Customer_157"/>
    <x v="4"/>
    <x v="24"/>
    <x v="5"/>
    <s v="Price Missing"/>
    <n v="0"/>
  </r>
  <r>
    <s v="ORD00117"/>
    <s v="CUST0961"/>
    <s v="PRD0416"/>
    <n v="2"/>
    <s v="Customer_961"/>
    <x v="1"/>
    <x v="44"/>
    <x v="1"/>
    <n v="447.74"/>
    <n v="895.48"/>
  </r>
  <r>
    <s v="ORD00118"/>
    <s v="CUST0515"/>
    <s v="PRD0154"/>
    <n v="1"/>
    <s v="Customer_515"/>
    <x v="6"/>
    <x v="94"/>
    <x v="2"/>
    <n v="109.7"/>
    <n v="109.7"/>
  </r>
  <r>
    <s v="ORD00119"/>
    <s v="CUST0335"/>
    <s v="PRD0178"/>
    <n v="9"/>
    <s v="Customer_335"/>
    <x v="4"/>
    <x v="95"/>
    <x v="2"/>
    <n v="217.94"/>
    <n v="1961.46"/>
  </r>
  <r>
    <s v="ORD00120"/>
    <s v="CUST0783"/>
    <s v="PRD0116"/>
    <n v="5"/>
    <s v="Customer_783"/>
    <x v="4"/>
    <x v="24"/>
    <x v="5"/>
    <s v="Price Missing"/>
    <n v="0"/>
  </r>
  <r>
    <s v="ORD00121"/>
    <s v="CUST0425"/>
    <s v="PRD0276"/>
    <n v="3"/>
    <s v="Customer_425"/>
    <x v="1"/>
    <x v="48"/>
    <x v="1"/>
    <n v="494.01"/>
    <n v="1482.03"/>
  </r>
  <r>
    <s v="ORD00122"/>
    <s v="CUST0338"/>
    <s v="PRD0470"/>
    <n v="1"/>
    <s v="Customer_338"/>
    <x v="5"/>
    <x v="96"/>
    <x v="3"/>
    <n v="127.36"/>
    <n v="127.36"/>
  </r>
  <r>
    <s v="ORD00123"/>
    <s v="CUST0432"/>
    <s v="PRD0349"/>
    <n v="8"/>
    <s v="Customer_432"/>
    <x v="5"/>
    <x v="69"/>
    <x v="2"/>
    <n v="372.7"/>
    <n v="2981.6"/>
  </r>
  <r>
    <s v="ORD00124"/>
    <s v="CUST0098"/>
    <s v="PRD0027"/>
    <n v="4"/>
    <s v="Customer Not Found"/>
    <x v="7"/>
    <x v="24"/>
    <x v="5"/>
    <s v="Price Missing"/>
    <n v="0"/>
  </r>
  <r>
    <s v="ORD00125"/>
    <s v="CUST0225"/>
    <s v="PRD0319"/>
    <n v="2"/>
    <s v="Customer_225"/>
    <x v="6"/>
    <x v="97"/>
    <x v="2"/>
    <n v="370.98"/>
    <n v="741.96"/>
  </r>
  <r>
    <s v="ORD00126"/>
    <s v="CUST0076"/>
    <s v="PRD0364"/>
    <n v="8"/>
    <s v="Customer Not Found"/>
    <x v="7"/>
    <x v="98"/>
    <x v="3"/>
    <n v="425.62"/>
    <n v="3404.96"/>
  </r>
  <r>
    <s v="ORD00127"/>
    <s v="CUST0998"/>
    <s v="PRD0218"/>
    <n v="2"/>
    <s v="Customer_998"/>
    <x v="6"/>
    <x v="99"/>
    <x v="0"/>
    <n v="437.16"/>
    <n v="874.32"/>
  </r>
  <r>
    <s v="ORD00128"/>
    <s v="CUST0669"/>
    <s v="PRD0087"/>
    <n v="7"/>
    <s v="Customer_669"/>
    <x v="5"/>
    <x v="24"/>
    <x v="5"/>
    <s v="Price Missing"/>
    <n v="0"/>
  </r>
  <r>
    <s v="ORD00129"/>
    <s v="CUST0300"/>
    <s v="PRD0202"/>
    <n v="8"/>
    <s v="Customer_300"/>
    <x v="1"/>
    <x v="100"/>
    <x v="2"/>
    <n v="41.94"/>
    <n v="335.52"/>
  </r>
  <r>
    <s v="ORD00130"/>
    <s v="CUST0648"/>
    <s v="PRD0019"/>
    <n v="2"/>
    <s v="Customer_648"/>
    <x v="1"/>
    <x v="24"/>
    <x v="5"/>
    <s v="Price Missing"/>
    <n v="0"/>
  </r>
  <r>
    <s v="ORD00131"/>
    <s v="CUST0422"/>
    <s v="PRD0348"/>
    <n v="10"/>
    <s v="Customer_422"/>
    <x v="2"/>
    <x v="101"/>
    <x v="4"/>
    <n v="37.74"/>
    <n v="377.40000000000003"/>
  </r>
  <r>
    <s v="ORD00132"/>
    <s v="CUST0054"/>
    <s v="PRD0132"/>
    <n v="8"/>
    <s v="Customer Not Found"/>
    <x v="7"/>
    <x v="102"/>
    <x v="0"/>
    <n v="463.91"/>
    <n v="3711.28"/>
  </r>
  <r>
    <s v="ORD00133"/>
    <s v="CUST0204"/>
    <s v="PRD0464"/>
    <n v="2"/>
    <s v="Customer_204"/>
    <x v="6"/>
    <x v="103"/>
    <x v="3"/>
    <n v="290.42"/>
    <n v="580.84"/>
  </r>
  <r>
    <s v="ORD00134"/>
    <s v="CUST0113"/>
    <s v="PRD0177"/>
    <n v="8"/>
    <s v="Customer Not Found"/>
    <x v="7"/>
    <x v="31"/>
    <x v="2"/>
    <n v="80.099999999999994"/>
    <n v="640.79999999999995"/>
  </r>
  <r>
    <s v="ORD00135"/>
    <s v="CUST0469"/>
    <s v="PRD0246"/>
    <n v="3"/>
    <s v="Customer_469"/>
    <x v="4"/>
    <x v="104"/>
    <x v="1"/>
    <n v="423.48"/>
    <n v="1270.44"/>
  </r>
  <r>
    <s v="ORD00136"/>
    <s v="CUST0834"/>
    <s v="PRD0035"/>
    <n v="3"/>
    <s v="Customer_834"/>
    <x v="0"/>
    <x v="24"/>
    <x v="5"/>
    <s v="Price Missing"/>
    <n v="0"/>
  </r>
  <r>
    <s v="ORD00137"/>
    <s v="CUST0051"/>
    <s v="PRD0335"/>
    <n v="7"/>
    <s v="Customer Not Found"/>
    <x v="7"/>
    <x v="105"/>
    <x v="0"/>
    <n v="276.16000000000003"/>
    <n v="1933.1200000000001"/>
  </r>
  <r>
    <s v="ORD00138"/>
    <s v="CUST0637"/>
    <s v="PRD0105"/>
    <n v="9"/>
    <s v="Customer_637"/>
    <x v="3"/>
    <x v="24"/>
    <x v="5"/>
    <s v="Price Missing"/>
    <n v="0"/>
  </r>
  <r>
    <s v="ORD00139"/>
    <s v="CUST0805"/>
    <s v="PRD0110"/>
    <n v="9"/>
    <s v="Customer_805"/>
    <x v="2"/>
    <x v="24"/>
    <x v="5"/>
    <s v="Price Missing"/>
    <n v="0"/>
  </r>
  <r>
    <s v="ORD00140"/>
    <s v="CUST0591"/>
    <s v="PRD0357"/>
    <n v="1"/>
    <s v="Customer_591"/>
    <x v="6"/>
    <x v="106"/>
    <x v="4"/>
    <n v="131.62"/>
    <n v="131.62"/>
  </r>
  <r>
    <s v="ORD00141"/>
    <s v="CUST0464"/>
    <s v="PRD0349"/>
    <n v="6"/>
    <s v="Customer_464"/>
    <x v="5"/>
    <x v="69"/>
    <x v="2"/>
    <n v="372.7"/>
    <n v="2236.1999999999998"/>
  </r>
  <r>
    <s v="ORD00142"/>
    <s v="CUST0264"/>
    <s v="PRD0260"/>
    <n v="6"/>
    <s v="Customer_264"/>
    <x v="5"/>
    <x v="64"/>
    <x v="0"/>
    <n v="474.47"/>
    <n v="2846.82"/>
  </r>
  <r>
    <s v="ORD00143"/>
    <s v="CUST0501"/>
    <s v="PRD0138"/>
    <n v="4"/>
    <s v="Customer_501"/>
    <x v="5"/>
    <x v="24"/>
    <x v="5"/>
    <s v="Price Missing"/>
    <n v="0"/>
  </r>
  <r>
    <s v="ORD00144"/>
    <s v="CUST0514"/>
    <s v="PRD0337"/>
    <n v="7"/>
    <s v="Customer_514"/>
    <x v="4"/>
    <x v="107"/>
    <x v="0"/>
    <n v="319.87"/>
    <n v="2239.09"/>
  </r>
  <r>
    <s v="ORD00145"/>
    <s v="CUST0896"/>
    <s v="PRD0006"/>
    <n v="9"/>
    <s v="Customer_896"/>
    <x v="3"/>
    <x v="24"/>
    <x v="5"/>
    <s v="Price Missing"/>
    <n v="0"/>
  </r>
  <r>
    <s v="ORD00146"/>
    <s v="CUST0509"/>
    <s v="PRD0194"/>
    <n v="5"/>
    <s v="Customer_509"/>
    <x v="2"/>
    <x v="90"/>
    <x v="0"/>
    <n v="461.37"/>
    <n v="2306.85"/>
  </r>
  <r>
    <s v="ORD00147"/>
    <s v="CUST0973"/>
    <s v="PRD0164"/>
    <n v="6"/>
    <s v="Customer_973"/>
    <x v="6"/>
    <x v="108"/>
    <x v="4"/>
    <n v="249.55"/>
    <n v="1497.3000000000002"/>
  </r>
  <r>
    <s v="ORD00148"/>
    <s v="CUST0222"/>
    <s v="PRD0245"/>
    <n v="6"/>
    <s v="Customer_222"/>
    <x v="1"/>
    <x v="109"/>
    <x v="4"/>
    <n v="419.13"/>
    <n v="2514.7799999999997"/>
  </r>
  <r>
    <s v="ORD00149"/>
    <s v="CUST0629"/>
    <s v="PRD0372"/>
    <n v="4"/>
    <s v="Customer_629"/>
    <x v="3"/>
    <x v="110"/>
    <x v="2"/>
    <n v="204.68"/>
    <n v="818.72"/>
  </r>
  <r>
    <s v="ORD00150"/>
    <s v="CUST0008"/>
    <s v="PRD0160"/>
    <n v="2"/>
    <s v="Customer Not Found"/>
    <x v="7"/>
    <x v="23"/>
    <x v="0"/>
    <n v="319.02"/>
    <n v="638.04"/>
  </r>
  <r>
    <s v="ORD00151"/>
    <s v="CUST0033"/>
    <s v="PRD0152"/>
    <n v="6"/>
    <s v="Customer Not Found"/>
    <x v="7"/>
    <x v="111"/>
    <x v="3"/>
    <n v="23.01"/>
    <n v="138.06"/>
  </r>
  <r>
    <s v="ORD00152"/>
    <s v="CUST0771"/>
    <s v="PRD0060"/>
    <n v="1"/>
    <s v="Customer_771"/>
    <x v="5"/>
    <x v="24"/>
    <x v="5"/>
    <s v="Price Missing"/>
    <n v="0"/>
  </r>
  <r>
    <s v="ORD00153"/>
    <s v="CUST0508"/>
    <s v="PRD0373"/>
    <n v="4"/>
    <s v="Customer_508"/>
    <x v="3"/>
    <x v="112"/>
    <x v="0"/>
    <n v="333.99"/>
    <n v="1335.96"/>
  </r>
  <r>
    <s v="ORD00154"/>
    <s v="CUST0516"/>
    <s v="PRD0376"/>
    <n v="7"/>
    <s v="Customer_516"/>
    <x v="1"/>
    <x v="113"/>
    <x v="0"/>
    <n v="279.13"/>
    <n v="1953.9099999999999"/>
  </r>
  <r>
    <s v="ORD00155"/>
    <s v="CUST0641"/>
    <s v="PRD0469"/>
    <n v="1"/>
    <s v="Customer_641"/>
    <x v="3"/>
    <x v="114"/>
    <x v="1"/>
    <n v="477.63"/>
    <n v="477.63"/>
  </r>
  <r>
    <s v="ORD00156"/>
    <s v="CUST0593"/>
    <s v="PRD0155"/>
    <n v="3"/>
    <s v="Customer_593"/>
    <x v="0"/>
    <x v="24"/>
    <x v="5"/>
    <s v="Price Missing"/>
    <n v="0"/>
  </r>
  <r>
    <s v="ORD00157"/>
    <s v="CUST0262"/>
    <s v="PRD0035"/>
    <n v="4"/>
    <s v="Customer_262"/>
    <x v="0"/>
    <x v="24"/>
    <x v="5"/>
    <s v="Price Missing"/>
    <n v="0"/>
  </r>
  <r>
    <s v="ORD00158"/>
    <s v="CUST0193"/>
    <s v="PRD0213"/>
    <n v="5"/>
    <s v="Customer_193"/>
    <x v="2"/>
    <x v="115"/>
    <x v="2"/>
    <n v="348.44"/>
    <n v="1742.2"/>
  </r>
  <r>
    <s v="ORD00159"/>
    <s v="CUST0605"/>
    <s v="PRD0188"/>
    <n v="9"/>
    <s v="Customer_605"/>
    <x v="5"/>
    <x v="116"/>
    <x v="1"/>
    <n v="229.28"/>
    <n v="2063.52"/>
  </r>
  <r>
    <s v="ORD00160"/>
    <s v="CUST0425"/>
    <s v="PRD0259"/>
    <n v="8"/>
    <s v="Customer_425"/>
    <x v="1"/>
    <x v="117"/>
    <x v="4"/>
    <n v="362.25"/>
    <n v="2898"/>
  </r>
  <r>
    <s v="ORD00161"/>
    <s v="CUST0581"/>
    <s v="PRD0384"/>
    <n v="5"/>
    <s v="Customer_581"/>
    <x v="0"/>
    <x v="118"/>
    <x v="3"/>
    <n v="297.32"/>
    <n v="1486.6"/>
  </r>
  <r>
    <s v="ORD00162"/>
    <s v="CUST0364"/>
    <s v="PRD0338"/>
    <n v="1"/>
    <s v="Customer_364"/>
    <x v="3"/>
    <x v="19"/>
    <x v="1"/>
    <n v="491.06"/>
    <n v="491.06"/>
  </r>
  <r>
    <s v="ORD00163"/>
    <s v="CUST0015"/>
    <s v="PRD0412"/>
    <n v="10"/>
    <s v="Customer Not Found"/>
    <x v="7"/>
    <x v="119"/>
    <x v="4"/>
    <n v="244.51"/>
    <n v="2445.1"/>
  </r>
  <r>
    <s v="ORD00164"/>
    <s v="CUST0105"/>
    <s v="PRD0127"/>
    <n v="9"/>
    <s v="Customer Not Found"/>
    <x v="7"/>
    <x v="24"/>
    <x v="5"/>
    <s v="Price Missing"/>
    <n v="0"/>
  </r>
  <r>
    <s v="ORD00165"/>
    <s v="CUST0535"/>
    <s v="PRD0166"/>
    <n v="7"/>
    <s v="Customer_535"/>
    <x v="6"/>
    <x v="120"/>
    <x v="0"/>
    <n v="118.64"/>
    <n v="830.48"/>
  </r>
  <r>
    <s v="ORD00166"/>
    <s v="CUST0219"/>
    <s v="PRD0099"/>
    <n v="8"/>
    <s v="Customer_219"/>
    <x v="3"/>
    <x v="24"/>
    <x v="5"/>
    <s v="Price Missing"/>
    <n v="0"/>
  </r>
  <r>
    <s v="ORD00167"/>
    <s v="CUST0281"/>
    <s v="PRD0161"/>
    <n v="5"/>
    <s v="Customer_281"/>
    <x v="6"/>
    <x v="24"/>
    <x v="5"/>
    <s v="Price Missing"/>
    <n v="0"/>
  </r>
  <r>
    <s v="ORD00168"/>
    <s v="CUST0962"/>
    <s v="PRD0182"/>
    <n v="7"/>
    <s v="Customer_962"/>
    <x v="6"/>
    <x v="121"/>
    <x v="3"/>
    <n v="342.65"/>
    <n v="2398.5499999999997"/>
  </r>
  <r>
    <s v="ORD00169"/>
    <s v="CUST0920"/>
    <s v="PRD0444"/>
    <n v="3"/>
    <s v="Customer_920"/>
    <x v="6"/>
    <x v="122"/>
    <x v="3"/>
    <n v="230.56"/>
    <n v="691.68000000000006"/>
  </r>
  <r>
    <s v="ORD00170"/>
    <s v="CUST0481"/>
    <s v="PRD0072"/>
    <n v="1"/>
    <s v="Customer_481"/>
    <x v="4"/>
    <x v="24"/>
    <x v="5"/>
    <s v="Price Missing"/>
    <n v="0"/>
  </r>
  <r>
    <s v="ORD00171"/>
    <s v="CUST0680"/>
    <s v="PRD0207"/>
    <n v="5"/>
    <s v="Customer_680"/>
    <x v="2"/>
    <x v="123"/>
    <x v="3"/>
    <n v="471.46"/>
    <n v="2357.2999999999997"/>
  </r>
  <r>
    <s v="ORD00172"/>
    <s v="CUST0336"/>
    <s v="PRD0481"/>
    <n v="4"/>
    <s v="Customer_336"/>
    <x v="2"/>
    <x v="124"/>
    <x v="2"/>
    <n v="273.72000000000003"/>
    <n v="1094.8800000000001"/>
  </r>
  <r>
    <s v="ORD00173"/>
    <s v="CUST0154"/>
    <s v="PRD0454"/>
    <n v="8"/>
    <s v="Customer Not Found"/>
    <x v="7"/>
    <x v="125"/>
    <x v="1"/>
    <n v="288.83999999999997"/>
    <n v="2310.7199999999998"/>
  </r>
  <r>
    <s v="ORD00174"/>
    <s v="CUST0799"/>
    <s v="PRD0159"/>
    <n v="10"/>
    <s v="Customer_799"/>
    <x v="3"/>
    <x v="24"/>
    <x v="5"/>
    <s v="Price Missing"/>
    <n v="0"/>
  </r>
  <r>
    <s v="ORD00175"/>
    <s v="CUST0462"/>
    <s v="PRD0091"/>
    <n v="4"/>
    <s v="Customer_462"/>
    <x v="5"/>
    <x v="24"/>
    <x v="5"/>
    <s v="Price Missing"/>
    <n v="0"/>
  </r>
  <r>
    <s v="ORD00176"/>
    <s v="CUST0572"/>
    <s v="PRD0089"/>
    <n v="5"/>
    <s v="Customer_572"/>
    <x v="6"/>
    <x v="24"/>
    <x v="5"/>
    <s v="Price Missing"/>
    <n v="0"/>
  </r>
  <r>
    <s v="ORD00177"/>
    <s v="CUST0241"/>
    <s v="PRD0469"/>
    <n v="4"/>
    <s v="Customer_241"/>
    <x v="1"/>
    <x v="114"/>
    <x v="1"/>
    <n v="477.63"/>
    <n v="1910.52"/>
  </r>
  <r>
    <s v="ORD00178"/>
    <s v="CUST0313"/>
    <s v="PRD0476"/>
    <n v="10"/>
    <s v="Customer_313"/>
    <x v="5"/>
    <x v="126"/>
    <x v="0"/>
    <n v="81.8"/>
    <n v="818"/>
  </r>
  <r>
    <s v="ORD00179"/>
    <s v="CUST0495"/>
    <s v="PRD0467"/>
    <n v="3"/>
    <s v="Customer_495"/>
    <x v="2"/>
    <x v="87"/>
    <x v="0"/>
    <n v="279.95999999999998"/>
    <n v="839.87999999999988"/>
  </r>
  <r>
    <s v="ORD00180"/>
    <s v="CUST0868"/>
    <s v="PRD0068"/>
    <n v="9"/>
    <s v="Customer_868"/>
    <x v="0"/>
    <x v="24"/>
    <x v="5"/>
    <s v="Price Missing"/>
    <n v="0"/>
  </r>
  <r>
    <s v="ORD00181"/>
    <s v="CUST0912"/>
    <s v="PRD0213"/>
    <n v="1"/>
    <s v="Customer_912"/>
    <x v="4"/>
    <x v="115"/>
    <x v="2"/>
    <n v="348.44"/>
    <n v="348.44"/>
  </r>
  <r>
    <s v="ORD00182"/>
    <s v="CUST0224"/>
    <s v="PRD0337"/>
    <n v="3"/>
    <s v="Customer_224"/>
    <x v="6"/>
    <x v="107"/>
    <x v="0"/>
    <n v="319.87"/>
    <n v="959.61"/>
  </r>
  <r>
    <s v="ORD00183"/>
    <s v="CUST0341"/>
    <s v="PRD0320"/>
    <n v="7"/>
    <s v="Customer_341"/>
    <x v="6"/>
    <x v="127"/>
    <x v="2"/>
    <n v="161.71"/>
    <n v="1131.97"/>
  </r>
  <r>
    <s v="ORD00184"/>
    <s v="CUST0541"/>
    <s v="PRD0031"/>
    <n v="3"/>
    <s v="Customer_541"/>
    <x v="5"/>
    <x v="24"/>
    <x v="5"/>
    <s v="Price Missing"/>
    <n v="0"/>
  </r>
  <r>
    <s v="ORD00185"/>
    <s v="CUST0992"/>
    <s v="PRD0221"/>
    <n v="6"/>
    <s v="Customer_992"/>
    <x v="2"/>
    <x v="128"/>
    <x v="4"/>
    <n v="380.96"/>
    <n v="2285.7599999999998"/>
  </r>
  <r>
    <s v="ORD00186"/>
    <s v="CUST0957"/>
    <s v="PRD0102"/>
    <n v="8"/>
    <s v="Customer_957"/>
    <x v="1"/>
    <x v="24"/>
    <x v="5"/>
    <s v="Price Missing"/>
    <n v="0"/>
  </r>
  <r>
    <s v="ORD00187"/>
    <s v="CUST0477"/>
    <s v="PRD0110"/>
    <n v="10"/>
    <s v="Customer_477"/>
    <x v="4"/>
    <x v="24"/>
    <x v="5"/>
    <s v="Price Missing"/>
    <n v="0"/>
  </r>
  <r>
    <s v="ORD00188"/>
    <s v="CUST0075"/>
    <s v="PRD0078"/>
    <n v="1"/>
    <s v="Customer Not Found"/>
    <x v="7"/>
    <x v="24"/>
    <x v="5"/>
    <s v="Price Missing"/>
    <n v="0"/>
  </r>
  <r>
    <s v="ORD00189"/>
    <s v="CUST0251"/>
    <s v="PRD0395"/>
    <n v="2"/>
    <s v="Customer_251"/>
    <x v="2"/>
    <x v="129"/>
    <x v="4"/>
    <n v="220.19"/>
    <n v="440.38"/>
  </r>
  <r>
    <s v="ORD00190"/>
    <s v="CUST0979"/>
    <s v="PRD0085"/>
    <n v="1"/>
    <s v="Customer_979"/>
    <x v="4"/>
    <x v="24"/>
    <x v="5"/>
    <s v="Price Missing"/>
    <n v="0"/>
  </r>
  <r>
    <s v="ORD00191"/>
    <s v="CUST0079"/>
    <s v="PRD0470"/>
    <n v="2"/>
    <s v="Customer Not Found"/>
    <x v="7"/>
    <x v="96"/>
    <x v="3"/>
    <n v="127.36"/>
    <n v="254.72"/>
  </r>
  <r>
    <s v="ORD00192"/>
    <s v="CUST0856"/>
    <s v="PRD0300"/>
    <n v="10"/>
    <s v="Customer_856"/>
    <x v="6"/>
    <x v="130"/>
    <x v="0"/>
    <n v="384.48"/>
    <n v="3844.8"/>
  </r>
  <r>
    <s v="ORD00193"/>
    <s v="CUST0538"/>
    <s v="PRD0322"/>
    <n v="4"/>
    <s v="Customer_538"/>
    <x v="0"/>
    <x v="88"/>
    <x v="2"/>
    <n v="14.3"/>
    <n v="57.2"/>
  </r>
  <r>
    <s v="ORD00194"/>
    <s v="CUST0117"/>
    <s v="PRD0172"/>
    <n v="5"/>
    <s v="Customer Not Found"/>
    <x v="7"/>
    <x v="24"/>
    <x v="5"/>
    <s v="Price Missing"/>
    <n v="0"/>
  </r>
  <r>
    <s v="ORD00195"/>
    <s v="CUST0662"/>
    <s v="PRD0309"/>
    <n v="6"/>
    <s v="Customer_662"/>
    <x v="3"/>
    <x v="131"/>
    <x v="2"/>
    <n v="39.409999999999997"/>
    <n v="236.45999999999998"/>
  </r>
  <r>
    <s v="ORD00196"/>
    <s v="CUST0547"/>
    <s v="PRD0470"/>
    <n v="7"/>
    <s v="Customer_547"/>
    <x v="6"/>
    <x v="96"/>
    <x v="3"/>
    <n v="127.36"/>
    <n v="891.52"/>
  </r>
  <r>
    <s v="ORD00197"/>
    <s v="CUST0723"/>
    <s v="PRD0130"/>
    <n v="4"/>
    <s v="Customer_723"/>
    <x v="5"/>
    <x v="24"/>
    <x v="5"/>
    <s v="Price Missing"/>
    <n v="0"/>
  </r>
  <r>
    <s v="ORD00198"/>
    <s v="CUST0197"/>
    <s v="PRD0298"/>
    <n v="7"/>
    <s v="Customer Not Found"/>
    <x v="7"/>
    <x v="36"/>
    <x v="1"/>
    <n v="412.48"/>
    <n v="2887.36"/>
  </r>
  <r>
    <s v="ORD00199"/>
    <s v="CUST0133"/>
    <s v="PRD0332"/>
    <n v="1"/>
    <s v="Customer Not Found"/>
    <x v="7"/>
    <x v="132"/>
    <x v="2"/>
    <n v="441.45"/>
    <n v="441.45"/>
  </r>
  <r>
    <s v="ORD00200"/>
    <s v="CUST0742"/>
    <s v="PRD0361"/>
    <n v="7"/>
    <s v="Customer_742"/>
    <x v="5"/>
    <x v="71"/>
    <x v="3"/>
    <n v="149.83000000000001"/>
    <n v="1048.8100000000002"/>
  </r>
  <r>
    <s v="ORD00201"/>
    <s v="CUST0948"/>
    <s v="PRD0455"/>
    <n v="10"/>
    <s v="Customer_948"/>
    <x v="1"/>
    <x v="133"/>
    <x v="2"/>
    <n v="370.9"/>
    <n v="3709"/>
  </r>
  <r>
    <s v="ORD00202"/>
    <s v="CUST0362"/>
    <s v="PRD0195"/>
    <n v="4"/>
    <s v="Customer_362"/>
    <x v="6"/>
    <x v="24"/>
    <x v="5"/>
    <s v="Price Missing"/>
    <n v="0"/>
  </r>
  <r>
    <s v="ORD00203"/>
    <s v="CUST0261"/>
    <s v="PRD0275"/>
    <n v="2"/>
    <s v="Customer_261"/>
    <x v="5"/>
    <x v="91"/>
    <x v="4"/>
    <n v="472.34"/>
    <n v="944.68"/>
  </r>
  <r>
    <s v="ORD00204"/>
    <s v="CUST0035"/>
    <s v="PRD0461"/>
    <n v="6"/>
    <s v="Customer Not Found"/>
    <x v="7"/>
    <x v="134"/>
    <x v="0"/>
    <n v="371.97"/>
    <n v="2231.8200000000002"/>
  </r>
  <r>
    <s v="ORD00205"/>
    <s v="CUST0962"/>
    <s v="PRD0071"/>
    <n v="6"/>
    <s v="Customer_962"/>
    <x v="6"/>
    <x v="24"/>
    <x v="5"/>
    <s v="Price Missing"/>
    <n v="0"/>
  </r>
  <r>
    <s v="ORD00206"/>
    <s v="CUST0216"/>
    <s v="PRD0452"/>
    <n v="4"/>
    <s v="Customer_216"/>
    <x v="5"/>
    <x v="30"/>
    <x v="3"/>
    <n v="462.53"/>
    <n v="1850.12"/>
  </r>
  <r>
    <s v="ORD00207"/>
    <s v="CUST0171"/>
    <s v="PRD0254"/>
    <n v="7"/>
    <s v="Customer Not Found"/>
    <x v="7"/>
    <x v="1"/>
    <x v="1"/>
    <n v="366"/>
    <n v="2562"/>
  </r>
  <r>
    <s v="ORD00208"/>
    <s v="CUST0967"/>
    <s v="PRD0227"/>
    <n v="3"/>
    <s v="Customer_967"/>
    <x v="2"/>
    <x v="135"/>
    <x v="1"/>
    <n v="14.02"/>
    <n v="42.06"/>
  </r>
  <r>
    <s v="ORD00209"/>
    <s v="CUST0417"/>
    <s v="PRD0144"/>
    <n v="10"/>
    <s v="Customer_417"/>
    <x v="3"/>
    <x v="24"/>
    <x v="5"/>
    <s v="Price Missing"/>
    <n v="0"/>
  </r>
  <r>
    <s v="ORD00210"/>
    <s v="CUST0641"/>
    <s v="PRD0370"/>
    <n v="10"/>
    <s v="Customer_641"/>
    <x v="3"/>
    <x v="136"/>
    <x v="2"/>
    <n v="205.26"/>
    <n v="2052.6"/>
  </r>
  <r>
    <s v="ORD00211"/>
    <s v="CUST0318"/>
    <s v="PRD0204"/>
    <n v="8"/>
    <s v="Customer_318"/>
    <x v="3"/>
    <x v="24"/>
    <x v="5"/>
    <s v="Price Missing"/>
    <n v="0"/>
  </r>
  <r>
    <s v="ORD00212"/>
    <s v="CUST0509"/>
    <s v="PRD0191"/>
    <n v="8"/>
    <s v="Customer_509"/>
    <x v="2"/>
    <x v="24"/>
    <x v="5"/>
    <s v="Price Missing"/>
    <n v="0"/>
  </r>
  <r>
    <s v="ORD00213"/>
    <s v="CUST0888"/>
    <s v="PRD0079"/>
    <n v="2"/>
    <s v="Customer_888"/>
    <x v="5"/>
    <x v="24"/>
    <x v="5"/>
    <s v="Price Missing"/>
    <n v="0"/>
  </r>
  <r>
    <s v="ORD00214"/>
    <s v="CUST0284"/>
    <s v="PRD0336"/>
    <n v="2"/>
    <s v="Customer_284"/>
    <x v="3"/>
    <x v="137"/>
    <x v="4"/>
    <n v="71.55"/>
    <n v="143.1"/>
  </r>
  <r>
    <s v="ORD00215"/>
    <s v="CUST0419"/>
    <s v="PRD0019"/>
    <n v="4"/>
    <s v="Customer_419"/>
    <x v="0"/>
    <x v="24"/>
    <x v="5"/>
    <s v="Price Missing"/>
    <n v="0"/>
  </r>
  <r>
    <s v="ORD00216"/>
    <s v="CUST0403"/>
    <s v="PRD0220"/>
    <n v="5"/>
    <s v="Customer_403"/>
    <x v="6"/>
    <x v="20"/>
    <x v="4"/>
    <n v="82.11"/>
    <n v="410.55"/>
  </r>
  <r>
    <s v="ORD00217"/>
    <s v="CUST0781"/>
    <s v="PRD0285"/>
    <n v="7"/>
    <s v="Customer_781"/>
    <x v="0"/>
    <x v="138"/>
    <x v="1"/>
    <n v="222.09"/>
    <n v="1554.63"/>
  </r>
  <r>
    <s v="ORD00218"/>
    <s v="CUST0304"/>
    <s v="PRD0255"/>
    <n v="1"/>
    <s v="Customer_304"/>
    <x v="5"/>
    <x v="139"/>
    <x v="2"/>
    <n v="186.57"/>
    <n v="186.57"/>
  </r>
  <r>
    <s v="ORD00219"/>
    <s v="CUST0226"/>
    <s v="PRD0231"/>
    <n v="7"/>
    <s v="Customer_226"/>
    <x v="1"/>
    <x v="75"/>
    <x v="3"/>
    <n v="337.23"/>
    <n v="2360.61"/>
  </r>
  <r>
    <s v="ORD00220"/>
    <s v="CUST0057"/>
    <s v="PRD0092"/>
    <n v="8"/>
    <s v="Customer Not Found"/>
    <x v="7"/>
    <x v="24"/>
    <x v="5"/>
    <s v="Price Missing"/>
    <n v="0"/>
  </r>
  <r>
    <s v="ORD00221"/>
    <s v="CUST0225"/>
    <s v="PRD0199"/>
    <n v="7"/>
    <s v="Customer_225"/>
    <x v="6"/>
    <x v="24"/>
    <x v="5"/>
    <s v="Price Missing"/>
    <n v="0"/>
  </r>
  <r>
    <s v="ORD00222"/>
    <s v="CUST0101"/>
    <s v="PRD0429"/>
    <n v="6"/>
    <s v="Customer Not Found"/>
    <x v="7"/>
    <x v="140"/>
    <x v="4"/>
    <n v="269.12"/>
    <n v="1614.72"/>
  </r>
  <r>
    <s v="ORD00223"/>
    <s v="CUST0899"/>
    <s v="PRD0222"/>
    <n v="3"/>
    <s v="Customer_899"/>
    <x v="3"/>
    <x v="24"/>
    <x v="5"/>
    <s v="Price Missing"/>
    <n v="0"/>
  </r>
  <r>
    <s v="ORD00224"/>
    <s v="CUST0658"/>
    <s v="PRD0273"/>
    <n v="4"/>
    <s v="Customer_658"/>
    <x v="4"/>
    <x v="141"/>
    <x v="4"/>
    <n v="81.459999999999994"/>
    <n v="325.83999999999997"/>
  </r>
  <r>
    <s v="ORD00225"/>
    <s v="CUST0102"/>
    <s v="PRD0176"/>
    <n v="4"/>
    <s v="Customer Not Found"/>
    <x v="7"/>
    <x v="24"/>
    <x v="5"/>
    <s v="Price Missing"/>
    <n v="0"/>
  </r>
  <r>
    <s v="ORD00226"/>
    <s v="CUST0969"/>
    <s v="PRD0419"/>
    <n v="2"/>
    <s v="Customer_969"/>
    <x v="5"/>
    <x v="62"/>
    <x v="0"/>
    <n v="34.869999999999997"/>
    <n v="69.739999999999995"/>
  </r>
  <r>
    <s v="ORD00227"/>
    <s v="CUST0891"/>
    <s v="PRD0008"/>
    <n v="2"/>
    <s v="Customer_891"/>
    <x v="4"/>
    <x v="24"/>
    <x v="5"/>
    <s v="Price Missing"/>
    <n v="0"/>
  </r>
  <r>
    <s v="ORD00228"/>
    <s v="CUST0095"/>
    <s v="PRD0275"/>
    <n v="1"/>
    <s v="Customer Not Found"/>
    <x v="7"/>
    <x v="91"/>
    <x v="4"/>
    <n v="472.34"/>
    <n v="472.34"/>
  </r>
  <r>
    <s v="ORD00229"/>
    <s v="CUST0116"/>
    <s v="PRD0073"/>
    <n v="10"/>
    <s v="Customer Not Found"/>
    <x v="7"/>
    <x v="24"/>
    <x v="5"/>
    <s v="Price Missing"/>
    <n v="0"/>
  </r>
  <r>
    <s v="ORD00230"/>
    <s v="CUST0822"/>
    <s v="PRD0411"/>
    <n v="6"/>
    <s v="Customer_822"/>
    <x v="0"/>
    <x v="142"/>
    <x v="3"/>
    <n v="325.14"/>
    <n v="1950.84"/>
  </r>
  <r>
    <s v="ORD00231"/>
    <s v="CUST0165"/>
    <s v="PRD0046"/>
    <n v="4"/>
    <s v="Customer Not Found"/>
    <x v="7"/>
    <x v="24"/>
    <x v="5"/>
    <s v="Price Missing"/>
    <n v="0"/>
  </r>
  <r>
    <s v="ORD00232"/>
    <s v="CUST0920"/>
    <s v="PRD0318"/>
    <n v="1"/>
    <s v="Customer_920"/>
    <x v="6"/>
    <x v="143"/>
    <x v="1"/>
    <n v="272.77999999999997"/>
    <n v="272.77999999999997"/>
  </r>
  <r>
    <s v="ORD00233"/>
    <s v="CUST0519"/>
    <s v="PRD0371"/>
    <n v="8"/>
    <s v="Customer_519"/>
    <x v="1"/>
    <x v="144"/>
    <x v="4"/>
    <n v="160.24"/>
    <n v="1281.92"/>
  </r>
  <r>
    <s v="ORD00234"/>
    <s v="CUST0862"/>
    <s v="PRD0023"/>
    <n v="4"/>
    <s v="Customer_862"/>
    <x v="1"/>
    <x v="24"/>
    <x v="5"/>
    <s v="Price Missing"/>
    <n v="0"/>
  </r>
  <r>
    <s v="ORD00235"/>
    <s v="CUST0557"/>
    <s v="PRD0318"/>
    <n v="7"/>
    <s v="Customer_557"/>
    <x v="5"/>
    <x v="143"/>
    <x v="1"/>
    <n v="272.77999999999997"/>
    <n v="1909.4599999999998"/>
  </r>
  <r>
    <s v="ORD00236"/>
    <s v="CUST0022"/>
    <s v="PRD0162"/>
    <n v="4"/>
    <s v="Customer Not Found"/>
    <x v="7"/>
    <x v="24"/>
    <x v="5"/>
    <s v="Price Missing"/>
    <n v="0"/>
  </r>
  <r>
    <s v="ORD00237"/>
    <s v="CUST0150"/>
    <s v="PRD0269"/>
    <n v="3"/>
    <s v="Customer Not Found"/>
    <x v="7"/>
    <x v="145"/>
    <x v="3"/>
    <n v="51.25"/>
    <n v="153.75"/>
  </r>
  <r>
    <s v="ORD00238"/>
    <s v="CUST0772"/>
    <s v="PRD0075"/>
    <n v="10"/>
    <s v="Customer_772"/>
    <x v="6"/>
    <x v="24"/>
    <x v="5"/>
    <s v="Price Missing"/>
    <n v="0"/>
  </r>
  <r>
    <s v="ORD00239"/>
    <s v="CUST0230"/>
    <s v="PRD0373"/>
    <n v="2"/>
    <s v="Customer Not Found"/>
    <x v="7"/>
    <x v="112"/>
    <x v="0"/>
    <n v="333.99"/>
    <n v="667.98"/>
  </r>
  <r>
    <s v="ORD00240"/>
    <s v="CUST0822"/>
    <s v="PRD0474"/>
    <n v="2"/>
    <s v="Customer_822"/>
    <x v="0"/>
    <x v="146"/>
    <x v="3"/>
    <n v="456.62"/>
    <n v="913.24"/>
  </r>
  <r>
    <s v="ORD00241"/>
    <s v="CUST0237"/>
    <s v="PRD0338"/>
    <n v="6"/>
    <s v="Customer Not Found"/>
    <x v="7"/>
    <x v="19"/>
    <x v="1"/>
    <n v="491.06"/>
    <n v="2946.36"/>
  </r>
  <r>
    <s v="ORD00242"/>
    <s v="CUST0913"/>
    <s v="PRD0206"/>
    <n v="7"/>
    <s v="Customer_913"/>
    <x v="0"/>
    <x v="24"/>
    <x v="5"/>
    <s v="Price Missing"/>
    <n v="0"/>
  </r>
  <r>
    <s v="ORD00243"/>
    <s v="CUST0023"/>
    <s v="PRD0497"/>
    <n v="10"/>
    <s v="Customer Not Found"/>
    <x v="7"/>
    <x v="147"/>
    <x v="4"/>
    <n v="414.31"/>
    <n v="4143.1000000000004"/>
  </r>
  <r>
    <s v="ORD00244"/>
    <s v="CUST0331"/>
    <s v="PRD0255"/>
    <n v="5"/>
    <s v="Customer_331"/>
    <x v="0"/>
    <x v="139"/>
    <x v="2"/>
    <n v="186.57"/>
    <n v="932.84999999999991"/>
  </r>
  <r>
    <s v="ORD00245"/>
    <s v="CUST0533"/>
    <s v="PRD0050"/>
    <n v="9"/>
    <s v="Customer_533"/>
    <x v="2"/>
    <x v="24"/>
    <x v="5"/>
    <s v="Price Missing"/>
    <n v="0"/>
  </r>
  <r>
    <s v="ORD00246"/>
    <s v="CUST0702"/>
    <s v="PRD0040"/>
    <n v="8"/>
    <s v="Customer_702"/>
    <x v="6"/>
    <x v="24"/>
    <x v="5"/>
    <s v="Price Missing"/>
    <n v="0"/>
  </r>
  <r>
    <s v="ORD00247"/>
    <s v="CUST0922"/>
    <s v="PRD0223"/>
    <n v="4"/>
    <s v="Customer_922"/>
    <x v="5"/>
    <x v="24"/>
    <x v="5"/>
    <s v="Price Missing"/>
    <n v="0"/>
  </r>
  <r>
    <s v="ORD00248"/>
    <s v="CUST0610"/>
    <s v="PRD0348"/>
    <n v="6"/>
    <s v="Customer_610"/>
    <x v="1"/>
    <x v="101"/>
    <x v="4"/>
    <n v="37.74"/>
    <n v="226.44"/>
  </r>
  <r>
    <s v="ORD00249"/>
    <s v="CUST0827"/>
    <s v="PRD0469"/>
    <n v="2"/>
    <s v="Customer_827"/>
    <x v="2"/>
    <x v="114"/>
    <x v="1"/>
    <n v="477.63"/>
    <n v="955.26"/>
  </r>
  <r>
    <s v="ORD00250"/>
    <s v="CUST0118"/>
    <s v="PRD0294"/>
    <n v="1"/>
    <s v="Customer Not Found"/>
    <x v="7"/>
    <x v="148"/>
    <x v="2"/>
    <n v="346.85"/>
    <n v="346.85"/>
  </r>
  <r>
    <s v="ORD00251"/>
    <s v="CUST0627"/>
    <s v="PRD0041"/>
    <n v="10"/>
    <s v="Customer_627"/>
    <x v="3"/>
    <x v="24"/>
    <x v="5"/>
    <s v="Price Missing"/>
    <n v="0"/>
  </r>
  <r>
    <s v="ORD00252"/>
    <s v="CUST0758"/>
    <s v="PRD0265"/>
    <n v="3"/>
    <s v="Customer_758"/>
    <x v="3"/>
    <x v="149"/>
    <x v="2"/>
    <n v="300.54000000000002"/>
    <n v="901.62000000000012"/>
  </r>
  <r>
    <s v="ORD00253"/>
    <s v="CUST0859"/>
    <s v="PRD0320"/>
    <n v="5"/>
    <s v="Customer_859"/>
    <x v="3"/>
    <x v="127"/>
    <x v="2"/>
    <n v="161.71"/>
    <n v="808.55000000000007"/>
  </r>
  <r>
    <s v="ORD00254"/>
    <s v="CUST0831"/>
    <s v="PRD0483"/>
    <n v="5"/>
    <s v="Customer_831"/>
    <x v="6"/>
    <x v="150"/>
    <x v="4"/>
    <n v="284.79000000000002"/>
    <n v="1423.95"/>
  </r>
  <r>
    <s v="ORD00255"/>
    <s v="CUST0818"/>
    <s v="PRD0320"/>
    <n v="5"/>
    <s v="Customer_818"/>
    <x v="2"/>
    <x v="127"/>
    <x v="2"/>
    <n v="161.71"/>
    <n v="808.55000000000007"/>
  </r>
  <r>
    <s v="ORD00256"/>
    <s v="CUST0253"/>
    <s v="PRD0058"/>
    <n v="7"/>
    <s v="Customer Not Found"/>
    <x v="7"/>
    <x v="24"/>
    <x v="5"/>
    <s v="Price Missing"/>
    <n v="0"/>
  </r>
  <r>
    <s v="ORD00257"/>
    <s v="CUST0565"/>
    <s v="PRD0046"/>
    <n v="1"/>
    <s v="Customer_565"/>
    <x v="5"/>
    <x v="24"/>
    <x v="5"/>
    <s v="Price Missing"/>
    <n v="0"/>
  </r>
  <r>
    <s v="ORD00258"/>
    <s v="CUST0811"/>
    <s v="PRD0486"/>
    <n v="5"/>
    <s v="Customer_811"/>
    <x v="0"/>
    <x v="151"/>
    <x v="4"/>
    <n v="368.74"/>
    <n v="1843.7"/>
  </r>
  <r>
    <s v="ORD00259"/>
    <s v="CUST0720"/>
    <s v="PRD0152"/>
    <n v="6"/>
    <s v="Customer_720"/>
    <x v="0"/>
    <x v="24"/>
    <x v="5"/>
    <s v="Price Missing"/>
    <n v="0"/>
  </r>
  <r>
    <s v="ORD00260"/>
    <s v="CUST0016"/>
    <s v="PRD0098"/>
    <n v="5"/>
    <s v="Customer Not Found"/>
    <x v="7"/>
    <x v="24"/>
    <x v="5"/>
    <s v="Price Missing"/>
    <n v="0"/>
  </r>
  <r>
    <s v="ORD00261"/>
    <s v="CUST0322"/>
    <s v="PRD0388"/>
    <n v="7"/>
    <s v="Customer_322"/>
    <x v="3"/>
    <x v="152"/>
    <x v="4"/>
    <n v="167.04"/>
    <n v="1169.28"/>
  </r>
  <r>
    <s v="ORD00262"/>
    <s v="CUST0934"/>
    <s v="PRD0238"/>
    <n v="7"/>
    <s v="Customer_934"/>
    <x v="0"/>
    <x v="24"/>
    <x v="5"/>
    <s v="Price Missing"/>
    <n v="0"/>
  </r>
  <r>
    <s v="ORD00263"/>
    <s v="CUST0496"/>
    <s v="PRD0264"/>
    <n v="4"/>
    <s v="Customer_496"/>
    <x v="4"/>
    <x v="153"/>
    <x v="4"/>
    <n v="287.17"/>
    <n v="1148.68"/>
  </r>
  <r>
    <s v="ORD00264"/>
    <s v="CUST0245"/>
    <s v="PRD0051"/>
    <n v="9"/>
    <s v="Customer Not Found"/>
    <x v="7"/>
    <x v="24"/>
    <x v="5"/>
    <s v="Price Missing"/>
    <n v="0"/>
  </r>
  <r>
    <s v="ORD00265"/>
    <s v="CUST0940"/>
    <s v="PRD0061"/>
    <n v="4"/>
    <s v="Customer_940"/>
    <x v="1"/>
    <x v="24"/>
    <x v="5"/>
    <s v="Price Missing"/>
    <n v="0"/>
  </r>
  <r>
    <s v="ORD00266"/>
    <s v="CUST0245"/>
    <s v="PRD0130"/>
    <n v="10"/>
    <s v="Customer Not Found"/>
    <x v="7"/>
    <x v="24"/>
    <x v="5"/>
    <s v="Price Missing"/>
    <n v="0"/>
  </r>
  <r>
    <s v="ORD00267"/>
    <s v="CUST0807"/>
    <s v="PRD0306"/>
    <n v="3"/>
    <s v="Customer_807"/>
    <x v="4"/>
    <x v="154"/>
    <x v="3"/>
    <n v="181.6"/>
    <n v="544.79999999999995"/>
  </r>
  <r>
    <s v="ORD00268"/>
    <s v="CUST0308"/>
    <s v="PRD0099"/>
    <n v="1"/>
    <s v="Customer_308"/>
    <x v="4"/>
    <x v="24"/>
    <x v="5"/>
    <s v="Price Missing"/>
    <n v="0"/>
  </r>
  <r>
    <s v="ORD00269"/>
    <s v="CUST0593"/>
    <s v="PRD0058"/>
    <n v="4"/>
    <s v="Customer_593"/>
    <x v="0"/>
    <x v="24"/>
    <x v="5"/>
    <s v="Price Missing"/>
    <n v="0"/>
  </r>
  <r>
    <s v="ORD00270"/>
    <s v="CUST0659"/>
    <s v="PRD0319"/>
    <n v="4"/>
    <s v="Customer_659"/>
    <x v="4"/>
    <x v="97"/>
    <x v="2"/>
    <n v="370.98"/>
    <n v="1483.92"/>
  </r>
  <r>
    <s v="ORD00271"/>
    <s v="CUST0744"/>
    <s v="PRD0411"/>
    <n v="1"/>
    <s v="Customer_744"/>
    <x v="5"/>
    <x v="142"/>
    <x v="3"/>
    <n v="325.14"/>
    <n v="325.14"/>
  </r>
  <r>
    <s v="ORD00272"/>
    <s v="CUST0104"/>
    <s v="PRD0369"/>
    <n v="3"/>
    <s v="Customer Not Found"/>
    <x v="7"/>
    <x v="155"/>
    <x v="1"/>
    <n v="330.56"/>
    <n v="991.68000000000006"/>
  </r>
  <r>
    <s v="ORD00273"/>
    <s v="CUST0184"/>
    <s v="PRD0006"/>
    <n v="9"/>
    <s v="Customer Not Found"/>
    <x v="7"/>
    <x v="24"/>
    <x v="5"/>
    <s v="Price Missing"/>
    <n v="0"/>
  </r>
  <r>
    <s v="ORD00274"/>
    <s v="CUST0741"/>
    <s v="PRD0214"/>
    <n v="4"/>
    <s v="Customer_741"/>
    <x v="6"/>
    <x v="24"/>
    <x v="5"/>
    <s v="Price Missing"/>
    <n v="0"/>
  </r>
  <r>
    <s v="ORD00275"/>
    <s v="CUST0672"/>
    <s v="PRD0197"/>
    <n v="3"/>
    <s v="Customer_672"/>
    <x v="6"/>
    <x v="24"/>
    <x v="5"/>
    <s v="Price Missing"/>
    <n v="0"/>
  </r>
  <r>
    <s v="ORD00276"/>
    <s v="CUST0479"/>
    <s v="PRD0211"/>
    <n v="10"/>
    <s v="Customer_479"/>
    <x v="1"/>
    <x v="24"/>
    <x v="5"/>
    <s v="Price Missing"/>
    <n v="0"/>
  </r>
  <r>
    <s v="ORD00277"/>
    <s v="CUST0542"/>
    <s v="PRD0322"/>
    <n v="9"/>
    <s v="Customer_542"/>
    <x v="6"/>
    <x v="88"/>
    <x v="2"/>
    <n v="14.3"/>
    <n v="128.70000000000002"/>
  </r>
  <r>
    <s v="ORD00278"/>
    <s v="CUST0643"/>
    <s v="PRD0197"/>
    <n v="7"/>
    <s v="Customer_643"/>
    <x v="2"/>
    <x v="24"/>
    <x v="5"/>
    <s v="Price Missing"/>
    <n v="0"/>
  </r>
  <r>
    <s v="ORD00279"/>
    <s v="CUST0384"/>
    <s v="PRD0358"/>
    <n v="4"/>
    <s v="Customer_384"/>
    <x v="0"/>
    <x v="46"/>
    <x v="3"/>
    <n v="242.48"/>
    <n v="969.92"/>
  </r>
  <r>
    <s v="ORD00280"/>
    <s v="CUST0899"/>
    <s v="PRD0500"/>
    <n v="7"/>
    <s v="Customer_899"/>
    <x v="3"/>
    <x v="156"/>
    <x v="3"/>
    <n v="22.78"/>
    <n v="159.46"/>
  </r>
  <r>
    <s v="ORD00281"/>
    <s v="CUST0232"/>
    <s v="PRD0369"/>
    <n v="6"/>
    <s v="Customer Not Found"/>
    <x v="7"/>
    <x v="155"/>
    <x v="1"/>
    <n v="330.56"/>
    <n v="1983.3600000000001"/>
  </r>
  <r>
    <s v="ORD00282"/>
    <s v="CUST0529"/>
    <s v="PRD0482"/>
    <n v="7"/>
    <s v="Customer_529"/>
    <x v="6"/>
    <x v="157"/>
    <x v="2"/>
    <n v="313.66000000000003"/>
    <n v="2195.6200000000003"/>
  </r>
  <r>
    <s v="ORD00283"/>
    <s v="CUST0664"/>
    <s v="PRD0371"/>
    <n v="6"/>
    <s v="Customer_664"/>
    <x v="0"/>
    <x v="144"/>
    <x v="4"/>
    <n v="160.24"/>
    <n v="961.44"/>
  </r>
  <r>
    <s v="ORD00284"/>
    <s v="CUST0445"/>
    <s v="PRD0115"/>
    <n v="6"/>
    <s v="Customer_445"/>
    <x v="5"/>
    <x v="24"/>
    <x v="5"/>
    <s v="Price Missing"/>
    <n v="0"/>
  </r>
  <r>
    <s v="ORD00285"/>
    <s v="CUST0563"/>
    <s v="PRD0060"/>
    <n v="7"/>
    <s v="Customer_563"/>
    <x v="0"/>
    <x v="24"/>
    <x v="5"/>
    <s v="Price Missing"/>
    <n v="0"/>
  </r>
  <r>
    <s v="ORD00286"/>
    <s v="CUST0064"/>
    <s v="PRD0118"/>
    <n v="5"/>
    <s v="Customer Not Found"/>
    <x v="7"/>
    <x v="24"/>
    <x v="5"/>
    <s v="Price Missing"/>
    <n v="0"/>
  </r>
  <r>
    <s v="ORD00287"/>
    <s v="CUST0516"/>
    <s v="PRD0451"/>
    <n v="1"/>
    <s v="Customer_516"/>
    <x v="1"/>
    <x v="52"/>
    <x v="3"/>
    <n v="399.91"/>
    <n v="399.91"/>
  </r>
  <r>
    <s v="ORD00288"/>
    <s v="CUST0292"/>
    <s v="PRD0325"/>
    <n v="10"/>
    <s v="Customer_292"/>
    <x v="3"/>
    <x v="158"/>
    <x v="1"/>
    <n v="428.04"/>
    <n v="4280.4000000000005"/>
  </r>
  <r>
    <s v="ORD00289"/>
    <s v="CUST0637"/>
    <s v="PRD0368"/>
    <n v="7"/>
    <s v="Customer_637"/>
    <x v="3"/>
    <x v="56"/>
    <x v="1"/>
    <n v="469.99"/>
    <n v="3289.9300000000003"/>
  </r>
  <r>
    <s v="ORD00290"/>
    <s v="CUST0519"/>
    <s v="PRD0426"/>
    <n v="3"/>
    <s v="Customer_519"/>
    <x v="1"/>
    <x v="159"/>
    <x v="2"/>
    <n v="114.92"/>
    <n v="344.76"/>
  </r>
  <r>
    <s v="ORD00291"/>
    <s v="CUST0092"/>
    <s v="PRD0394"/>
    <n v="8"/>
    <s v="Customer Not Found"/>
    <x v="7"/>
    <x v="160"/>
    <x v="3"/>
    <n v="146.80000000000001"/>
    <n v="1174.4000000000001"/>
  </r>
  <r>
    <s v="ORD00292"/>
    <s v="CUST0618"/>
    <s v="PRD0190"/>
    <n v="9"/>
    <s v="Customer_618"/>
    <x v="4"/>
    <x v="24"/>
    <x v="5"/>
    <s v="Price Missing"/>
    <n v="0"/>
  </r>
  <r>
    <s v="ORD00293"/>
    <s v="CUST0117"/>
    <s v="PRD0301"/>
    <n v="5"/>
    <s v="Customer Not Found"/>
    <x v="7"/>
    <x v="161"/>
    <x v="4"/>
    <n v="369.34"/>
    <n v="1846.6999999999998"/>
  </r>
  <r>
    <s v="ORD00294"/>
    <s v="CUST0559"/>
    <s v="PRD0358"/>
    <n v="7"/>
    <s v="Customer_559"/>
    <x v="4"/>
    <x v="46"/>
    <x v="3"/>
    <n v="242.48"/>
    <n v="1697.36"/>
  </r>
  <r>
    <s v="ORD00295"/>
    <s v="CUST0682"/>
    <s v="PRD0202"/>
    <n v="2"/>
    <s v="Customer_682"/>
    <x v="2"/>
    <x v="24"/>
    <x v="5"/>
    <s v="Price Missing"/>
    <n v="0"/>
  </r>
  <r>
    <s v="ORD00296"/>
    <s v="CUST0511"/>
    <s v="PRD0090"/>
    <n v="5"/>
    <s v="Customer_511"/>
    <x v="3"/>
    <x v="24"/>
    <x v="5"/>
    <s v="Price Missing"/>
    <n v="0"/>
  </r>
  <r>
    <s v="ORD00297"/>
    <s v="CUST0037"/>
    <s v="PRD0226"/>
    <n v="4"/>
    <s v="Customer Not Found"/>
    <x v="7"/>
    <x v="24"/>
    <x v="5"/>
    <s v="Price Missing"/>
    <n v="0"/>
  </r>
  <r>
    <s v="ORD00298"/>
    <s v="CUST0305"/>
    <s v="PRD0171"/>
    <n v="4"/>
    <s v="Customer_305"/>
    <x v="1"/>
    <x v="24"/>
    <x v="5"/>
    <s v="Price Missing"/>
    <n v="0"/>
  </r>
  <r>
    <s v="ORD00299"/>
    <s v="CUST0708"/>
    <s v="PRD0288"/>
    <n v="7"/>
    <s v="Customer_708"/>
    <x v="4"/>
    <x v="24"/>
    <x v="5"/>
    <s v="Price Missing"/>
    <n v="0"/>
  </r>
  <r>
    <s v="ORD00300"/>
    <s v="CUST0251"/>
    <s v="PRD0245"/>
    <n v="5"/>
    <s v="Customer Not Found"/>
    <x v="7"/>
    <x v="24"/>
    <x v="5"/>
    <s v="Price Missing"/>
    <n v="0"/>
  </r>
  <r>
    <s v="ORD00301"/>
    <s v="CUST0321"/>
    <s v="PRD0342"/>
    <n v="5"/>
    <s v="Customer_321"/>
    <x v="6"/>
    <x v="162"/>
    <x v="1"/>
    <n v="79.48"/>
    <n v="397.40000000000003"/>
  </r>
  <r>
    <s v="ORD00302"/>
    <s v="CUST0106"/>
    <s v="PRD0383"/>
    <n v="7"/>
    <s v="Customer Not Found"/>
    <x v="7"/>
    <x v="163"/>
    <x v="2"/>
    <n v="177.98"/>
    <n v="1245.8599999999999"/>
  </r>
  <r>
    <s v="ORD00303"/>
    <s v="CUST0103"/>
    <s v="PRD0446"/>
    <n v="5"/>
    <s v="Customer Not Found"/>
    <x v="7"/>
    <x v="164"/>
    <x v="3"/>
    <n v="92.46"/>
    <n v="462.29999999999995"/>
  </r>
  <r>
    <s v="ORD00304"/>
    <s v="CUST0736"/>
    <s v="PRD0356"/>
    <n v="4"/>
    <s v="Customer_736"/>
    <x v="0"/>
    <x v="165"/>
    <x v="2"/>
    <n v="177.09"/>
    <n v="708.36"/>
  </r>
  <r>
    <s v="ORD00305"/>
    <s v="CUST0298"/>
    <s v="PRD0100"/>
    <n v="10"/>
    <s v="Customer Not Found"/>
    <x v="7"/>
    <x v="24"/>
    <x v="5"/>
    <s v="Price Missing"/>
    <n v="0"/>
  </r>
  <r>
    <s v="ORD00306"/>
    <s v="CUST0152"/>
    <s v="PRD0083"/>
    <n v="7"/>
    <s v="Customer Not Found"/>
    <x v="7"/>
    <x v="24"/>
    <x v="5"/>
    <s v="Price Missing"/>
    <n v="0"/>
  </r>
  <r>
    <s v="ORD00307"/>
    <s v="CUST0032"/>
    <s v="PRD0118"/>
    <n v="4"/>
    <s v="Customer Not Found"/>
    <x v="7"/>
    <x v="24"/>
    <x v="5"/>
    <s v="Price Missing"/>
    <n v="0"/>
  </r>
  <r>
    <s v="ORD00308"/>
    <s v="CUST0498"/>
    <s v="PRD0041"/>
    <n v="3"/>
    <s v="Customer_498"/>
    <x v="1"/>
    <x v="24"/>
    <x v="5"/>
    <s v="Price Missing"/>
    <n v="0"/>
  </r>
  <r>
    <s v="ORD00309"/>
    <s v="CUST0327"/>
    <s v="PRD0383"/>
    <n v="6"/>
    <s v="Customer_327"/>
    <x v="1"/>
    <x v="163"/>
    <x v="2"/>
    <n v="177.98"/>
    <n v="1067.8799999999999"/>
  </r>
  <r>
    <s v="ORD00310"/>
    <s v="CUST0823"/>
    <s v="PRD0165"/>
    <n v="1"/>
    <s v="Customer_823"/>
    <x v="4"/>
    <x v="24"/>
    <x v="5"/>
    <s v="Price Missing"/>
    <n v="0"/>
  </r>
  <r>
    <s v="ORD00311"/>
    <s v="CUST0226"/>
    <s v="PRD0397"/>
    <n v="5"/>
    <s v="Customer Not Found"/>
    <x v="7"/>
    <x v="166"/>
    <x v="3"/>
    <n v="449.14"/>
    <n v="2245.6999999999998"/>
  </r>
  <r>
    <s v="ORD00312"/>
    <s v="CUST0219"/>
    <s v="PRD0465"/>
    <n v="5"/>
    <s v="Customer Not Found"/>
    <x v="7"/>
    <x v="59"/>
    <x v="3"/>
    <n v="82.99"/>
    <n v="414.95"/>
  </r>
  <r>
    <s v="ORD00313"/>
    <s v="CUST0535"/>
    <s v="PRD0330"/>
    <n v="6"/>
    <s v="Customer_535"/>
    <x v="6"/>
    <x v="49"/>
    <x v="2"/>
    <n v="18.88"/>
    <n v="113.28"/>
  </r>
  <r>
    <s v="ORD00314"/>
    <s v="CUST0520"/>
    <s v="PRD0050"/>
    <n v="6"/>
    <s v="Customer_520"/>
    <x v="0"/>
    <x v="24"/>
    <x v="5"/>
    <s v="Price Missing"/>
    <n v="0"/>
  </r>
  <r>
    <s v="ORD00315"/>
    <s v="CUST0385"/>
    <s v="PRD0496"/>
    <n v="7"/>
    <s v="Customer_385"/>
    <x v="1"/>
    <x v="167"/>
    <x v="2"/>
    <n v="233.39"/>
    <n v="1633.73"/>
  </r>
  <r>
    <s v="ORD00316"/>
    <s v="CUST0670"/>
    <s v="PRD0094"/>
    <n v="2"/>
    <s v="Customer_670"/>
    <x v="0"/>
    <x v="24"/>
    <x v="5"/>
    <s v="Price Missing"/>
    <n v="0"/>
  </r>
  <r>
    <s v="ORD00317"/>
    <s v="CUST0254"/>
    <s v="PRD0418"/>
    <n v="5"/>
    <s v="Customer Not Found"/>
    <x v="7"/>
    <x v="168"/>
    <x v="1"/>
    <n v="106.33"/>
    <n v="531.65"/>
  </r>
  <r>
    <s v="ORD00318"/>
    <s v="CUST0357"/>
    <s v="PRD0082"/>
    <n v="1"/>
    <s v="Customer_357"/>
    <x v="0"/>
    <x v="24"/>
    <x v="5"/>
    <s v="Price Missing"/>
    <n v="0"/>
  </r>
  <r>
    <s v="ORD00319"/>
    <s v="CUST0635"/>
    <s v="PRD0083"/>
    <n v="10"/>
    <s v="Customer_635"/>
    <x v="4"/>
    <x v="24"/>
    <x v="5"/>
    <s v="Price Missing"/>
    <n v="0"/>
  </r>
  <r>
    <s v="ORD00320"/>
    <s v="CUST0990"/>
    <s v="PRD0050"/>
    <n v="1"/>
    <s v="Customer_990"/>
    <x v="0"/>
    <x v="24"/>
    <x v="5"/>
    <s v="Price Missing"/>
    <n v="0"/>
  </r>
  <r>
    <s v="ORD00321"/>
    <s v="CUST0360"/>
    <s v="PRD0393"/>
    <n v="9"/>
    <s v="Customer_360"/>
    <x v="0"/>
    <x v="169"/>
    <x v="4"/>
    <n v="478.11"/>
    <n v="4302.99"/>
  </r>
  <r>
    <s v="ORD00322"/>
    <s v="CUST0031"/>
    <s v="PRD0410"/>
    <n v="8"/>
    <s v="Customer Not Found"/>
    <x v="7"/>
    <x v="170"/>
    <x v="4"/>
    <n v="375.9"/>
    <n v="3007.2"/>
  </r>
  <r>
    <s v="ORD00323"/>
    <s v="CUST0805"/>
    <s v="PRD0150"/>
    <n v="10"/>
    <s v="Customer_805"/>
    <x v="2"/>
    <x v="24"/>
    <x v="5"/>
    <s v="Price Missing"/>
    <n v="0"/>
  </r>
  <r>
    <s v="ORD00324"/>
    <s v="CUST0282"/>
    <s v="PRD0488"/>
    <n v="10"/>
    <s v="Customer Not Found"/>
    <x v="7"/>
    <x v="171"/>
    <x v="4"/>
    <n v="401.33"/>
    <n v="4013.2999999999997"/>
  </r>
  <r>
    <s v="ORD00325"/>
    <s v="CUST0466"/>
    <s v="PRD0032"/>
    <n v="3"/>
    <s v="Customer_466"/>
    <x v="3"/>
    <x v="24"/>
    <x v="5"/>
    <s v="Price Missing"/>
    <n v="0"/>
  </r>
  <r>
    <s v="ORD00326"/>
    <s v="CUST0906"/>
    <s v="PRD0214"/>
    <n v="9"/>
    <s v="Customer_906"/>
    <x v="5"/>
    <x v="24"/>
    <x v="5"/>
    <s v="Price Missing"/>
    <n v="0"/>
  </r>
  <r>
    <s v="ORD00327"/>
    <s v="CUST0803"/>
    <s v="PRD0492"/>
    <n v="4"/>
    <s v="Customer_803"/>
    <x v="6"/>
    <x v="66"/>
    <x v="4"/>
    <n v="390.12"/>
    <n v="1560.48"/>
  </r>
  <r>
    <s v="ORD00328"/>
    <s v="CUST0986"/>
    <s v="PRD0396"/>
    <n v="9"/>
    <s v="Customer_986"/>
    <x v="0"/>
    <x v="172"/>
    <x v="1"/>
    <n v="379.82"/>
    <n v="3418.38"/>
  </r>
  <r>
    <s v="ORD00329"/>
    <s v="CUST0076"/>
    <s v="PRD0143"/>
    <n v="8"/>
    <s v="Customer Not Found"/>
    <x v="7"/>
    <x v="24"/>
    <x v="5"/>
    <s v="Price Missing"/>
    <n v="0"/>
  </r>
  <r>
    <s v="ORD00330"/>
    <s v="CUST0627"/>
    <s v="PRD0312"/>
    <n v="9"/>
    <s v="Customer_627"/>
    <x v="3"/>
    <x v="24"/>
    <x v="5"/>
    <s v="Price Missing"/>
    <n v="0"/>
  </r>
  <r>
    <s v="ORD00331"/>
    <s v="CUST0073"/>
    <s v="PRD0014"/>
    <n v="8"/>
    <s v="Customer Not Found"/>
    <x v="7"/>
    <x v="24"/>
    <x v="5"/>
    <s v="Price Missing"/>
    <n v="0"/>
  </r>
  <r>
    <s v="ORD00332"/>
    <s v="CUST0478"/>
    <s v="PRD0118"/>
    <n v="5"/>
    <s v="Customer_478"/>
    <x v="6"/>
    <x v="24"/>
    <x v="5"/>
    <s v="Price Missing"/>
    <n v="0"/>
  </r>
  <r>
    <s v="ORD00333"/>
    <s v="CUST0354"/>
    <s v="PRD0026"/>
    <n v="8"/>
    <s v="Customer_354"/>
    <x v="4"/>
    <x v="24"/>
    <x v="5"/>
    <s v="Price Missing"/>
    <n v="0"/>
  </r>
  <r>
    <s v="ORD00334"/>
    <s v="CUST0874"/>
    <s v="PRD0084"/>
    <n v="6"/>
    <s v="Customer_874"/>
    <x v="3"/>
    <x v="24"/>
    <x v="5"/>
    <s v="Price Missing"/>
    <n v="0"/>
  </r>
  <r>
    <s v="ORD00335"/>
    <s v="CUST0886"/>
    <s v="PRD0037"/>
    <n v="9"/>
    <s v="Customer_886"/>
    <x v="1"/>
    <x v="24"/>
    <x v="5"/>
    <s v="Price Missing"/>
    <n v="0"/>
  </r>
  <r>
    <s v="ORD00336"/>
    <s v="CUST0034"/>
    <s v="PRD0495"/>
    <n v="9"/>
    <s v="Customer Not Found"/>
    <x v="7"/>
    <x v="173"/>
    <x v="2"/>
    <n v="413.82"/>
    <n v="3724.38"/>
  </r>
  <r>
    <s v="ORD00337"/>
    <s v="CUST0508"/>
    <s v="PRD0449"/>
    <n v="9"/>
    <s v="Customer_508"/>
    <x v="3"/>
    <x v="174"/>
    <x v="3"/>
    <n v="53.69"/>
    <n v="483.21"/>
  </r>
  <r>
    <s v="ORD00338"/>
    <s v="CUST0633"/>
    <s v="PRD0009"/>
    <n v="5"/>
    <s v="Customer_633"/>
    <x v="6"/>
    <x v="24"/>
    <x v="5"/>
    <s v="Price Missing"/>
    <n v="0"/>
  </r>
  <r>
    <s v="ORD00339"/>
    <s v="CUST0235"/>
    <s v="PRD0097"/>
    <n v="9"/>
    <s v="Customer Not Found"/>
    <x v="7"/>
    <x v="24"/>
    <x v="5"/>
    <s v="Price Missing"/>
    <n v="0"/>
  </r>
  <r>
    <s v="ORD00340"/>
    <s v="CUST0075"/>
    <s v="PRD0030"/>
    <n v="2"/>
    <s v="Customer Not Found"/>
    <x v="7"/>
    <x v="24"/>
    <x v="5"/>
    <s v="Price Missing"/>
    <n v="0"/>
  </r>
  <r>
    <s v="ORD00341"/>
    <s v="CUST0680"/>
    <s v="PRD0287"/>
    <n v="5"/>
    <s v="Customer_680"/>
    <x v="2"/>
    <x v="24"/>
    <x v="5"/>
    <s v="Price Missing"/>
    <n v="0"/>
  </r>
  <r>
    <s v="ORD00342"/>
    <s v="CUST0585"/>
    <s v="PRD0100"/>
    <n v="2"/>
    <s v="Customer_585"/>
    <x v="6"/>
    <x v="24"/>
    <x v="5"/>
    <s v="Price Missing"/>
    <n v="0"/>
  </r>
  <r>
    <s v="ORD00343"/>
    <s v="CUST0269"/>
    <s v="PRD0449"/>
    <n v="3"/>
    <s v="Customer Not Found"/>
    <x v="7"/>
    <x v="174"/>
    <x v="3"/>
    <n v="53.69"/>
    <n v="161.07"/>
  </r>
  <r>
    <s v="ORD00344"/>
    <s v="CUST0126"/>
    <s v="PRD0055"/>
    <n v="6"/>
    <s v="Customer Not Found"/>
    <x v="7"/>
    <x v="24"/>
    <x v="5"/>
    <s v="Price Missing"/>
    <n v="0"/>
  </r>
  <r>
    <s v="ORD00345"/>
    <s v="CUST0187"/>
    <s v="PRD0279"/>
    <n v="5"/>
    <s v="Customer Not Found"/>
    <x v="7"/>
    <x v="24"/>
    <x v="5"/>
    <s v="Price Missing"/>
    <n v="0"/>
  </r>
  <r>
    <s v="ORD00346"/>
    <s v="CUST0953"/>
    <s v="PRD0419"/>
    <n v="9"/>
    <s v="Customer_953"/>
    <x v="0"/>
    <x v="62"/>
    <x v="0"/>
    <n v="34.869999999999997"/>
    <n v="313.83"/>
  </r>
  <r>
    <s v="ORD00347"/>
    <s v="CUST0397"/>
    <s v="PRD0316"/>
    <n v="1"/>
    <s v="Customer_397"/>
    <x v="1"/>
    <x v="24"/>
    <x v="5"/>
    <s v="Price Missing"/>
    <n v="0"/>
  </r>
  <r>
    <s v="ORD00348"/>
    <s v="CUST0704"/>
    <s v="PRD0459"/>
    <n v="7"/>
    <s v="Customer_704"/>
    <x v="0"/>
    <x v="50"/>
    <x v="4"/>
    <n v="496.34"/>
    <n v="3474.3799999999997"/>
  </r>
  <r>
    <s v="ORD00349"/>
    <s v="CUST0517"/>
    <s v="PRD0214"/>
    <n v="8"/>
    <s v="Customer_517"/>
    <x v="1"/>
    <x v="24"/>
    <x v="5"/>
    <s v="Price Missing"/>
    <n v="0"/>
  </r>
  <r>
    <s v="ORD00350"/>
    <s v="CUST0669"/>
    <s v="PRD0104"/>
    <n v="5"/>
    <s v="Customer_669"/>
    <x v="5"/>
    <x v="24"/>
    <x v="5"/>
    <s v="Price Missing"/>
    <n v="0"/>
  </r>
  <r>
    <s v="ORD00351"/>
    <s v="CUST0598"/>
    <s v="PRD0252"/>
    <n v="4"/>
    <s v="Customer_598"/>
    <x v="6"/>
    <x v="24"/>
    <x v="5"/>
    <s v="Price Missing"/>
    <n v="0"/>
  </r>
  <r>
    <s v="ORD00352"/>
    <s v="CUST0590"/>
    <s v="PRD0224"/>
    <n v="10"/>
    <s v="Customer_590"/>
    <x v="1"/>
    <x v="24"/>
    <x v="5"/>
    <s v="Price Missing"/>
    <n v="0"/>
  </r>
  <r>
    <s v="ORD00353"/>
    <s v="CUST0312"/>
    <s v="PRD0369"/>
    <n v="3"/>
    <s v="Customer Not Found"/>
    <x v="7"/>
    <x v="155"/>
    <x v="1"/>
    <n v="330.56"/>
    <n v="991.68000000000006"/>
  </r>
  <r>
    <s v="ORD00354"/>
    <s v="CUST0941"/>
    <s v="PRD0261"/>
    <n v="5"/>
    <s v="Customer_941"/>
    <x v="5"/>
    <x v="24"/>
    <x v="5"/>
    <s v="Price Missing"/>
    <n v="0"/>
  </r>
  <r>
    <s v="ORD00355"/>
    <s v="CUST0145"/>
    <s v="PRD0064"/>
    <n v="1"/>
    <s v="Customer Not Found"/>
    <x v="7"/>
    <x v="24"/>
    <x v="5"/>
    <s v="Price Missing"/>
    <n v="0"/>
  </r>
  <r>
    <s v="ORD00356"/>
    <s v="CUST0724"/>
    <s v="PRD0333"/>
    <n v="9"/>
    <s v="Customer_724"/>
    <x v="6"/>
    <x v="24"/>
    <x v="5"/>
    <s v="Price Missing"/>
    <n v="0"/>
  </r>
  <r>
    <s v="ORD00357"/>
    <s v="CUST0147"/>
    <s v="PRD0221"/>
    <n v="1"/>
    <s v="Customer Not Found"/>
    <x v="7"/>
    <x v="24"/>
    <x v="5"/>
    <s v="Price Missing"/>
    <n v="0"/>
  </r>
  <r>
    <s v="ORD00358"/>
    <s v="CUST0996"/>
    <s v="PRD0421"/>
    <n v="1"/>
    <s v="Customer_996"/>
    <x v="4"/>
    <x v="175"/>
    <x v="4"/>
    <n v="476.53"/>
    <n v="476.53"/>
  </r>
  <r>
    <s v="ORD00359"/>
    <s v="CUST0690"/>
    <s v="PRD0002"/>
    <n v="4"/>
    <s v="Customer_690"/>
    <x v="4"/>
    <x v="24"/>
    <x v="5"/>
    <s v="Price Missing"/>
    <n v="0"/>
  </r>
  <r>
    <s v="ORD00360"/>
    <s v="CUST0162"/>
    <s v="PRD0137"/>
    <n v="1"/>
    <s v="Customer Not Found"/>
    <x v="7"/>
    <x v="24"/>
    <x v="5"/>
    <s v="Price Missing"/>
    <n v="0"/>
  </r>
  <r>
    <s v="ORD00361"/>
    <s v="CUST0956"/>
    <s v="PRD0247"/>
    <n v="1"/>
    <s v="Customer_956"/>
    <x v="2"/>
    <x v="24"/>
    <x v="5"/>
    <s v="Price Missing"/>
    <n v="0"/>
  </r>
  <r>
    <s v="ORD00362"/>
    <s v="CUST0802"/>
    <s v="PRD0406"/>
    <n v="2"/>
    <s v="Customer_802"/>
    <x v="6"/>
    <x v="176"/>
    <x v="0"/>
    <n v="173.13"/>
    <n v="346.26"/>
  </r>
  <r>
    <s v="ORD00363"/>
    <s v="CUST0226"/>
    <s v="PRD0321"/>
    <n v="6"/>
    <s v="Customer Not Found"/>
    <x v="7"/>
    <x v="24"/>
    <x v="5"/>
    <s v="Price Missing"/>
    <n v="0"/>
  </r>
  <r>
    <s v="ORD00364"/>
    <s v="CUST0991"/>
    <s v="PRD0161"/>
    <n v="2"/>
    <s v="Customer_991"/>
    <x v="3"/>
    <x v="24"/>
    <x v="5"/>
    <s v="Price Missing"/>
    <n v="0"/>
  </r>
  <r>
    <s v="ORD00365"/>
    <s v="CUST0130"/>
    <s v="PRD0205"/>
    <n v="10"/>
    <s v="Customer Not Found"/>
    <x v="7"/>
    <x v="24"/>
    <x v="5"/>
    <s v="Price Missing"/>
    <n v="0"/>
  </r>
  <r>
    <s v="ORD00366"/>
    <s v="CUST0966"/>
    <s v="PRD0390"/>
    <n v="7"/>
    <s v="Customer_966"/>
    <x v="1"/>
    <x v="177"/>
    <x v="2"/>
    <n v="37.54"/>
    <n v="262.77999999999997"/>
  </r>
  <r>
    <s v="ORD00367"/>
    <s v="CUST0780"/>
    <s v="PRD0059"/>
    <n v="5"/>
    <s v="Customer_780"/>
    <x v="0"/>
    <x v="24"/>
    <x v="5"/>
    <s v="Price Missing"/>
    <n v="0"/>
  </r>
  <r>
    <s v="ORD00368"/>
    <s v="CUST0639"/>
    <s v="PRD0456"/>
    <n v="2"/>
    <s v="Customer_639"/>
    <x v="2"/>
    <x v="178"/>
    <x v="3"/>
    <n v="255.76"/>
    <n v="511.52"/>
  </r>
  <r>
    <s v="ORD00369"/>
    <s v="CUST0776"/>
    <s v="PRD0137"/>
    <n v="6"/>
    <s v="Customer_776"/>
    <x v="0"/>
    <x v="24"/>
    <x v="5"/>
    <s v="Price Missing"/>
    <n v="0"/>
  </r>
  <r>
    <s v="ORD00370"/>
    <s v="CUST0527"/>
    <s v="PRD0019"/>
    <n v="1"/>
    <s v="Customer_527"/>
    <x v="6"/>
    <x v="24"/>
    <x v="5"/>
    <s v="Price Missing"/>
    <n v="0"/>
  </r>
  <r>
    <s v="ORD00371"/>
    <s v="CUST0430"/>
    <s v="PRD0405"/>
    <n v="7"/>
    <s v="Customer_430"/>
    <x v="0"/>
    <x v="179"/>
    <x v="0"/>
    <n v="439.09"/>
    <n v="3073.6299999999997"/>
  </r>
  <r>
    <s v="ORD00372"/>
    <s v="CUST0544"/>
    <s v="PRD0133"/>
    <n v="9"/>
    <s v="Customer_544"/>
    <x v="1"/>
    <x v="24"/>
    <x v="5"/>
    <s v="Price Missing"/>
    <n v="0"/>
  </r>
  <r>
    <s v="ORD00373"/>
    <s v="CUST0844"/>
    <s v="PRD0199"/>
    <n v="10"/>
    <s v="Customer_844"/>
    <x v="1"/>
    <x v="24"/>
    <x v="5"/>
    <s v="Price Missing"/>
    <n v="0"/>
  </r>
  <r>
    <s v="ORD00374"/>
    <s v="CUST0941"/>
    <s v="PRD0225"/>
    <n v="7"/>
    <s v="Customer_941"/>
    <x v="5"/>
    <x v="24"/>
    <x v="5"/>
    <s v="Price Missing"/>
    <n v="0"/>
  </r>
  <r>
    <s v="ORD00375"/>
    <s v="CUST0820"/>
    <s v="PRD0444"/>
    <n v="10"/>
    <s v="Customer_820"/>
    <x v="5"/>
    <x v="122"/>
    <x v="3"/>
    <n v="230.56"/>
    <n v="2305.6"/>
  </r>
  <r>
    <s v="ORD00376"/>
    <s v="CUST0893"/>
    <s v="PRD0239"/>
    <n v="6"/>
    <s v="Customer_893"/>
    <x v="4"/>
    <x v="24"/>
    <x v="5"/>
    <s v="Price Missing"/>
    <n v="0"/>
  </r>
  <r>
    <s v="ORD00377"/>
    <s v="CUST0689"/>
    <s v="PRD0280"/>
    <n v="5"/>
    <s v="Customer_689"/>
    <x v="1"/>
    <x v="24"/>
    <x v="5"/>
    <s v="Price Missing"/>
    <n v="0"/>
  </r>
  <r>
    <s v="ORD00378"/>
    <s v="CUST0901"/>
    <s v="PRD0344"/>
    <n v="10"/>
    <s v="Customer_901"/>
    <x v="1"/>
    <x v="24"/>
    <x v="5"/>
    <s v="Price Missing"/>
    <n v="0"/>
  </r>
  <r>
    <s v="ORD00379"/>
    <s v="CUST0227"/>
    <s v="PRD0121"/>
    <n v="4"/>
    <s v="Customer Not Found"/>
    <x v="7"/>
    <x v="24"/>
    <x v="5"/>
    <s v="Price Missing"/>
    <n v="0"/>
  </r>
  <r>
    <s v="ORD00380"/>
    <s v="CUST0385"/>
    <s v="PRD0409"/>
    <n v="8"/>
    <s v="Customer_385"/>
    <x v="1"/>
    <x v="180"/>
    <x v="1"/>
    <n v="46.55"/>
    <n v="372.4"/>
  </r>
  <r>
    <s v="ORD00381"/>
    <s v="CUST0986"/>
    <s v="PRD0367"/>
    <n v="7"/>
    <s v="Customer_986"/>
    <x v="0"/>
    <x v="24"/>
    <x v="5"/>
    <s v="Price Missing"/>
    <n v="0"/>
  </r>
  <r>
    <s v="ORD00382"/>
    <s v="CUST0410"/>
    <s v="PRD0010"/>
    <n v="3"/>
    <s v="Customer_410"/>
    <x v="3"/>
    <x v="24"/>
    <x v="5"/>
    <s v="Price Missing"/>
    <n v="0"/>
  </r>
  <r>
    <s v="ORD00383"/>
    <s v="CUST0774"/>
    <s v="PRD0003"/>
    <n v="4"/>
    <s v="Customer_774"/>
    <x v="0"/>
    <x v="24"/>
    <x v="5"/>
    <s v="Price Missing"/>
    <n v="0"/>
  </r>
  <r>
    <s v="ORD00384"/>
    <s v="CUST0760"/>
    <s v="PRD0486"/>
    <n v="1"/>
    <s v="Customer_760"/>
    <x v="6"/>
    <x v="151"/>
    <x v="4"/>
    <n v="368.74"/>
    <n v="368.74"/>
  </r>
  <r>
    <s v="ORD00385"/>
    <s v="CUST0005"/>
    <s v="PRD0357"/>
    <n v="4"/>
    <s v="Customer Not Found"/>
    <x v="7"/>
    <x v="24"/>
    <x v="5"/>
    <s v="Price Missing"/>
    <n v="0"/>
  </r>
  <r>
    <s v="ORD00386"/>
    <s v="CUST0445"/>
    <s v="PRD0022"/>
    <n v="7"/>
    <s v="Customer_445"/>
    <x v="5"/>
    <x v="24"/>
    <x v="5"/>
    <s v="Price Missing"/>
    <n v="0"/>
  </r>
  <r>
    <s v="ORD00387"/>
    <s v="CUST0300"/>
    <s v="PRD0342"/>
    <n v="6"/>
    <s v="Customer Not Found"/>
    <x v="7"/>
    <x v="24"/>
    <x v="5"/>
    <s v="Price Missing"/>
    <n v="0"/>
  </r>
  <r>
    <s v="ORD00388"/>
    <s v="CUST0920"/>
    <s v="PRD0245"/>
    <n v="10"/>
    <s v="Customer_920"/>
    <x v="6"/>
    <x v="24"/>
    <x v="5"/>
    <s v="Price Missing"/>
    <n v="0"/>
  </r>
  <r>
    <s v="ORD00389"/>
    <s v="CUST0173"/>
    <s v="PRD0333"/>
    <n v="7"/>
    <s v="Customer Not Found"/>
    <x v="7"/>
    <x v="24"/>
    <x v="5"/>
    <s v="Price Missing"/>
    <n v="0"/>
  </r>
  <r>
    <s v="ORD00390"/>
    <s v="CUST0442"/>
    <s v="PRD0228"/>
    <n v="2"/>
    <s v="Customer_442"/>
    <x v="3"/>
    <x v="24"/>
    <x v="5"/>
    <s v="Price Missing"/>
    <n v="0"/>
  </r>
  <r>
    <s v="ORD00391"/>
    <s v="CUST0055"/>
    <s v="PRD0366"/>
    <n v="6"/>
    <s v="Customer Not Found"/>
    <x v="7"/>
    <x v="24"/>
    <x v="5"/>
    <s v="Price Missing"/>
    <n v="0"/>
  </r>
  <r>
    <s v="ORD00392"/>
    <s v="CUST0771"/>
    <s v="PRD0202"/>
    <n v="10"/>
    <s v="Customer_771"/>
    <x v="5"/>
    <x v="24"/>
    <x v="5"/>
    <s v="Price Missing"/>
    <n v="0"/>
  </r>
  <r>
    <s v="ORD00393"/>
    <s v="CUST0258"/>
    <s v="PRD0078"/>
    <n v="8"/>
    <s v="Customer Not Found"/>
    <x v="7"/>
    <x v="24"/>
    <x v="5"/>
    <s v="Price Missing"/>
    <n v="0"/>
  </r>
  <r>
    <s v="ORD00394"/>
    <s v="CUST0467"/>
    <s v="PRD0393"/>
    <n v="9"/>
    <s v="Customer_467"/>
    <x v="6"/>
    <x v="24"/>
    <x v="5"/>
    <s v="Price Missing"/>
    <n v="0"/>
  </r>
  <r>
    <s v="ORD00395"/>
    <s v="CUST0478"/>
    <s v="PRD0031"/>
    <n v="3"/>
    <s v="Customer_478"/>
    <x v="6"/>
    <x v="24"/>
    <x v="5"/>
    <s v="Price Missing"/>
    <n v="0"/>
  </r>
  <r>
    <s v="ORD00396"/>
    <s v="CUST0814"/>
    <s v="PRD0036"/>
    <n v="6"/>
    <s v="Customer_814"/>
    <x v="6"/>
    <x v="24"/>
    <x v="5"/>
    <s v="Price Missing"/>
    <n v="0"/>
  </r>
  <r>
    <s v="ORD00397"/>
    <s v="CUST0669"/>
    <s v="PRD0378"/>
    <n v="2"/>
    <s v="Customer_669"/>
    <x v="5"/>
    <x v="24"/>
    <x v="5"/>
    <s v="Price Missing"/>
    <n v="0"/>
  </r>
  <r>
    <s v="ORD00398"/>
    <s v="CUST0687"/>
    <s v="PRD0454"/>
    <n v="4"/>
    <s v="Customer_687"/>
    <x v="2"/>
    <x v="125"/>
    <x v="1"/>
    <n v="288.83999999999997"/>
    <n v="1155.3599999999999"/>
  </r>
  <r>
    <s v="ORD00399"/>
    <s v="CUST0720"/>
    <s v="PRD0147"/>
    <n v="3"/>
    <s v="Customer_720"/>
    <x v="0"/>
    <x v="24"/>
    <x v="5"/>
    <s v="Price Missing"/>
    <n v="0"/>
  </r>
  <r>
    <s v="ORD00400"/>
    <s v="CUST0763"/>
    <s v="PRD0054"/>
    <n v="1"/>
    <s v="Customer_763"/>
    <x v="4"/>
    <x v="24"/>
    <x v="5"/>
    <s v="Price Missing"/>
    <n v="0"/>
  </r>
  <r>
    <s v="ORD00401"/>
    <s v="CUST0373"/>
    <s v="PRD0292"/>
    <n v="8"/>
    <s v="Customer Not Found"/>
    <x v="7"/>
    <x v="24"/>
    <x v="5"/>
    <s v="Price Missing"/>
    <n v="0"/>
  </r>
  <r>
    <s v="ORD00402"/>
    <s v="CUST0280"/>
    <s v="PRD0155"/>
    <n v="3"/>
    <s v="Customer Not Found"/>
    <x v="7"/>
    <x v="24"/>
    <x v="5"/>
    <s v="Price Missing"/>
    <n v="0"/>
  </r>
  <r>
    <s v="ORD00403"/>
    <s v="CUST0762"/>
    <s v="PRD0092"/>
    <n v="10"/>
    <s v="Customer_762"/>
    <x v="4"/>
    <x v="24"/>
    <x v="5"/>
    <s v="Price Missing"/>
    <n v="0"/>
  </r>
  <r>
    <s v="ORD00404"/>
    <s v="CUST0040"/>
    <s v="PRD0059"/>
    <n v="3"/>
    <s v="Customer Not Found"/>
    <x v="7"/>
    <x v="24"/>
    <x v="5"/>
    <s v="Price Missing"/>
    <n v="0"/>
  </r>
  <r>
    <s v="ORD00405"/>
    <s v="CUST0155"/>
    <s v="PRD0198"/>
    <n v="2"/>
    <s v="Customer Not Found"/>
    <x v="7"/>
    <x v="24"/>
    <x v="5"/>
    <s v="Price Missing"/>
    <n v="0"/>
  </r>
  <r>
    <s v="ORD00406"/>
    <s v="CUST0771"/>
    <s v="PRD0128"/>
    <n v="1"/>
    <s v="Customer_771"/>
    <x v="5"/>
    <x v="24"/>
    <x v="5"/>
    <s v="Price Missing"/>
    <n v="0"/>
  </r>
  <r>
    <s v="ORD00407"/>
    <s v="CUST0734"/>
    <s v="PRD0267"/>
    <n v="6"/>
    <s v="Customer_734"/>
    <x v="4"/>
    <x v="24"/>
    <x v="5"/>
    <s v="Price Missing"/>
    <n v="0"/>
  </r>
  <r>
    <s v="ORD00408"/>
    <s v="CUST0414"/>
    <s v="PRD0298"/>
    <n v="6"/>
    <s v="Customer_414"/>
    <x v="0"/>
    <x v="24"/>
    <x v="5"/>
    <s v="Price Missing"/>
    <n v="0"/>
  </r>
  <r>
    <s v="ORD00409"/>
    <s v="CUST0974"/>
    <s v="PRD0227"/>
    <n v="10"/>
    <s v="Customer_974"/>
    <x v="1"/>
    <x v="24"/>
    <x v="5"/>
    <s v="Price Missing"/>
    <n v="0"/>
  </r>
  <r>
    <s v="ORD00410"/>
    <s v="CUST0775"/>
    <s v="PRD0442"/>
    <n v="7"/>
    <s v="Customer_775"/>
    <x v="4"/>
    <x v="21"/>
    <x v="4"/>
    <n v="48.2"/>
    <n v="337.40000000000003"/>
  </r>
  <r>
    <s v="ORD00411"/>
    <s v="CUST0026"/>
    <s v="PRD0179"/>
    <n v="6"/>
    <s v="Customer Not Found"/>
    <x v="7"/>
    <x v="24"/>
    <x v="5"/>
    <s v="Price Missing"/>
    <n v="0"/>
  </r>
  <r>
    <s v="ORD00412"/>
    <s v="CUST0335"/>
    <s v="PRD0208"/>
    <n v="8"/>
    <s v="Customer Not Found"/>
    <x v="7"/>
    <x v="24"/>
    <x v="5"/>
    <s v="Price Missing"/>
    <n v="0"/>
  </r>
  <r>
    <s v="ORD00413"/>
    <s v="CUST0542"/>
    <s v="PRD0019"/>
    <n v="2"/>
    <s v="Customer_542"/>
    <x v="6"/>
    <x v="24"/>
    <x v="5"/>
    <s v="Price Missing"/>
    <n v="0"/>
  </r>
  <r>
    <s v="ORD00414"/>
    <s v="CUST0318"/>
    <s v="PRD0299"/>
    <n v="8"/>
    <s v="Customer Not Found"/>
    <x v="7"/>
    <x v="24"/>
    <x v="5"/>
    <s v="Price Missing"/>
    <n v="0"/>
  </r>
  <r>
    <s v="ORD00415"/>
    <s v="CUST0678"/>
    <s v="PRD0146"/>
    <n v="2"/>
    <s v="Customer_678"/>
    <x v="2"/>
    <x v="24"/>
    <x v="5"/>
    <s v="Price Missing"/>
    <n v="0"/>
  </r>
  <r>
    <s v="ORD00416"/>
    <s v="CUST0577"/>
    <s v="PRD0485"/>
    <n v="6"/>
    <s v="Customer_577"/>
    <x v="4"/>
    <x v="181"/>
    <x v="3"/>
    <n v="290.06"/>
    <n v="1740.3600000000001"/>
  </r>
  <r>
    <s v="ORD00417"/>
    <s v="CUST0004"/>
    <s v="PRD0183"/>
    <n v="5"/>
    <s v="Customer Not Found"/>
    <x v="7"/>
    <x v="24"/>
    <x v="5"/>
    <s v="Price Missing"/>
    <n v="0"/>
  </r>
  <r>
    <s v="ORD00418"/>
    <s v="CUST0351"/>
    <s v="PRD0481"/>
    <n v="8"/>
    <s v="Customer Not Found"/>
    <x v="7"/>
    <x v="124"/>
    <x v="2"/>
    <n v="273.72000000000003"/>
    <n v="2189.7600000000002"/>
  </r>
  <r>
    <s v="ORD00419"/>
    <s v="CUST0263"/>
    <s v="PRD0129"/>
    <n v="3"/>
    <s v="Customer Not Found"/>
    <x v="7"/>
    <x v="24"/>
    <x v="5"/>
    <s v="Price Missing"/>
    <n v="0"/>
  </r>
  <r>
    <s v="ORD00420"/>
    <s v="CUST0465"/>
    <s v="PRD0040"/>
    <n v="9"/>
    <s v="Customer_465"/>
    <x v="5"/>
    <x v="24"/>
    <x v="5"/>
    <s v="Price Missing"/>
    <n v="0"/>
  </r>
  <r>
    <s v="ORD00421"/>
    <s v="CUST0380"/>
    <s v="PRD0484"/>
    <n v="1"/>
    <s v="Customer Not Found"/>
    <x v="7"/>
    <x v="182"/>
    <x v="0"/>
    <n v="17.989999999999998"/>
    <n v="17.989999999999998"/>
  </r>
  <r>
    <s v="ORD00422"/>
    <s v="CUST0947"/>
    <s v="PRD0246"/>
    <n v="6"/>
    <s v="Customer_947"/>
    <x v="0"/>
    <x v="24"/>
    <x v="5"/>
    <s v="Price Missing"/>
    <n v="0"/>
  </r>
  <r>
    <s v="ORD00423"/>
    <s v="CUST0688"/>
    <s v="PRD0358"/>
    <n v="9"/>
    <s v="Customer_688"/>
    <x v="4"/>
    <x v="24"/>
    <x v="5"/>
    <s v="Price Missing"/>
    <n v="0"/>
  </r>
  <r>
    <s v="ORD00424"/>
    <s v="CUST0812"/>
    <s v="PRD0097"/>
    <n v="8"/>
    <s v="Customer_812"/>
    <x v="0"/>
    <x v="24"/>
    <x v="5"/>
    <s v="Price Missing"/>
    <n v="0"/>
  </r>
  <r>
    <s v="ORD00425"/>
    <s v="CUST0075"/>
    <s v="PRD0125"/>
    <n v="8"/>
    <s v="Customer Not Found"/>
    <x v="7"/>
    <x v="24"/>
    <x v="5"/>
    <s v="Price Missing"/>
    <n v="0"/>
  </r>
  <r>
    <s v="ORD00426"/>
    <s v="CUST0175"/>
    <s v="PRD0295"/>
    <n v="4"/>
    <s v="Customer Not Found"/>
    <x v="7"/>
    <x v="24"/>
    <x v="5"/>
    <s v="Price Missing"/>
    <n v="0"/>
  </r>
  <r>
    <s v="ORD00427"/>
    <s v="CUST0009"/>
    <s v="PRD0213"/>
    <n v="9"/>
    <s v="Customer Not Found"/>
    <x v="7"/>
    <x v="24"/>
    <x v="5"/>
    <s v="Price Missing"/>
    <n v="0"/>
  </r>
  <r>
    <s v="ORD00428"/>
    <s v="CUST0003"/>
    <s v="PRD0467"/>
    <n v="3"/>
    <s v="Customer Not Found"/>
    <x v="7"/>
    <x v="87"/>
    <x v="0"/>
    <n v="279.95999999999998"/>
    <n v="839.87999999999988"/>
  </r>
  <r>
    <s v="ORD00429"/>
    <s v="CUST0017"/>
    <s v="PRD0422"/>
    <n v="10"/>
    <s v="Customer Not Found"/>
    <x v="7"/>
    <x v="24"/>
    <x v="5"/>
    <s v="Price Missing"/>
    <n v="0"/>
  </r>
  <r>
    <s v="ORD00430"/>
    <s v="CUST0773"/>
    <s v="PRD0157"/>
    <n v="2"/>
    <s v="Customer_773"/>
    <x v="3"/>
    <x v="24"/>
    <x v="5"/>
    <s v="Price Missing"/>
    <n v="0"/>
  </r>
  <r>
    <s v="ORD00431"/>
    <s v="CUST0004"/>
    <s v="PRD0127"/>
    <n v="4"/>
    <s v="Customer Not Found"/>
    <x v="7"/>
    <x v="24"/>
    <x v="5"/>
    <s v="Price Missing"/>
    <n v="0"/>
  </r>
  <r>
    <s v="ORD00432"/>
    <s v="CUST0071"/>
    <s v="PRD0136"/>
    <n v="4"/>
    <s v="Customer Not Found"/>
    <x v="7"/>
    <x v="24"/>
    <x v="5"/>
    <s v="Price Missing"/>
    <n v="0"/>
  </r>
  <r>
    <s v="ORD00433"/>
    <s v="CUST0647"/>
    <s v="PRD0447"/>
    <n v="3"/>
    <s v="Customer_647"/>
    <x v="3"/>
    <x v="183"/>
    <x v="2"/>
    <n v="197.61"/>
    <n v="592.83000000000004"/>
  </r>
  <r>
    <s v="ORD00434"/>
    <s v="CUST0296"/>
    <s v="PRD0092"/>
    <n v="7"/>
    <s v="Customer Not Found"/>
    <x v="7"/>
    <x v="24"/>
    <x v="5"/>
    <s v="Price Missing"/>
    <n v="0"/>
  </r>
  <r>
    <s v="ORD00435"/>
    <s v="CUST0479"/>
    <s v="PRD0356"/>
    <n v="9"/>
    <s v="Customer_479"/>
    <x v="1"/>
    <x v="24"/>
    <x v="5"/>
    <s v="Price Missing"/>
    <n v="0"/>
  </r>
  <r>
    <s v="ORD00436"/>
    <s v="CUST0110"/>
    <s v="PRD0358"/>
    <n v="2"/>
    <s v="Customer Not Found"/>
    <x v="7"/>
    <x v="24"/>
    <x v="5"/>
    <s v="Price Missing"/>
    <n v="0"/>
  </r>
  <r>
    <s v="ORD00437"/>
    <s v="CUST0761"/>
    <s v="PRD0217"/>
    <n v="10"/>
    <s v="Customer_761"/>
    <x v="4"/>
    <x v="24"/>
    <x v="5"/>
    <s v="Price Missing"/>
    <n v="0"/>
  </r>
  <r>
    <s v="ORD00438"/>
    <s v="CUST0165"/>
    <s v="PRD0413"/>
    <n v="9"/>
    <s v="Customer Not Found"/>
    <x v="7"/>
    <x v="24"/>
    <x v="5"/>
    <s v="Price Missing"/>
    <n v="0"/>
  </r>
  <r>
    <s v="ORD00439"/>
    <s v="CUST0799"/>
    <s v="PRD0005"/>
    <n v="7"/>
    <s v="Customer_799"/>
    <x v="3"/>
    <x v="24"/>
    <x v="5"/>
    <s v="Price Missing"/>
    <n v="0"/>
  </r>
  <r>
    <s v="ORD00440"/>
    <s v="CUST0187"/>
    <s v="PRD0369"/>
    <n v="1"/>
    <s v="Customer Not Found"/>
    <x v="7"/>
    <x v="24"/>
    <x v="5"/>
    <s v="Price Missing"/>
    <n v="0"/>
  </r>
  <r>
    <s v="ORD00441"/>
    <s v="CUST0220"/>
    <s v="PRD0402"/>
    <n v="3"/>
    <s v="Customer Not Found"/>
    <x v="7"/>
    <x v="24"/>
    <x v="5"/>
    <s v="Price Missing"/>
    <n v="0"/>
  </r>
  <r>
    <s v="ORD00442"/>
    <s v="CUST0854"/>
    <s v="PRD0092"/>
    <n v="3"/>
    <s v="Customer_854"/>
    <x v="0"/>
    <x v="24"/>
    <x v="5"/>
    <s v="Price Missing"/>
    <n v="0"/>
  </r>
  <r>
    <s v="ORD00443"/>
    <s v="CUST0473"/>
    <s v="PRD0109"/>
    <n v="9"/>
    <s v="Customer_473"/>
    <x v="5"/>
    <x v="24"/>
    <x v="5"/>
    <s v="Price Missing"/>
    <n v="0"/>
  </r>
  <r>
    <s v="ORD00444"/>
    <s v="CUST0472"/>
    <s v="PRD0043"/>
    <n v="9"/>
    <s v="Customer_472"/>
    <x v="1"/>
    <x v="24"/>
    <x v="5"/>
    <s v="Price Missing"/>
    <n v="0"/>
  </r>
  <r>
    <s v="ORD00445"/>
    <s v="CUST0331"/>
    <s v="PRD0082"/>
    <n v="2"/>
    <s v="Customer Not Found"/>
    <x v="7"/>
    <x v="24"/>
    <x v="5"/>
    <s v="Price Missing"/>
    <n v="0"/>
  </r>
  <r>
    <s v="ORD00446"/>
    <s v="CUST0625"/>
    <s v="PRD0278"/>
    <n v="1"/>
    <s v="Customer_625"/>
    <x v="2"/>
    <x v="24"/>
    <x v="5"/>
    <s v="Price Missing"/>
    <n v="0"/>
  </r>
  <r>
    <s v="ORD00447"/>
    <s v="CUST0449"/>
    <s v="PRD0105"/>
    <n v="3"/>
    <s v="Customer_449"/>
    <x v="6"/>
    <x v="24"/>
    <x v="5"/>
    <s v="Price Missing"/>
    <n v="0"/>
  </r>
  <r>
    <s v="ORD00448"/>
    <s v="CUST0694"/>
    <s v="PRD0259"/>
    <n v="1"/>
    <s v="Customer_694"/>
    <x v="2"/>
    <x v="24"/>
    <x v="5"/>
    <s v="Price Missing"/>
    <n v="0"/>
  </r>
  <r>
    <s v="ORD00449"/>
    <s v="CUST0254"/>
    <s v="PRD0042"/>
    <n v="5"/>
    <s v="Customer Not Found"/>
    <x v="7"/>
    <x v="24"/>
    <x v="5"/>
    <s v="Price Missing"/>
    <n v="0"/>
  </r>
  <r>
    <s v="ORD00450"/>
    <s v="CUST0795"/>
    <s v="PRD0340"/>
    <n v="5"/>
    <s v="Customer_795"/>
    <x v="3"/>
    <x v="24"/>
    <x v="5"/>
    <s v="Price Missing"/>
    <n v="0"/>
  </r>
  <r>
    <s v="ORD00451"/>
    <s v="CUST0281"/>
    <s v="PRD0349"/>
    <n v="5"/>
    <s v="Customer Not Found"/>
    <x v="7"/>
    <x v="24"/>
    <x v="5"/>
    <s v="Price Missing"/>
    <n v="0"/>
  </r>
  <r>
    <s v="ORD00452"/>
    <s v="CUST0744"/>
    <s v="PRD0077"/>
    <n v="2"/>
    <s v="Customer_744"/>
    <x v="5"/>
    <x v="24"/>
    <x v="5"/>
    <s v="Price Missing"/>
    <n v="0"/>
  </r>
  <r>
    <s v="ORD00453"/>
    <s v="CUST0222"/>
    <s v="PRD0005"/>
    <n v="3"/>
    <s v="Customer Not Found"/>
    <x v="7"/>
    <x v="24"/>
    <x v="5"/>
    <s v="Price Missing"/>
    <n v="0"/>
  </r>
  <r>
    <s v="ORD00454"/>
    <s v="CUST0742"/>
    <s v="PRD0320"/>
    <n v="9"/>
    <s v="Customer_742"/>
    <x v="5"/>
    <x v="24"/>
    <x v="5"/>
    <s v="Price Missing"/>
    <n v="0"/>
  </r>
  <r>
    <s v="ORD00455"/>
    <s v="CUST0160"/>
    <s v="PRD0047"/>
    <n v="1"/>
    <s v="Customer Not Found"/>
    <x v="7"/>
    <x v="24"/>
    <x v="5"/>
    <s v="Price Missing"/>
    <n v="0"/>
  </r>
  <r>
    <s v="ORD00456"/>
    <s v="CUST0605"/>
    <s v="PRD0097"/>
    <n v="8"/>
    <s v="Customer_605"/>
    <x v="5"/>
    <x v="24"/>
    <x v="5"/>
    <s v="Price Missing"/>
    <n v="0"/>
  </r>
  <r>
    <s v="ORD00457"/>
    <s v="CUST0693"/>
    <s v="PRD0218"/>
    <n v="2"/>
    <s v="Customer_693"/>
    <x v="2"/>
    <x v="24"/>
    <x v="5"/>
    <s v="Price Missing"/>
    <n v="0"/>
  </r>
  <r>
    <s v="ORD00458"/>
    <s v="CUST0240"/>
    <s v="PRD0178"/>
    <n v="9"/>
    <s v="Customer Not Found"/>
    <x v="7"/>
    <x v="24"/>
    <x v="5"/>
    <s v="Price Missing"/>
    <n v="0"/>
  </r>
  <r>
    <s v="ORD00459"/>
    <s v="CUST0588"/>
    <s v="PRD0207"/>
    <n v="9"/>
    <s v="Customer_588"/>
    <x v="6"/>
    <x v="24"/>
    <x v="5"/>
    <s v="Price Missing"/>
    <n v="0"/>
  </r>
  <r>
    <s v="ORD00460"/>
    <s v="CUST0365"/>
    <s v="PRD0151"/>
    <n v="3"/>
    <s v="Customer Not Found"/>
    <x v="7"/>
    <x v="24"/>
    <x v="5"/>
    <s v="Price Missing"/>
    <n v="0"/>
  </r>
  <r>
    <s v="ORD00461"/>
    <s v="CUST0711"/>
    <s v="PRD0440"/>
    <n v="2"/>
    <s v="Customer_711"/>
    <x v="0"/>
    <x v="24"/>
    <x v="5"/>
    <s v="Price Missing"/>
    <n v="0"/>
  </r>
  <r>
    <s v="ORD00462"/>
    <s v="CUST0547"/>
    <s v="PRD0420"/>
    <n v="6"/>
    <s v="Customer_547"/>
    <x v="6"/>
    <x v="24"/>
    <x v="5"/>
    <s v="Price Missing"/>
    <n v="0"/>
  </r>
  <r>
    <s v="ORD00463"/>
    <s v="CUST0322"/>
    <s v="PRD0054"/>
    <n v="8"/>
    <s v="Customer Not Found"/>
    <x v="7"/>
    <x v="24"/>
    <x v="5"/>
    <s v="Price Missing"/>
    <n v="0"/>
  </r>
  <r>
    <s v="ORD00464"/>
    <s v="CUST0315"/>
    <s v="PRD0435"/>
    <n v="3"/>
    <s v="Customer Not Found"/>
    <x v="7"/>
    <x v="24"/>
    <x v="5"/>
    <s v="Price Missing"/>
    <n v="0"/>
  </r>
  <r>
    <s v="ORD00465"/>
    <s v="CUST0066"/>
    <s v="PRD0316"/>
    <n v="2"/>
    <s v="Customer Not Found"/>
    <x v="7"/>
    <x v="24"/>
    <x v="5"/>
    <s v="Price Missing"/>
    <n v="0"/>
  </r>
  <r>
    <s v="ORD00466"/>
    <s v="CUST0656"/>
    <s v="PRD0070"/>
    <n v="8"/>
    <s v="Customer_656"/>
    <x v="0"/>
    <x v="24"/>
    <x v="5"/>
    <s v="Price Missing"/>
    <n v="0"/>
  </r>
  <r>
    <s v="ORD00467"/>
    <s v="CUST0534"/>
    <s v="PRD0133"/>
    <n v="6"/>
    <s v="Customer_534"/>
    <x v="2"/>
    <x v="24"/>
    <x v="5"/>
    <s v="Price Missing"/>
    <n v="0"/>
  </r>
  <r>
    <s v="ORD00468"/>
    <s v="CUST0317"/>
    <s v="PRD0074"/>
    <n v="4"/>
    <s v="Customer Not Found"/>
    <x v="7"/>
    <x v="24"/>
    <x v="5"/>
    <s v="Price Missing"/>
    <n v="0"/>
  </r>
  <r>
    <s v="ORD00469"/>
    <s v="CUST0560"/>
    <s v="PRD0011"/>
    <n v="6"/>
    <s v="Customer_560"/>
    <x v="5"/>
    <x v="24"/>
    <x v="5"/>
    <s v="Price Missing"/>
    <n v="0"/>
  </r>
  <r>
    <s v="ORD00470"/>
    <s v="CUST0745"/>
    <s v="PRD0088"/>
    <n v="2"/>
    <s v="Customer_745"/>
    <x v="0"/>
    <x v="24"/>
    <x v="5"/>
    <s v="Price Missing"/>
    <n v="0"/>
  </r>
  <r>
    <s v="ORD00471"/>
    <s v="CUST0189"/>
    <s v="PRD0196"/>
    <n v="5"/>
    <s v="Customer Not Found"/>
    <x v="7"/>
    <x v="24"/>
    <x v="5"/>
    <s v="Price Missing"/>
    <n v="0"/>
  </r>
  <r>
    <s v="ORD00472"/>
    <s v="CUST0920"/>
    <s v="PRD0046"/>
    <n v="2"/>
    <s v="Customer_920"/>
    <x v="6"/>
    <x v="24"/>
    <x v="5"/>
    <s v="Price Missing"/>
    <n v="0"/>
  </r>
  <r>
    <s v="ORD00473"/>
    <s v="CUST0070"/>
    <s v="PRD0461"/>
    <n v="4"/>
    <s v="Customer Not Found"/>
    <x v="7"/>
    <x v="24"/>
    <x v="5"/>
    <s v="Price Missing"/>
    <n v="0"/>
  </r>
  <r>
    <s v="ORD00474"/>
    <s v="CUST0585"/>
    <s v="PRD0319"/>
    <n v="8"/>
    <s v="Customer_585"/>
    <x v="6"/>
    <x v="24"/>
    <x v="5"/>
    <s v="Price Missing"/>
    <n v="0"/>
  </r>
  <r>
    <s v="ORD00475"/>
    <s v="CUST0426"/>
    <s v="PRD0114"/>
    <n v="5"/>
    <s v="Customer Not Found"/>
    <x v="7"/>
    <x v="24"/>
    <x v="5"/>
    <s v="Price Missing"/>
    <n v="0"/>
  </r>
  <r>
    <s v="ORD00476"/>
    <s v="CUST0623"/>
    <s v="PRD0048"/>
    <n v="1"/>
    <s v="Customer_623"/>
    <x v="5"/>
    <x v="24"/>
    <x v="5"/>
    <s v="Price Missing"/>
    <n v="0"/>
  </r>
  <r>
    <s v="ORD00477"/>
    <s v="CUST0039"/>
    <s v="PRD0042"/>
    <n v="10"/>
    <s v="Customer Not Found"/>
    <x v="7"/>
    <x v="24"/>
    <x v="5"/>
    <s v="Price Missing"/>
    <n v="0"/>
  </r>
  <r>
    <s v="ORD00478"/>
    <s v="CUST0979"/>
    <s v="PRD0208"/>
    <n v="8"/>
    <s v="Customer_979"/>
    <x v="4"/>
    <x v="24"/>
    <x v="5"/>
    <s v="Price Missing"/>
    <n v="0"/>
  </r>
  <r>
    <s v="ORD00479"/>
    <s v="CUST0151"/>
    <s v="PRD0434"/>
    <n v="7"/>
    <s v="Customer Not Found"/>
    <x v="7"/>
    <x v="24"/>
    <x v="5"/>
    <s v="Price Missing"/>
    <n v="0"/>
  </r>
  <r>
    <s v="ORD00480"/>
    <s v="CUST0558"/>
    <s v="PRD0240"/>
    <n v="9"/>
    <s v="Customer_558"/>
    <x v="2"/>
    <x v="24"/>
    <x v="5"/>
    <s v="Price Missing"/>
    <n v="0"/>
  </r>
  <r>
    <s v="ORD00481"/>
    <s v="CUST0161"/>
    <s v="PRD0013"/>
    <n v="9"/>
    <s v="Customer Not Found"/>
    <x v="7"/>
    <x v="24"/>
    <x v="5"/>
    <s v="Price Missing"/>
    <n v="0"/>
  </r>
  <r>
    <s v="ORD00482"/>
    <s v="CUST0644"/>
    <s v="PRD0013"/>
    <n v="3"/>
    <s v="Customer_644"/>
    <x v="0"/>
    <x v="24"/>
    <x v="5"/>
    <s v="Price Missing"/>
    <n v="0"/>
  </r>
  <r>
    <s v="ORD00483"/>
    <s v="CUST0562"/>
    <s v="PRD0497"/>
    <n v="4"/>
    <s v="Customer_562"/>
    <x v="2"/>
    <x v="147"/>
    <x v="4"/>
    <n v="414.31"/>
    <n v="1657.24"/>
  </r>
  <r>
    <s v="ORD00484"/>
    <s v="CUST0986"/>
    <s v="PRD0423"/>
    <n v="7"/>
    <s v="Customer_986"/>
    <x v="0"/>
    <x v="24"/>
    <x v="5"/>
    <s v="Price Missing"/>
    <n v="0"/>
  </r>
  <r>
    <s v="ORD00485"/>
    <s v="CUST0140"/>
    <s v="PRD0368"/>
    <n v="1"/>
    <s v="Customer Not Found"/>
    <x v="7"/>
    <x v="24"/>
    <x v="5"/>
    <s v="Price Missing"/>
    <n v="0"/>
  </r>
  <r>
    <s v="ORD00486"/>
    <s v="CUST0807"/>
    <s v="PRD0232"/>
    <n v="4"/>
    <s v="Customer_807"/>
    <x v="4"/>
    <x v="24"/>
    <x v="5"/>
    <s v="Price Missing"/>
    <n v="0"/>
  </r>
  <r>
    <s v="ORD00487"/>
    <s v="CUST0060"/>
    <s v="PRD0244"/>
    <n v="7"/>
    <s v="Customer Not Found"/>
    <x v="7"/>
    <x v="24"/>
    <x v="5"/>
    <s v="Price Missing"/>
    <n v="0"/>
  </r>
  <r>
    <s v="ORD00488"/>
    <s v="CUST0902"/>
    <s v="PRD0428"/>
    <n v="10"/>
    <s v="Customer_902"/>
    <x v="2"/>
    <x v="24"/>
    <x v="5"/>
    <s v="Price Missing"/>
    <n v="0"/>
  </r>
  <r>
    <s v="ORD00489"/>
    <s v="CUST0846"/>
    <s v="PRD0250"/>
    <n v="9"/>
    <s v="Customer_846"/>
    <x v="2"/>
    <x v="24"/>
    <x v="5"/>
    <s v="Price Missing"/>
    <n v="0"/>
  </r>
  <r>
    <s v="ORD00490"/>
    <s v="CUST0478"/>
    <s v="PRD0046"/>
    <n v="8"/>
    <s v="Customer Not Found"/>
    <x v="7"/>
    <x v="24"/>
    <x v="5"/>
    <s v="Price Missing"/>
    <n v="0"/>
  </r>
  <r>
    <s v="ORD00491"/>
    <s v="CUST0164"/>
    <s v="PRD0472"/>
    <n v="2"/>
    <s v="Customer Not Found"/>
    <x v="7"/>
    <x v="24"/>
    <x v="5"/>
    <s v="Price Missing"/>
    <n v="0"/>
  </r>
  <r>
    <s v="ORD00492"/>
    <s v="CUST0831"/>
    <s v="PRD0270"/>
    <n v="4"/>
    <s v="Customer_831"/>
    <x v="6"/>
    <x v="24"/>
    <x v="5"/>
    <s v="Price Missing"/>
    <n v="0"/>
  </r>
  <r>
    <s v="ORD00493"/>
    <s v="CUST0155"/>
    <s v="PRD0154"/>
    <n v="2"/>
    <s v="Customer Not Found"/>
    <x v="7"/>
    <x v="24"/>
    <x v="5"/>
    <s v="Price Missing"/>
    <n v="0"/>
  </r>
  <r>
    <s v="ORD00494"/>
    <s v="CUST0366"/>
    <s v="PRD0028"/>
    <n v="4"/>
    <s v="Customer Not Found"/>
    <x v="7"/>
    <x v="24"/>
    <x v="5"/>
    <s v="Price Missing"/>
    <n v="0"/>
  </r>
  <r>
    <s v="ORD00495"/>
    <s v="CUST0721"/>
    <s v="PRD0349"/>
    <n v="7"/>
    <s v="Customer_721"/>
    <x v="0"/>
    <x v="24"/>
    <x v="5"/>
    <s v="Price Missing"/>
    <n v="0"/>
  </r>
  <r>
    <s v="ORD00496"/>
    <s v="CUST0132"/>
    <s v="PRD0290"/>
    <n v="9"/>
    <s v="Customer Not Found"/>
    <x v="7"/>
    <x v="24"/>
    <x v="5"/>
    <s v="Price Missing"/>
    <n v="0"/>
  </r>
  <r>
    <s v="ORD00497"/>
    <s v="CUST0341"/>
    <s v="PRD0257"/>
    <n v="4"/>
    <s v="Customer Not Found"/>
    <x v="7"/>
    <x v="24"/>
    <x v="5"/>
    <s v="Price Missing"/>
    <n v="0"/>
  </r>
  <r>
    <s v="ORD00498"/>
    <s v="CUST0548"/>
    <s v="PRD0277"/>
    <n v="7"/>
    <s v="Customer_548"/>
    <x v="3"/>
    <x v="24"/>
    <x v="5"/>
    <s v="Price Missing"/>
    <n v="0"/>
  </r>
  <r>
    <s v="ORD00499"/>
    <s v="CUST0562"/>
    <s v="PRD0084"/>
    <n v="10"/>
    <s v="Customer_562"/>
    <x v="2"/>
    <x v="24"/>
    <x v="5"/>
    <s v="Price Missing"/>
    <n v="0"/>
  </r>
  <r>
    <s v="ORD00500"/>
    <s v="CUST0339"/>
    <s v="PRD0131"/>
    <n v="3"/>
    <s v="Customer Not Found"/>
    <x v="7"/>
    <x v="24"/>
    <x v="5"/>
    <s v="Price Missing"/>
    <n v="0"/>
  </r>
  <r>
    <s v="ORD00501"/>
    <s v="CUST0488"/>
    <s v="PRD0143"/>
    <n v="4"/>
    <s v="Customer Not Found"/>
    <x v="7"/>
    <x v="24"/>
    <x v="5"/>
    <s v="Price Missing"/>
    <n v="0"/>
  </r>
  <r>
    <s v="ORD00502"/>
    <s v="CUST0729"/>
    <s v="PRD0380"/>
    <n v="1"/>
    <s v="Customer_729"/>
    <x v="3"/>
    <x v="24"/>
    <x v="5"/>
    <s v="Price Missing"/>
    <n v="0"/>
  </r>
  <r>
    <s v="ORD00503"/>
    <s v="CUST0460"/>
    <s v="PRD0342"/>
    <n v="4"/>
    <s v="Customer Not Found"/>
    <x v="7"/>
    <x v="24"/>
    <x v="5"/>
    <s v="Price Missing"/>
    <n v="0"/>
  </r>
  <r>
    <s v="ORD00504"/>
    <s v="CUST0879"/>
    <s v="PRD0208"/>
    <n v="9"/>
    <s v="Customer_879"/>
    <x v="6"/>
    <x v="24"/>
    <x v="5"/>
    <s v="Price Missing"/>
    <n v="0"/>
  </r>
  <r>
    <s v="ORD00505"/>
    <s v="CUST0939"/>
    <s v="PRD0437"/>
    <n v="2"/>
    <s v="Customer_939"/>
    <x v="2"/>
    <x v="24"/>
    <x v="5"/>
    <s v="Price Missing"/>
    <n v="0"/>
  </r>
  <r>
    <s v="ORD00506"/>
    <s v="CUST0624"/>
    <s v="PRD0274"/>
    <n v="2"/>
    <s v="Customer_624"/>
    <x v="4"/>
    <x v="24"/>
    <x v="5"/>
    <s v="Price Missing"/>
    <n v="0"/>
  </r>
  <r>
    <s v="ORD00507"/>
    <s v="CUST0378"/>
    <s v="PRD0442"/>
    <n v="9"/>
    <s v="Customer Not Found"/>
    <x v="7"/>
    <x v="24"/>
    <x v="5"/>
    <s v="Price Missing"/>
    <n v="0"/>
  </r>
  <r>
    <s v="ORD00508"/>
    <s v="CUST0048"/>
    <s v="PRD0015"/>
    <n v="8"/>
    <s v="Customer Not Found"/>
    <x v="7"/>
    <x v="24"/>
    <x v="5"/>
    <s v="Price Missing"/>
    <n v="0"/>
  </r>
  <r>
    <s v="ORD00509"/>
    <s v="CUST0812"/>
    <s v="PRD0349"/>
    <n v="6"/>
    <s v="Customer_812"/>
    <x v="0"/>
    <x v="24"/>
    <x v="5"/>
    <s v="Price Missing"/>
    <n v="0"/>
  </r>
  <r>
    <s v="ORD00510"/>
    <s v="CUST0684"/>
    <s v="PRD0359"/>
    <n v="10"/>
    <s v="Customer_684"/>
    <x v="0"/>
    <x v="24"/>
    <x v="5"/>
    <s v="Price Missing"/>
    <n v="0"/>
  </r>
  <r>
    <s v="ORD00511"/>
    <s v="CUST0067"/>
    <s v="PRD0023"/>
    <n v="8"/>
    <s v="Customer Not Found"/>
    <x v="7"/>
    <x v="24"/>
    <x v="5"/>
    <s v="Price Missing"/>
    <n v="0"/>
  </r>
  <r>
    <s v="ORD00512"/>
    <s v="CUST0832"/>
    <s v="PRD0486"/>
    <n v="9"/>
    <s v="Customer_832"/>
    <x v="4"/>
    <x v="24"/>
    <x v="5"/>
    <s v="Price Missing"/>
    <n v="0"/>
  </r>
  <r>
    <s v="ORD00513"/>
    <s v="CUST0331"/>
    <s v="PRD0103"/>
    <n v="6"/>
    <s v="Customer Not Found"/>
    <x v="7"/>
    <x v="24"/>
    <x v="5"/>
    <s v="Price Missing"/>
    <n v="0"/>
  </r>
  <r>
    <s v="ORD00514"/>
    <s v="CUST0996"/>
    <s v="PRD0127"/>
    <n v="6"/>
    <s v="Customer_996"/>
    <x v="4"/>
    <x v="24"/>
    <x v="5"/>
    <s v="Price Missing"/>
    <n v="0"/>
  </r>
  <r>
    <s v="ORD00515"/>
    <s v="CUST0334"/>
    <s v="PRD0073"/>
    <n v="4"/>
    <s v="Customer Not Found"/>
    <x v="7"/>
    <x v="24"/>
    <x v="5"/>
    <s v="Price Missing"/>
    <n v="0"/>
  </r>
  <r>
    <s v="ORD00516"/>
    <s v="CUST0311"/>
    <s v="PRD0145"/>
    <n v="4"/>
    <s v="Customer Not Found"/>
    <x v="7"/>
    <x v="24"/>
    <x v="5"/>
    <s v="Price Missing"/>
    <n v="0"/>
  </r>
  <r>
    <s v="ORD00517"/>
    <s v="CUST0822"/>
    <s v="PRD0115"/>
    <n v="9"/>
    <s v="Customer_822"/>
    <x v="0"/>
    <x v="24"/>
    <x v="5"/>
    <s v="Price Missing"/>
    <n v="0"/>
  </r>
  <r>
    <s v="ORD00518"/>
    <s v="CUST0617"/>
    <s v="PRD0081"/>
    <n v="2"/>
    <s v="Customer_617"/>
    <x v="1"/>
    <x v="24"/>
    <x v="5"/>
    <s v="Price Missing"/>
    <n v="0"/>
  </r>
  <r>
    <s v="ORD00519"/>
    <s v="CUST0219"/>
    <s v="PRD0231"/>
    <n v="6"/>
    <s v="Customer Not Found"/>
    <x v="7"/>
    <x v="24"/>
    <x v="5"/>
    <s v="Price Missing"/>
    <n v="0"/>
  </r>
  <r>
    <s v="ORD00520"/>
    <s v="CUST0474"/>
    <s v="PRD0272"/>
    <n v="4"/>
    <s v="Customer Not Found"/>
    <x v="7"/>
    <x v="24"/>
    <x v="5"/>
    <s v="Price Missing"/>
    <n v="0"/>
  </r>
  <r>
    <s v="ORD00521"/>
    <s v="CUST0531"/>
    <s v="PRD0017"/>
    <n v="6"/>
    <s v="Customer_531"/>
    <x v="0"/>
    <x v="24"/>
    <x v="5"/>
    <s v="Price Missing"/>
    <n v="0"/>
  </r>
  <r>
    <s v="ORD00522"/>
    <s v="CUST0643"/>
    <s v="PRD0373"/>
    <n v="2"/>
    <s v="Customer_643"/>
    <x v="2"/>
    <x v="24"/>
    <x v="5"/>
    <s v="Price Missing"/>
    <n v="0"/>
  </r>
  <r>
    <s v="ORD00523"/>
    <s v="CUST0005"/>
    <s v="PRD0122"/>
    <n v="2"/>
    <s v="Customer Not Found"/>
    <x v="7"/>
    <x v="24"/>
    <x v="5"/>
    <s v="Price Missing"/>
    <n v="0"/>
  </r>
  <r>
    <s v="ORD00524"/>
    <s v="CUST0714"/>
    <s v="PRD0372"/>
    <n v="2"/>
    <s v="Customer_714"/>
    <x v="6"/>
    <x v="24"/>
    <x v="5"/>
    <s v="Price Missing"/>
    <n v="0"/>
  </r>
  <r>
    <s v="ORD00525"/>
    <s v="CUST0170"/>
    <s v="PRD0342"/>
    <n v="6"/>
    <s v="Customer Not Found"/>
    <x v="7"/>
    <x v="24"/>
    <x v="5"/>
    <s v="Price Missing"/>
    <n v="0"/>
  </r>
  <r>
    <s v="ORD00526"/>
    <s v="CUST0723"/>
    <s v="PRD0486"/>
    <n v="1"/>
    <s v="Customer_723"/>
    <x v="5"/>
    <x v="24"/>
    <x v="5"/>
    <s v="Price Missing"/>
    <n v="0"/>
  </r>
  <r>
    <s v="ORD00527"/>
    <s v="CUST0560"/>
    <s v="PRD0494"/>
    <n v="3"/>
    <s v="Customer_560"/>
    <x v="5"/>
    <x v="24"/>
    <x v="5"/>
    <s v="Price Missing"/>
    <n v="0"/>
  </r>
  <r>
    <s v="ORD00528"/>
    <s v="CUST0241"/>
    <s v="PRD0380"/>
    <n v="8"/>
    <s v="Customer Not Found"/>
    <x v="7"/>
    <x v="24"/>
    <x v="5"/>
    <s v="Price Missing"/>
    <n v="0"/>
  </r>
  <r>
    <s v="ORD00529"/>
    <s v="CUST0942"/>
    <s v="PRD0192"/>
    <n v="6"/>
    <s v="Customer_942"/>
    <x v="5"/>
    <x v="24"/>
    <x v="5"/>
    <s v="Price Missing"/>
    <n v="0"/>
  </r>
  <r>
    <s v="ORD00530"/>
    <s v="CUST0089"/>
    <s v="PRD0045"/>
    <n v="5"/>
    <s v="Customer Not Found"/>
    <x v="7"/>
    <x v="24"/>
    <x v="5"/>
    <s v="Price Missing"/>
    <n v="0"/>
  </r>
  <r>
    <s v="ORD00531"/>
    <s v="CUST0410"/>
    <s v="PRD0193"/>
    <n v="2"/>
    <s v="Customer Not Found"/>
    <x v="7"/>
    <x v="24"/>
    <x v="5"/>
    <s v="Price Missing"/>
    <n v="0"/>
  </r>
  <r>
    <s v="ORD00532"/>
    <s v="CUST0366"/>
    <s v="PRD0412"/>
    <n v="5"/>
    <s v="Customer Not Found"/>
    <x v="7"/>
    <x v="24"/>
    <x v="5"/>
    <s v="Price Missing"/>
    <n v="0"/>
  </r>
  <r>
    <s v="ORD00533"/>
    <s v="CUST0915"/>
    <s v="PRD0368"/>
    <n v="10"/>
    <s v="Customer_915"/>
    <x v="1"/>
    <x v="24"/>
    <x v="5"/>
    <s v="Price Missing"/>
    <n v="0"/>
  </r>
  <r>
    <s v="ORD00534"/>
    <s v="CUST0083"/>
    <s v="PRD0334"/>
    <n v="6"/>
    <s v="Customer Not Found"/>
    <x v="7"/>
    <x v="24"/>
    <x v="5"/>
    <s v="Price Missing"/>
    <n v="0"/>
  </r>
  <r>
    <s v="ORD00535"/>
    <s v="CUST0931"/>
    <s v="PRD0147"/>
    <n v="8"/>
    <s v="Customer_931"/>
    <x v="5"/>
    <x v="24"/>
    <x v="5"/>
    <s v="Price Missing"/>
    <n v="0"/>
  </r>
  <r>
    <s v="ORD00536"/>
    <s v="CUST0607"/>
    <s v="PRD0441"/>
    <n v="4"/>
    <s v="Customer_607"/>
    <x v="2"/>
    <x v="24"/>
    <x v="5"/>
    <s v="Price Missing"/>
    <n v="0"/>
  </r>
  <r>
    <s v="ORD00537"/>
    <s v="CUST0155"/>
    <s v="PRD0452"/>
    <n v="9"/>
    <s v="Customer Not Found"/>
    <x v="7"/>
    <x v="24"/>
    <x v="5"/>
    <s v="Price Missing"/>
    <n v="0"/>
  </r>
  <r>
    <s v="ORD00538"/>
    <s v="CUST0557"/>
    <s v="PRD0042"/>
    <n v="8"/>
    <s v="Customer_557"/>
    <x v="5"/>
    <x v="24"/>
    <x v="5"/>
    <s v="Price Missing"/>
    <n v="0"/>
  </r>
  <r>
    <s v="ORD00539"/>
    <s v="CUST0917"/>
    <s v="PRD0116"/>
    <n v="3"/>
    <s v="Customer_917"/>
    <x v="5"/>
    <x v="24"/>
    <x v="5"/>
    <s v="Price Missing"/>
    <n v="0"/>
  </r>
  <r>
    <s v="ORD00540"/>
    <s v="CUST0241"/>
    <s v="PRD0141"/>
    <n v="8"/>
    <s v="Customer Not Found"/>
    <x v="7"/>
    <x v="24"/>
    <x v="5"/>
    <s v="Price Missing"/>
    <n v="0"/>
  </r>
  <r>
    <s v="ORD00541"/>
    <s v="CUST0432"/>
    <s v="PRD0196"/>
    <n v="8"/>
    <s v="Customer Not Found"/>
    <x v="7"/>
    <x v="24"/>
    <x v="5"/>
    <s v="Price Missing"/>
    <n v="0"/>
  </r>
  <r>
    <s v="ORD00542"/>
    <s v="CUST0324"/>
    <s v="PRD0375"/>
    <n v="1"/>
    <s v="Customer Not Found"/>
    <x v="7"/>
    <x v="24"/>
    <x v="5"/>
    <s v="Price Missing"/>
    <n v="0"/>
  </r>
  <r>
    <s v="ORD00543"/>
    <s v="CUST0351"/>
    <s v="PRD0117"/>
    <n v="4"/>
    <s v="Customer Not Found"/>
    <x v="7"/>
    <x v="24"/>
    <x v="5"/>
    <s v="Price Missing"/>
    <n v="0"/>
  </r>
  <r>
    <s v="ORD00544"/>
    <s v="CUST0267"/>
    <s v="PRD0473"/>
    <n v="10"/>
    <s v="Customer Not Found"/>
    <x v="7"/>
    <x v="24"/>
    <x v="5"/>
    <s v="Price Missing"/>
    <n v="0"/>
  </r>
  <r>
    <s v="ORD00545"/>
    <s v="CUST0659"/>
    <s v="PRD0187"/>
    <n v="8"/>
    <s v="Customer_659"/>
    <x v="4"/>
    <x v="24"/>
    <x v="5"/>
    <s v="Price Missing"/>
    <n v="0"/>
  </r>
  <r>
    <s v="ORD00546"/>
    <s v="CUST0441"/>
    <s v="PRD0392"/>
    <n v="7"/>
    <s v="Customer Not Found"/>
    <x v="7"/>
    <x v="24"/>
    <x v="5"/>
    <s v="Price Missing"/>
    <n v="0"/>
  </r>
  <r>
    <s v="ORD00547"/>
    <s v="CUST0201"/>
    <s v="PRD0094"/>
    <n v="10"/>
    <s v="Customer Not Found"/>
    <x v="7"/>
    <x v="24"/>
    <x v="5"/>
    <s v="Price Missing"/>
    <n v="0"/>
  </r>
  <r>
    <s v="ORD00548"/>
    <s v="CUST0711"/>
    <s v="PRD0430"/>
    <n v="5"/>
    <s v="Customer_711"/>
    <x v="0"/>
    <x v="24"/>
    <x v="5"/>
    <s v="Price Missing"/>
    <n v="0"/>
  </r>
  <r>
    <s v="ORD00549"/>
    <s v="CUST0340"/>
    <s v="PRD0391"/>
    <n v="7"/>
    <s v="Customer Not Found"/>
    <x v="7"/>
    <x v="24"/>
    <x v="5"/>
    <s v="Price Missing"/>
    <n v="0"/>
  </r>
  <r>
    <s v="ORD00550"/>
    <s v="CUST0096"/>
    <s v="PRD0338"/>
    <n v="10"/>
    <s v="Customer Not Found"/>
    <x v="7"/>
    <x v="24"/>
    <x v="5"/>
    <s v="Price Missing"/>
    <n v="0"/>
  </r>
  <r>
    <s v="ORD00551"/>
    <s v="CUST0134"/>
    <s v="PRD0045"/>
    <n v="3"/>
    <s v="Customer Not Found"/>
    <x v="7"/>
    <x v="24"/>
    <x v="5"/>
    <s v="Price Missing"/>
    <n v="0"/>
  </r>
  <r>
    <s v="ORD00552"/>
    <s v="CUST0320"/>
    <s v="PRD0112"/>
    <n v="4"/>
    <s v="Customer Not Found"/>
    <x v="7"/>
    <x v="24"/>
    <x v="5"/>
    <s v="Price Missing"/>
    <n v="0"/>
  </r>
  <r>
    <s v="ORD00553"/>
    <s v="CUST0899"/>
    <s v="PRD0461"/>
    <n v="10"/>
    <s v="Customer_899"/>
    <x v="3"/>
    <x v="24"/>
    <x v="5"/>
    <s v="Price Missing"/>
    <n v="0"/>
  </r>
  <r>
    <s v="ORD00554"/>
    <s v="CUST0165"/>
    <s v="PRD0163"/>
    <n v="2"/>
    <s v="Customer Not Found"/>
    <x v="7"/>
    <x v="24"/>
    <x v="5"/>
    <s v="Price Missing"/>
    <n v="0"/>
  </r>
  <r>
    <s v="ORD00555"/>
    <s v="CUST0357"/>
    <s v="PRD0246"/>
    <n v="5"/>
    <s v="Customer Not Found"/>
    <x v="7"/>
    <x v="24"/>
    <x v="5"/>
    <s v="Price Missing"/>
    <n v="0"/>
  </r>
  <r>
    <s v="ORD00556"/>
    <s v="CUST0618"/>
    <s v="PRD0498"/>
    <n v="10"/>
    <s v="Customer_618"/>
    <x v="4"/>
    <x v="24"/>
    <x v="5"/>
    <s v="Price Missing"/>
    <n v="0"/>
  </r>
  <r>
    <s v="ORD00557"/>
    <s v="CUST0855"/>
    <s v="PRD0286"/>
    <n v="2"/>
    <s v="Customer_855"/>
    <x v="4"/>
    <x v="24"/>
    <x v="5"/>
    <s v="Price Missing"/>
    <n v="0"/>
  </r>
  <r>
    <s v="ORD00558"/>
    <s v="CUST0876"/>
    <s v="PRD0331"/>
    <n v="4"/>
    <s v="Customer_876"/>
    <x v="5"/>
    <x v="24"/>
    <x v="5"/>
    <s v="Price Missing"/>
    <n v="0"/>
  </r>
  <r>
    <s v="ORD00559"/>
    <s v="CUST0821"/>
    <s v="PRD0375"/>
    <n v="2"/>
    <s v="Customer_821"/>
    <x v="5"/>
    <x v="24"/>
    <x v="5"/>
    <s v="Price Missing"/>
    <n v="0"/>
  </r>
  <r>
    <s v="ORD00560"/>
    <s v="CUST0376"/>
    <s v="PRD0139"/>
    <n v="10"/>
    <s v="Customer Not Found"/>
    <x v="7"/>
    <x v="24"/>
    <x v="5"/>
    <s v="Price Missing"/>
    <n v="0"/>
  </r>
  <r>
    <s v="ORD00561"/>
    <s v="CUST0321"/>
    <s v="PRD0451"/>
    <n v="6"/>
    <s v="Customer Not Found"/>
    <x v="7"/>
    <x v="24"/>
    <x v="5"/>
    <s v="Price Missing"/>
    <n v="0"/>
  </r>
  <r>
    <s v="ORD00562"/>
    <s v="CUST0584"/>
    <s v="PRD0060"/>
    <n v="2"/>
    <s v="Customer_584"/>
    <x v="3"/>
    <x v="24"/>
    <x v="5"/>
    <s v="Price Missing"/>
    <n v="0"/>
  </r>
  <r>
    <s v="ORD00563"/>
    <s v="CUST0724"/>
    <s v="PRD0007"/>
    <n v="8"/>
    <s v="Customer_724"/>
    <x v="6"/>
    <x v="24"/>
    <x v="5"/>
    <s v="Price Missing"/>
    <n v="0"/>
  </r>
  <r>
    <s v="ORD00564"/>
    <s v="CUST0870"/>
    <s v="PRD0174"/>
    <n v="10"/>
    <s v="Customer_870"/>
    <x v="5"/>
    <x v="24"/>
    <x v="5"/>
    <s v="Price Missing"/>
    <n v="0"/>
  </r>
  <r>
    <s v="ORD00565"/>
    <s v="CUST0760"/>
    <s v="PRD0382"/>
    <n v="3"/>
    <s v="Customer_760"/>
    <x v="6"/>
    <x v="24"/>
    <x v="5"/>
    <s v="Price Missing"/>
    <n v="0"/>
  </r>
  <r>
    <s v="ORD00566"/>
    <s v="CUST0040"/>
    <s v="PRD0045"/>
    <n v="5"/>
    <s v="Customer Not Found"/>
    <x v="7"/>
    <x v="24"/>
    <x v="5"/>
    <s v="Price Missing"/>
    <n v="0"/>
  </r>
  <r>
    <s v="ORD00567"/>
    <s v="CUST0126"/>
    <s v="PRD0214"/>
    <n v="1"/>
    <s v="Customer Not Found"/>
    <x v="7"/>
    <x v="24"/>
    <x v="5"/>
    <s v="Price Missing"/>
    <n v="0"/>
  </r>
  <r>
    <s v="ORD00568"/>
    <s v="CUST0709"/>
    <s v="PRD0497"/>
    <n v="4"/>
    <s v="Customer_709"/>
    <x v="0"/>
    <x v="24"/>
    <x v="5"/>
    <s v="Price Missing"/>
    <n v="0"/>
  </r>
  <r>
    <s v="ORD00569"/>
    <s v="CUST0060"/>
    <s v="PRD0428"/>
    <n v="10"/>
    <s v="Customer Not Found"/>
    <x v="7"/>
    <x v="24"/>
    <x v="5"/>
    <s v="Price Missing"/>
    <n v="0"/>
  </r>
  <r>
    <s v="ORD00570"/>
    <s v="CUST0531"/>
    <s v="PRD0044"/>
    <n v="9"/>
    <s v="Customer Not Found"/>
    <x v="7"/>
    <x v="24"/>
    <x v="5"/>
    <s v="Price Missing"/>
    <n v="0"/>
  </r>
  <r>
    <s v="ORD00571"/>
    <s v="CUST0508"/>
    <s v="PRD0418"/>
    <n v="5"/>
    <s v="Customer Not Found"/>
    <x v="7"/>
    <x v="24"/>
    <x v="5"/>
    <s v="Price Missing"/>
    <n v="0"/>
  </r>
  <r>
    <s v="ORD00572"/>
    <s v="CUST0530"/>
    <s v="PRD0339"/>
    <n v="5"/>
    <s v="Customer Not Found"/>
    <x v="7"/>
    <x v="24"/>
    <x v="5"/>
    <s v="Price Missing"/>
    <n v="0"/>
  </r>
  <r>
    <s v="ORD00573"/>
    <s v="CUST0106"/>
    <s v="PRD0445"/>
    <n v="7"/>
    <s v="Customer Not Found"/>
    <x v="7"/>
    <x v="24"/>
    <x v="5"/>
    <s v="Price Missing"/>
    <n v="0"/>
  </r>
  <r>
    <s v="ORD00574"/>
    <s v="CUST0484"/>
    <s v="PRD0293"/>
    <n v="3"/>
    <s v="Customer Not Found"/>
    <x v="7"/>
    <x v="24"/>
    <x v="5"/>
    <s v="Price Missing"/>
    <n v="0"/>
  </r>
  <r>
    <s v="ORD00575"/>
    <s v="CUST0453"/>
    <s v="PRD0350"/>
    <n v="6"/>
    <s v="Customer Not Found"/>
    <x v="7"/>
    <x v="24"/>
    <x v="5"/>
    <s v="Price Missing"/>
    <n v="0"/>
  </r>
  <r>
    <s v="ORD00576"/>
    <s v="CUST0525"/>
    <s v="PRD0330"/>
    <n v="4"/>
    <s v="Customer Not Found"/>
    <x v="7"/>
    <x v="24"/>
    <x v="5"/>
    <s v="Price Missing"/>
    <n v="0"/>
  </r>
  <r>
    <s v="ORD00577"/>
    <s v="CUST0751"/>
    <s v="PRD0133"/>
    <n v="9"/>
    <s v="Customer_751"/>
    <x v="4"/>
    <x v="24"/>
    <x v="5"/>
    <s v="Price Missing"/>
    <n v="0"/>
  </r>
  <r>
    <s v="ORD00578"/>
    <s v="CUST0950"/>
    <s v="PRD0241"/>
    <n v="4"/>
    <s v="Customer_950"/>
    <x v="6"/>
    <x v="24"/>
    <x v="5"/>
    <s v="Price Missing"/>
    <n v="0"/>
  </r>
  <r>
    <s v="ORD00579"/>
    <s v="CUST0891"/>
    <s v="PRD0326"/>
    <n v="5"/>
    <s v="Customer_891"/>
    <x v="4"/>
    <x v="24"/>
    <x v="5"/>
    <s v="Price Missing"/>
    <n v="0"/>
  </r>
  <r>
    <s v="ORD00580"/>
    <s v="CUST0193"/>
    <s v="PRD0122"/>
    <n v="3"/>
    <s v="Customer Not Found"/>
    <x v="7"/>
    <x v="24"/>
    <x v="5"/>
    <s v="Price Missing"/>
    <n v="0"/>
  </r>
  <r>
    <s v="ORD00581"/>
    <s v="CUST0033"/>
    <s v="PRD0124"/>
    <n v="3"/>
    <s v="Customer Not Found"/>
    <x v="7"/>
    <x v="24"/>
    <x v="5"/>
    <s v="Price Missing"/>
    <n v="0"/>
  </r>
  <r>
    <s v="ORD00582"/>
    <s v="CUST0863"/>
    <s v="PRD0390"/>
    <n v="7"/>
    <s v="Customer_863"/>
    <x v="0"/>
    <x v="24"/>
    <x v="5"/>
    <s v="Price Missing"/>
    <n v="0"/>
  </r>
  <r>
    <s v="ORD00583"/>
    <s v="CUST0693"/>
    <s v="PRD0025"/>
    <n v="2"/>
    <s v="Customer_693"/>
    <x v="2"/>
    <x v="24"/>
    <x v="5"/>
    <s v="Price Missing"/>
    <n v="0"/>
  </r>
  <r>
    <s v="ORD00584"/>
    <s v="CUST0983"/>
    <s v="PRD0213"/>
    <n v="3"/>
    <s v="Customer_983"/>
    <x v="5"/>
    <x v="24"/>
    <x v="5"/>
    <s v="Price Missing"/>
    <n v="0"/>
  </r>
  <r>
    <s v="ORD00585"/>
    <s v="CUST0346"/>
    <s v="PRD0427"/>
    <n v="3"/>
    <s v="Customer Not Found"/>
    <x v="7"/>
    <x v="24"/>
    <x v="5"/>
    <s v="Price Missing"/>
    <n v="0"/>
  </r>
  <r>
    <s v="ORD00586"/>
    <s v="CUST0239"/>
    <s v="PRD0061"/>
    <n v="10"/>
    <s v="Customer Not Found"/>
    <x v="7"/>
    <x v="24"/>
    <x v="5"/>
    <s v="Price Missing"/>
    <n v="0"/>
  </r>
  <r>
    <s v="ORD00587"/>
    <s v="CUST0416"/>
    <s v="PRD0369"/>
    <n v="8"/>
    <s v="Customer Not Found"/>
    <x v="7"/>
    <x v="24"/>
    <x v="5"/>
    <s v="Price Missing"/>
    <n v="0"/>
  </r>
  <r>
    <s v="ORD00588"/>
    <s v="CUST0962"/>
    <s v="PRD0049"/>
    <n v="4"/>
    <s v="Customer_962"/>
    <x v="6"/>
    <x v="24"/>
    <x v="5"/>
    <s v="Price Missing"/>
    <n v="0"/>
  </r>
  <r>
    <s v="ORD00589"/>
    <s v="CUST0566"/>
    <s v="PRD0122"/>
    <n v="8"/>
    <s v="Customer Not Found"/>
    <x v="7"/>
    <x v="24"/>
    <x v="5"/>
    <s v="Price Missing"/>
    <n v="0"/>
  </r>
  <r>
    <s v="ORD00590"/>
    <s v="CUST0323"/>
    <s v="PRD0257"/>
    <n v="9"/>
    <s v="Customer Not Found"/>
    <x v="7"/>
    <x v="24"/>
    <x v="5"/>
    <s v="Price Missing"/>
    <n v="0"/>
  </r>
  <r>
    <s v="ORD00591"/>
    <s v="CUST0701"/>
    <s v="PRD0312"/>
    <n v="5"/>
    <s v="Customer_701"/>
    <x v="3"/>
    <x v="24"/>
    <x v="5"/>
    <s v="Price Missing"/>
    <n v="0"/>
  </r>
  <r>
    <s v="ORD00592"/>
    <s v="CUST0743"/>
    <s v="PRD0390"/>
    <n v="7"/>
    <s v="Customer_743"/>
    <x v="1"/>
    <x v="24"/>
    <x v="5"/>
    <s v="Price Missing"/>
    <n v="0"/>
  </r>
  <r>
    <s v="ORD00593"/>
    <s v="CUST0837"/>
    <s v="PRD0364"/>
    <n v="3"/>
    <s v="Customer_837"/>
    <x v="1"/>
    <x v="24"/>
    <x v="5"/>
    <s v="Price Missing"/>
    <n v="0"/>
  </r>
  <r>
    <s v="ORD00594"/>
    <s v="CUST0601"/>
    <s v="PRD0141"/>
    <n v="2"/>
    <s v="Customer_601"/>
    <x v="4"/>
    <x v="24"/>
    <x v="5"/>
    <s v="Price Missing"/>
    <n v="0"/>
  </r>
  <r>
    <s v="ORD00595"/>
    <s v="CUST0015"/>
    <s v="PRD0170"/>
    <n v="2"/>
    <s v="Customer Not Found"/>
    <x v="7"/>
    <x v="24"/>
    <x v="5"/>
    <s v="Price Missing"/>
    <n v="0"/>
  </r>
  <r>
    <s v="ORD00596"/>
    <s v="CUST0004"/>
    <s v="PRD0173"/>
    <n v="1"/>
    <s v="Customer Not Found"/>
    <x v="7"/>
    <x v="24"/>
    <x v="5"/>
    <s v="Price Missing"/>
    <n v="0"/>
  </r>
  <r>
    <s v="ORD00597"/>
    <s v="CUST0537"/>
    <s v="PRD0373"/>
    <n v="6"/>
    <s v="Customer Not Found"/>
    <x v="7"/>
    <x v="24"/>
    <x v="5"/>
    <s v="Price Missing"/>
    <n v="0"/>
  </r>
  <r>
    <s v="ORD00598"/>
    <s v="CUST0201"/>
    <s v="PRD0346"/>
    <n v="6"/>
    <s v="Customer Not Found"/>
    <x v="7"/>
    <x v="24"/>
    <x v="5"/>
    <s v="Price Missing"/>
    <n v="0"/>
  </r>
  <r>
    <s v="ORD00599"/>
    <s v="CUST0291"/>
    <s v="PRD0101"/>
    <n v="2"/>
    <s v="Customer Not Found"/>
    <x v="7"/>
    <x v="24"/>
    <x v="5"/>
    <s v="Price Missing"/>
    <n v="0"/>
  </r>
  <r>
    <s v="ORD00600"/>
    <s v="CUST0016"/>
    <s v="PRD0115"/>
    <n v="9"/>
    <s v="Customer Not Found"/>
    <x v="7"/>
    <x v="24"/>
    <x v="5"/>
    <s v="Price Missing"/>
    <n v="0"/>
  </r>
  <r>
    <s v="ORD00601"/>
    <s v="CUST0735"/>
    <s v="PRD0285"/>
    <n v="8"/>
    <s v="Customer_735"/>
    <x v="4"/>
    <x v="24"/>
    <x v="5"/>
    <s v="Price Missing"/>
    <n v="0"/>
  </r>
  <r>
    <s v="ORD00602"/>
    <s v="CUST0450"/>
    <s v="PRD0421"/>
    <n v="1"/>
    <s v="Customer Not Found"/>
    <x v="7"/>
    <x v="24"/>
    <x v="5"/>
    <s v="Price Missing"/>
    <n v="0"/>
  </r>
  <r>
    <s v="ORD00603"/>
    <s v="CUST0148"/>
    <s v="PRD0008"/>
    <n v="9"/>
    <s v="Customer Not Found"/>
    <x v="7"/>
    <x v="24"/>
    <x v="5"/>
    <s v="Price Missing"/>
    <n v="0"/>
  </r>
  <r>
    <s v="ORD00604"/>
    <s v="CUST0938"/>
    <s v="PRD0112"/>
    <n v="10"/>
    <s v="Customer_938"/>
    <x v="1"/>
    <x v="24"/>
    <x v="5"/>
    <s v="Price Missing"/>
    <n v="0"/>
  </r>
  <r>
    <s v="ORD00605"/>
    <s v="CUST0378"/>
    <s v="PRD0459"/>
    <n v="7"/>
    <s v="Customer Not Found"/>
    <x v="7"/>
    <x v="24"/>
    <x v="5"/>
    <s v="Price Missing"/>
    <n v="0"/>
  </r>
  <r>
    <s v="ORD00606"/>
    <s v="CUST0054"/>
    <s v="PRD0395"/>
    <n v="2"/>
    <s v="Customer Not Found"/>
    <x v="7"/>
    <x v="24"/>
    <x v="5"/>
    <s v="Price Missing"/>
    <n v="0"/>
  </r>
  <r>
    <s v="ORD00607"/>
    <s v="CUST0401"/>
    <s v="PRD0388"/>
    <n v="5"/>
    <s v="Customer Not Found"/>
    <x v="7"/>
    <x v="24"/>
    <x v="5"/>
    <s v="Price Missing"/>
    <n v="0"/>
  </r>
  <r>
    <s v="ORD00608"/>
    <s v="CUST0100"/>
    <s v="PRD0226"/>
    <n v="10"/>
    <s v="Customer Not Found"/>
    <x v="7"/>
    <x v="24"/>
    <x v="5"/>
    <s v="Price Missing"/>
    <n v="0"/>
  </r>
  <r>
    <s v="ORD00609"/>
    <s v="CUST0307"/>
    <s v="PRD0138"/>
    <n v="10"/>
    <s v="Customer Not Found"/>
    <x v="7"/>
    <x v="24"/>
    <x v="5"/>
    <s v="Price Missing"/>
    <n v="0"/>
  </r>
  <r>
    <s v="ORD00610"/>
    <s v="CUST0926"/>
    <s v="PRD0393"/>
    <n v="4"/>
    <s v="Customer_926"/>
    <x v="3"/>
    <x v="24"/>
    <x v="5"/>
    <s v="Price Missing"/>
    <n v="0"/>
  </r>
  <r>
    <s v="ORD00611"/>
    <s v="CUST0595"/>
    <s v="PRD0398"/>
    <n v="8"/>
    <s v="Customer Not Found"/>
    <x v="7"/>
    <x v="24"/>
    <x v="5"/>
    <s v="Price Missing"/>
    <n v="0"/>
  </r>
  <r>
    <s v="ORD00612"/>
    <s v="CUST0448"/>
    <s v="PRD0092"/>
    <n v="4"/>
    <s v="Customer Not Found"/>
    <x v="7"/>
    <x v="24"/>
    <x v="5"/>
    <s v="Price Missing"/>
    <n v="0"/>
  </r>
  <r>
    <s v="ORD00613"/>
    <s v="CUST0520"/>
    <s v="PRD0291"/>
    <n v="2"/>
    <s v="Customer Not Found"/>
    <x v="7"/>
    <x v="24"/>
    <x v="5"/>
    <s v="Price Missing"/>
    <n v="0"/>
  </r>
  <r>
    <s v="ORD00614"/>
    <s v="CUST0101"/>
    <s v="PRD0363"/>
    <n v="3"/>
    <s v="Customer Not Found"/>
    <x v="7"/>
    <x v="24"/>
    <x v="5"/>
    <s v="Price Missing"/>
    <n v="0"/>
  </r>
  <r>
    <s v="ORD00615"/>
    <s v="CUST0464"/>
    <s v="PRD0480"/>
    <n v="10"/>
    <s v="Customer Not Found"/>
    <x v="7"/>
    <x v="24"/>
    <x v="5"/>
    <s v="Price Missing"/>
    <n v="0"/>
  </r>
  <r>
    <s v="ORD00616"/>
    <s v="CUST0192"/>
    <s v="PRD0409"/>
    <n v="5"/>
    <s v="Customer Not Found"/>
    <x v="7"/>
    <x v="24"/>
    <x v="5"/>
    <s v="Price Missing"/>
    <n v="0"/>
  </r>
  <r>
    <s v="ORD00617"/>
    <s v="CUST0268"/>
    <s v="PRD0225"/>
    <n v="7"/>
    <s v="Customer Not Found"/>
    <x v="7"/>
    <x v="24"/>
    <x v="5"/>
    <s v="Price Missing"/>
    <n v="0"/>
  </r>
  <r>
    <s v="ORD00618"/>
    <s v="CUST0189"/>
    <s v="PRD0478"/>
    <n v="8"/>
    <s v="Customer Not Found"/>
    <x v="7"/>
    <x v="24"/>
    <x v="5"/>
    <s v="Price Missing"/>
    <n v="0"/>
  </r>
  <r>
    <s v="ORD00619"/>
    <s v="CUST0901"/>
    <s v="PRD0137"/>
    <n v="4"/>
    <s v="Customer_901"/>
    <x v="1"/>
    <x v="24"/>
    <x v="5"/>
    <s v="Price Missing"/>
    <n v="0"/>
  </r>
  <r>
    <s v="ORD00620"/>
    <s v="CUST0146"/>
    <s v="PRD0009"/>
    <n v="1"/>
    <s v="Customer Not Found"/>
    <x v="7"/>
    <x v="24"/>
    <x v="5"/>
    <s v="Price Missing"/>
    <n v="0"/>
  </r>
  <r>
    <s v="ORD00621"/>
    <s v="CUST0516"/>
    <s v="PRD0311"/>
    <n v="3"/>
    <s v="Customer Not Found"/>
    <x v="7"/>
    <x v="24"/>
    <x v="5"/>
    <s v="Price Missing"/>
    <n v="0"/>
  </r>
  <r>
    <s v="ORD00622"/>
    <s v="CUST0391"/>
    <s v="PRD0361"/>
    <n v="3"/>
    <s v="Customer Not Found"/>
    <x v="7"/>
    <x v="24"/>
    <x v="5"/>
    <s v="Price Missing"/>
    <n v="0"/>
  </r>
  <r>
    <s v="ORD00623"/>
    <s v="CUST0154"/>
    <s v="PRD0261"/>
    <n v="1"/>
    <s v="Customer Not Found"/>
    <x v="7"/>
    <x v="24"/>
    <x v="5"/>
    <s v="Price Missing"/>
    <n v="0"/>
  </r>
  <r>
    <s v="ORD00624"/>
    <s v="CUST0971"/>
    <s v="PRD0391"/>
    <n v="8"/>
    <s v="Customer_971"/>
    <x v="5"/>
    <x v="24"/>
    <x v="5"/>
    <s v="Price Missing"/>
    <n v="0"/>
  </r>
  <r>
    <s v="ORD00625"/>
    <s v="CUST0762"/>
    <s v="PRD0075"/>
    <n v="3"/>
    <s v="Customer_762"/>
    <x v="4"/>
    <x v="24"/>
    <x v="5"/>
    <s v="Price Missing"/>
    <n v="0"/>
  </r>
  <r>
    <s v="ORD00626"/>
    <s v="CUST0169"/>
    <s v="PRD0428"/>
    <n v="3"/>
    <s v="Customer Not Found"/>
    <x v="7"/>
    <x v="24"/>
    <x v="5"/>
    <s v="Price Missing"/>
    <n v="0"/>
  </r>
  <r>
    <s v="ORD00627"/>
    <s v="CUST0231"/>
    <s v="PRD0106"/>
    <n v="1"/>
    <s v="Customer Not Found"/>
    <x v="7"/>
    <x v="24"/>
    <x v="5"/>
    <s v="Price Missing"/>
    <n v="0"/>
  </r>
  <r>
    <s v="ORD00628"/>
    <s v="CUST0752"/>
    <s v="PRD0427"/>
    <n v="2"/>
    <s v="Customer_752"/>
    <x v="6"/>
    <x v="24"/>
    <x v="5"/>
    <s v="Price Missing"/>
    <n v="0"/>
  </r>
  <r>
    <s v="ORD00629"/>
    <s v="CUST0107"/>
    <s v="PRD0129"/>
    <n v="2"/>
    <s v="Customer Not Found"/>
    <x v="7"/>
    <x v="24"/>
    <x v="5"/>
    <s v="Price Missing"/>
    <n v="0"/>
  </r>
  <r>
    <s v="ORD00630"/>
    <s v="CUST0346"/>
    <s v="PRD0262"/>
    <n v="4"/>
    <s v="Customer Not Found"/>
    <x v="7"/>
    <x v="24"/>
    <x v="5"/>
    <s v="Price Missing"/>
    <n v="0"/>
  </r>
  <r>
    <s v="ORD00631"/>
    <s v="CUST0256"/>
    <s v="PRD0405"/>
    <n v="4"/>
    <s v="Customer Not Found"/>
    <x v="7"/>
    <x v="24"/>
    <x v="5"/>
    <s v="Price Missing"/>
    <n v="0"/>
  </r>
  <r>
    <s v="ORD00632"/>
    <s v="CUST0975"/>
    <s v="PRD0054"/>
    <n v="7"/>
    <s v="Customer_975"/>
    <x v="0"/>
    <x v="24"/>
    <x v="5"/>
    <s v="Price Missing"/>
    <n v="0"/>
  </r>
  <r>
    <s v="ORD00633"/>
    <s v="CUST0899"/>
    <s v="PRD0349"/>
    <n v="9"/>
    <s v="Customer_899"/>
    <x v="3"/>
    <x v="24"/>
    <x v="5"/>
    <s v="Price Missing"/>
    <n v="0"/>
  </r>
  <r>
    <s v="ORD00634"/>
    <s v="CUST0782"/>
    <s v="PRD0052"/>
    <n v="3"/>
    <s v="Customer_782"/>
    <x v="1"/>
    <x v="24"/>
    <x v="5"/>
    <s v="Price Missing"/>
    <n v="0"/>
  </r>
  <r>
    <s v="ORD00635"/>
    <s v="CUST0592"/>
    <s v="PRD0421"/>
    <n v="3"/>
    <s v="Customer Not Found"/>
    <x v="7"/>
    <x v="24"/>
    <x v="5"/>
    <s v="Price Missing"/>
    <n v="0"/>
  </r>
  <r>
    <s v="ORD00636"/>
    <s v="CUST0757"/>
    <s v="PRD0483"/>
    <n v="9"/>
    <s v="Customer_757"/>
    <x v="2"/>
    <x v="24"/>
    <x v="5"/>
    <s v="Price Missing"/>
    <n v="0"/>
  </r>
  <r>
    <s v="ORD00637"/>
    <s v="CUST0247"/>
    <s v="PRD0200"/>
    <n v="3"/>
    <s v="Customer Not Found"/>
    <x v="7"/>
    <x v="24"/>
    <x v="5"/>
    <s v="Price Missing"/>
    <n v="0"/>
  </r>
  <r>
    <s v="ORD00638"/>
    <s v="CUST0070"/>
    <s v="PRD0310"/>
    <n v="9"/>
    <s v="Customer Not Found"/>
    <x v="7"/>
    <x v="24"/>
    <x v="5"/>
    <s v="Price Missing"/>
    <n v="0"/>
  </r>
  <r>
    <s v="ORD00639"/>
    <s v="CUST0161"/>
    <s v="PRD0366"/>
    <n v="8"/>
    <s v="Customer Not Found"/>
    <x v="7"/>
    <x v="24"/>
    <x v="5"/>
    <s v="Price Missing"/>
    <n v="0"/>
  </r>
  <r>
    <s v="ORD00640"/>
    <s v="CUST0788"/>
    <s v="PRD0150"/>
    <n v="9"/>
    <s v="Customer_788"/>
    <x v="1"/>
    <x v="24"/>
    <x v="5"/>
    <s v="Price Missing"/>
    <n v="0"/>
  </r>
  <r>
    <s v="ORD00641"/>
    <s v="CUST0178"/>
    <s v="PRD0431"/>
    <n v="3"/>
    <s v="Customer Not Found"/>
    <x v="7"/>
    <x v="24"/>
    <x v="5"/>
    <s v="Price Missing"/>
    <n v="0"/>
  </r>
  <r>
    <s v="ORD00642"/>
    <s v="CUST0445"/>
    <s v="PRD0458"/>
    <n v="1"/>
    <s v="Customer Not Found"/>
    <x v="7"/>
    <x v="24"/>
    <x v="5"/>
    <s v="Price Missing"/>
    <n v="0"/>
  </r>
  <r>
    <s v="ORD00643"/>
    <s v="CUST0165"/>
    <s v="PRD0231"/>
    <n v="10"/>
    <s v="Customer Not Found"/>
    <x v="7"/>
    <x v="24"/>
    <x v="5"/>
    <s v="Price Missing"/>
    <n v="0"/>
  </r>
  <r>
    <s v="ORD00644"/>
    <s v="CUST0711"/>
    <s v="PRD0264"/>
    <n v="5"/>
    <s v="Customer_711"/>
    <x v="0"/>
    <x v="24"/>
    <x v="5"/>
    <s v="Price Missing"/>
    <n v="0"/>
  </r>
  <r>
    <s v="ORD00645"/>
    <s v="CUST0916"/>
    <s v="PRD0464"/>
    <n v="6"/>
    <s v="Customer_916"/>
    <x v="4"/>
    <x v="24"/>
    <x v="5"/>
    <s v="Price Missing"/>
    <n v="0"/>
  </r>
  <r>
    <s v="ORD00646"/>
    <s v="CUST0443"/>
    <s v="PRD0452"/>
    <n v="6"/>
    <s v="Customer Not Found"/>
    <x v="7"/>
    <x v="24"/>
    <x v="5"/>
    <s v="Price Missing"/>
    <n v="0"/>
  </r>
  <r>
    <s v="ORD00647"/>
    <s v="CUST0536"/>
    <s v="PRD0082"/>
    <n v="7"/>
    <s v="Customer Not Found"/>
    <x v="7"/>
    <x v="24"/>
    <x v="5"/>
    <s v="Price Missing"/>
    <n v="0"/>
  </r>
  <r>
    <s v="ORD00648"/>
    <s v="CUST0444"/>
    <s v="PRD0444"/>
    <n v="9"/>
    <s v="Customer Not Found"/>
    <x v="7"/>
    <x v="24"/>
    <x v="5"/>
    <s v="Price Missing"/>
    <n v="0"/>
  </r>
  <r>
    <s v="ORD00649"/>
    <s v="CUST0455"/>
    <s v="PRD0305"/>
    <n v="5"/>
    <s v="Customer Not Found"/>
    <x v="7"/>
    <x v="24"/>
    <x v="5"/>
    <s v="Price Missing"/>
    <n v="0"/>
  </r>
  <r>
    <s v="ORD00650"/>
    <s v="CUST0524"/>
    <s v="PRD0045"/>
    <n v="2"/>
    <s v="Customer Not Found"/>
    <x v="7"/>
    <x v="24"/>
    <x v="5"/>
    <s v="Price Missing"/>
    <n v="0"/>
  </r>
  <r>
    <s v="ORD00651"/>
    <s v="CUST0507"/>
    <s v="PRD0393"/>
    <n v="4"/>
    <s v="Customer Not Found"/>
    <x v="7"/>
    <x v="24"/>
    <x v="5"/>
    <s v="Price Missing"/>
    <n v="0"/>
  </r>
  <r>
    <s v="ORD00652"/>
    <s v="CUST0148"/>
    <s v="PRD0176"/>
    <n v="1"/>
    <s v="Customer Not Found"/>
    <x v="7"/>
    <x v="24"/>
    <x v="5"/>
    <s v="Price Missing"/>
    <n v="0"/>
  </r>
  <r>
    <s v="ORD00653"/>
    <s v="CUST0690"/>
    <s v="PRD0487"/>
    <n v="1"/>
    <s v="Customer_690"/>
    <x v="4"/>
    <x v="24"/>
    <x v="5"/>
    <s v="Price Missing"/>
    <n v="0"/>
  </r>
  <r>
    <s v="ORD00654"/>
    <s v="CUST0071"/>
    <s v="PRD0378"/>
    <n v="7"/>
    <s v="Customer Not Found"/>
    <x v="7"/>
    <x v="24"/>
    <x v="5"/>
    <s v="Price Missing"/>
    <n v="0"/>
  </r>
  <r>
    <s v="ORD00655"/>
    <s v="CUST0540"/>
    <s v="PRD0305"/>
    <n v="6"/>
    <s v="Customer Not Found"/>
    <x v="7"/>
    <x v="24"/>
    <x v="5"/>
    <s v="Price Missing"/>
    <n v="0"/>
  </r>
  <r>
    <s v="ORD00656"/>
    <s v="CUST0254"/>
    <s v="PRD0308"/>
    <n v="5"/>
    <s v="Customer Not Found"/>
    <x v="7"/>
    <x v="24"/>
    <x v="5"/>
    <s v="Price Missing"/>
    <n v="0"/>
  </r>
  <r>
    <s v="ORD00657"/>
    <s v="CUST0691"/>
    <s v="PRD0470"/>
    <n v="10"/>
    <s v="Customer_691"/>
    <x v="0"/>
    <x v="24"/>
    <x v="5"/>
    <s v="Price Missing"/>
    <n v="0"/>
  </r>
  <r>
    <s v="ORD00658"/>
    <s v="CUST0617"/>
    <s v="PRD0132"/>
    <n v="7"/>
    <s v="Customer Not Found"/>
    <x v="7"/>
    <x v="24"/>
    <x v="5"/>
    <s v="Price Missing"/>
    <n v="0"/>
  </r>
  <r>
    <s v="ORD00659"/>
    <s v="CUST0956"/>
    <s v="PRD0125"/>
    <n v="10"/>
    <s v="Customer_956"/>
    <x v="2"/>
    <x v="24"/>
    <x v="5"/>
    <s v="Price Missing"/>
    <n v="0"/>
  </r>
  <r>
    <s v="ORD00660"/>
    <s v="CUST0661"/>
    <s v="PRD0402"/>
    <n v="6"/>
    <s v="Customer_661"/>
    <x v="3"/>
    <x v="24"/>
    <x v="5"/>
    <s v="Price Missing"/>
    <n v="0"/>
  </r>
  <r>
    <s v="ORD00661"/>
    <s v="CUST0239"/>
    <s v="PRD0346"/>
    <n v="7"/>
    <s v="Customer Not Found"/>
    <x v="7"/>
    <x v="24"/>
    <x v="5"/>
    <s v="Price Missing"/>
    <n v="0"/>
  </r>
  <r>
    <s v="ORD00662"/>
    <s v="CUST0128"/>
    <s v="PRD0451"/>
    <n v="7"/>
    <s v="Customer Not Found"/>
    <x v="7"/>
    <x v="24"/>
    <x v="5"/>
    <s v="Price Missing"/>
    <n v="0"/>
  </r>
  <r>
    <s v="ORD00663"/>
    <s v="CUST0758"/>
    <s v="PRD0317"/>
    <n v="7"/>
    <s v="Customer_758"/>
    <x v="3"/>
    <x v="24"/>
    <x v="5"/>
    <s v="Price Missing"/>
    <n v="0"/>
  </r>
  <r>
    <s v="ORD00664"/>
    <s v="CUST0016"/>
    <s v="PRD0106"/>
    <n v="2"/>
    <s v="Customer Not Found"/>
    <x v="7"/>
    <x v="24"/>
    <x v="5"/>
    <s v="Price Missing"/>
    <n v="0"/>
  </r>
  <r>
    <s v="ORD00665"/>
    <s v="CUST0137"/>
    <s v="PRD0150"/>
    <n v="4"/>
    <s v="Customer Not Found"/>
    <x v="7"/>
    <x v="24"/>
    <x v="5"/>
    <s v="Price Missing"/>
    <n v="0"/>
  </r>
  <r>
    <s v="ORD00666"/>
    <s v="CUST0369"/>
    <s v="PRD0184"/>
    <n v="1"/>
    <s v="Customer Not Found"/>
    <x v="7"/>
    <x v="24"/>
    <x v="5"/>
    <s v="Price Missing"/>
    <n v="0"/>
  </r>
  <r>
    <s v="ORD00667"/>
    <s v="CUST0046"/>
    <s v="PRD0083"/>
    <n v="4"/>
    <s v="Customer Not Found"/>
    <x v="7"/>
    <x v="24"/>
    <x v="5"/>
    <s v="Price Missing"/>
    <n v="0"/>
  </r>
  <r>
    <s v="ORD00668"/>
    <s v="CUST0907"/>
    <s v="PRD0139"/>
    <n v="5"/>
    <s v="Customer_907"/>
    <x v="1"/>
    <x v="24"/>
    <x v="5"/>
    <s v="Price Missing"/>
    <n v="0"/>
  </r>
  <r>
    <s v="ORD00669"/>
    <s v="CUST0118"/>
    <s v="PRD0337"/>
    <n v="1"/>
    <s v="Customer Not Found"/>
    <x v="7"/>
    <x v="24"/>
    <x v="5"/>
    <s v="Price Missing"/>
    <n v="0"/>
  </r>
  <r>
    <s v="ORD00670"/>
    <s v="CUST0142"/>
    <s v="PRD0269"/>
    <n v="1"/>
    <s v="Customer Not Found"/>
    <x v="7"/>
    <x v="24"/>
    <x v="5"/>
    <s v="Price Missing"/>
    <n v="0"/>
  </r>
  <r>
    <s v="ORD00671"/>
    <s v="CUST0435"/>
    <s v="PRD0474"/>
    <n v="1"/>
    <s v="Customer Not Found"/>
    <x v="7"/>
    <x v="24"/>
    <x v="5"/>
    <s v="Price Missing"/>
    <n v="0"/>
  </r>
  <r>
    <s v="ORD00672"/>
    <s v="CUST0328"/>
    <s v="PRD0129"/>
    <n v="2"/>
    <s v="Customer Not Found"/>
    <x v="7"/>
    <x v="24"/>
    <x v="5"/>
    <s v="Price Missing"/>
    <n v="0"/>
  </r>
  <r>
    <s v="ORD00673"/>
    <s v="CUST0897"/>
    <s v="PRD0163"/>
    <n v="8"/>
    <s v="Customer_897"/>
    <x v="1"/>
    <x v="24"/>
    <x v="5"/>
    <s v="Price Missing"/>
    <n v="0"/>
  </r>
  <r>
    <s v="ORD00674"/>
    <s v="CUST0019"/>
    <s v="PRD0128"/>
    <n v="3"/>
    <s v="Customer Not Found"/>
    <x v="7"/>
    <x v="24"/>
    <x v="5"/>
    <s v="Price Missing"/>
    <n v="0"/>
  </r>
  <r>
    <s v="ORD00675"/>
    <s v="CUST0248"/>
    <s v="PRD0094"/>
    <n v="9"/>
    <s v="Customer Not Found"/>
    <x v="7"/>
    <x v="24"/>
    <x v="5"/>
    <s v="Price Missing"/>
    <n v="0"/>
  </r>
  <r>
    <s v="ORD00676"/>
    <s v="CUST0518"/>
    <s v="PRD0298"/>
    <n v="10"/>
    <s v="Customer Not Found"/>
    <x v="7"/>
    <x v="24"/>
    <x v="5"/>
    <s v="Price Missing"/>
    <n v="0"/>
  </r>
  <r>
    <s v="ORD00677"/>
    <s v="CUST0260"/>
    <s v="PRD0128"/>
    <n v="5"/>
    <s v="Customer Not Found"/>
    <x v="7"/>
    <x v="24"/>
    <x v="5"/>
    <s v="Price Missing"/>
    <n v="0"/>
  </r>
  <r>
    <s v="ORD00678"/>
    <s v="CUST0337"/>
    <s v="PRD0137"/>
    <n v="2"/>
    <s v="Customer Not Found"/>
    <x v="7"/>
    <x v="24"/>
    <x v="5"/>
    <s v="Price Missing"/>
    <n v="0"/>
  </r>
  <r>
    <s v="ORD00679"/>
    <s v="CUST0415"/>
    <s v="PRD0085"/>
    <n v="5"/>
    <s v="Customer Not Found"/>
    <x v="7"/>
    <x v="24"/>
    <x v="5"/>
    <s v="Price Missing"/>
    <n v="0"/>
  </r>
  <r>
    <s v="ORD00680"/>
    <s v="CUST0279"/>
    <s v="PRD0381"/>
    <n v="1"/>
    <s v="Customer Not Found"/>
    <x v="7"/>
    <x v="24"/>
    <x v="5"/>
    <s v="Price Missing"/>
    <n v="0"/>
  </r>
  <r>
    <s v="ORD00681"/>
    <s v="CUST0211"/>
    <s v="PRD0257"/>
    <n v="1"/>
    <s v="Customer Not Found"/>
    <x v="7"/>
    <x v="24"/>
    <x v="5"/>
    <s v="Price Missing"/>
    <n v="0"/>
  </r>
  <r>
    <s v="ORD00682"/>
    <s v="CUST0812"/>
    <s v="PRD0260"/>
    <n v="4"/>
    <s v="Customer_812"/>
    <x v="0"/>
    <x v="24"/>
    <x v="5"/>
    <s v="Price Missing"/>
    <n v="0"/>
  </r>
  <r>
    <s v="ORD00683"/>
    <s v="CUST0620"/>
    <s v="PRD0018"/>
    <n v="1"/>
    <s v="Customer Not Found"/>
    <x v="7"/>
    <x v="24"/>
    <x v="5"/>
    <s v="Price Missing"/>
    <n v="0"/>
  </r>
  <r>
    <s v="ORD00684"/>
    <s v="CUST0117"/>
    <s v="PRD0167"/>
    <n v="9"/>
    <s v="Customer Not Found"/>
    <x v="7"/>
    <x v="24"/>
    <x v="5"/>
    <s v="Price Missing"/>
    <n v="0"/>
  </r>
  <r>
    <s v="ORD00685"/>
    <s v="CUST0662"/>
    <s v="PRD0085"/>
    <n v="8"/>
    <s v="Customer Not Found"/>
    <x v="7"/>
    <x v="24"/>
    <x v="5"/>
    <s v="Price Missing"/>
    <n v="0"/>
  </r>
  <r>
    <s v="ORD00686"/>
    <s v="CUST0963"/>
    <s v="PRD0079"/>
    <n v="2"/>
    <s v="Customer_963"/>
    <x v="5"/>
    <x v="24"/>
    <x v="5"/>
    <s v="Price Missing"/>
    <n v="0"/>
  </r>
  <r>
    <s v="ORD00687"/>
    <s v="CUST0958"/>
    <s v="PRD0244"/>
    <n v="3"/>
    <s v="Customer_958"/>
    <x v="3"/>
    <x v="24"/>
    <x v="5"/>
    <s v="Price Missing"/>
    <n v="0"/>
  </r>
  <r>
    <s v="ORD00688"/>
    <s v="CUST0441"/>
    <s v="PRD0356"/>
    <n v="7"/>
    <s v="Customer Not Found"/>
    <x v="7"/>
    <x v="24"/>
    <x v="5"/>
    <s v="Price Missing"/>
    <n v="0"/>
  </r>
  <r>
    <s v="ORD00689"/>
    <s v="CUST0343"/>
    <s v="PRD0344"/>
    <n v="6"/>
    <s v="Customer Not Found"/>
    <x v="7"/>
    <x v="24"/>
    <x v="5"/>
    <s v="Price Missing"/>
    <n v="0"/>
  </r>
  <r>
    <s v="ORD00690"/>
    <s v="CUST0883"/>
    <s v="PRD0258"/>
    <n v="6"/>
    <s v="Customer_883"/>
    <x v="2"/>
    <x v="24"/>
    <x v="5"/>
    <s v="Price Missing"/>
    <n v="0"/>
  </r>
  <r>
    <s v="ORD00691"/>
    <s v="CUST0719"/>
    <s v="PRD0028"/>
    <n v="1"/>
    <s v="Customer_719"/>
    <x v="2"/>
    <x v="24"/>
    <x v="5"/>
    <s v="Price Missing"/>
    <n v="0"/>
  </r>
  <r>
    <s v="ORD00692"/>
    <s v="CUST0193"/>
    <s v="PRD0099"/>
    <n v="8"/>
    <s v="Customer Not Found"/>
    <x v="7"/>
    <x v="24"/>
    <x v="5"/>
    <s v="Price Missing"/>
    <n v="0"/>
  </r>
  <r>
    <s v="ORD00693"/>
    <s v="CUST0534"/>
    <s v="PRD0363"/>
    <n v="4"/>
    <s v="Customer Not Found"/>
    <x v="7"/>
    <x v="24"/>
    <x v="5"/>
    <s v="Price Missing"/>
    <n v="0"/>
  </r>
  <r>
    <s v="ORD00694"/>
    <s v="CUST0268"/>
    <s v="PRD0205"/>
    <n v="1"/>
    <s v="Customer Not Found"/>
    <x v="7"/>
    <x v="24"/>
    <x v="5"/>
    <s v="Price Missing"/>
    <n v="0"/>
  </r>
  <r>
    <s v="ORD00695"/>
    <s v="CUST0824"/>
    <s v="PRD0129"/>
    <n v="1"/>
    <s v="Customer_824"/>
    <x v="3"/>
    <x v="24"/>
    <x v="5"/>
    <s v="Price Missing"/>
    <n v="0"/>
  </r>
  <r>
    <s v="ORD00696"/>
    <s v="CUST0393"/>
    <s v="PRD0069"/>
    <n v="2"/>
    <s v="Customer Not Found"/>
    <x v="7"/>
    <x v="24"/>
    <x v="5"/>
    <s v="Price Missing"/>
    <n v="0"/>
  </r>
  <r>
    <s v="ORD00697"/>
    <s v="CUST0214"/>
    <s v="PRD0264"/>
    <n v="1"/>
    <s v="Customer Not Found"/>
    <x v="7"/>
    <x v="24"/>
    <x v="5"/>
    <s v="Price Missing"/>
    <n v="0"/>
  </r>
  <r>
    <s v="ORD00698"/>
    <s v="CUST0478"/>
    <s v="PRD0483"/>
    <n v="6"/>
    <s v="Customer Not Found"/>
    <x v="7"/>
    <x v="24"/>
    <x v="5"/>
    <s v="Price Missing"/>
    <n v="0"/>
  </r>
  <r>
    <s v="ORD00699"/>
    <s v="CUST0749"/>
    <s v="PRD0307"/>
    <n v="3"/>
    <s v="Customer_749"/>
    <x v="0"/>
    <x v="24"/>
    <x v="5"/>
    <s v="Price Missing"/>
    <n v="0"/>
  </r>
  <r>
    <s v="ORD00700"/>
    <s v="CUST0006"/>
    <s v="PRD0052"/>
    <n v="8"/>
    <s v="Customer Not Found"/>
    <x v="7"/>
    <x v="24"/>
    <x v="5"/>
    <s v="Price Missing"/>
    <n v="0"/>
  </r>
  <r>
    <s v="ORD00701"/>
    <s v="CUST0549"/>
    <s v="PRD0196"/>
    <n v="6"/>
    <s v="Customer Not Found"/>
    <x v="7"/>
    <x v="24"/>
    <x v="5"/>
    <s v="Price Missing"/>
    <n v="0"/>
  </r>
  <r>
    <s v="ORD00702"/>
    <s v="CUST0763"/>
    <s v="PRD0381"/>
    <n v="7"/>
    <s v="Customer_763"/>
    <x v="4"/>
    <x v="24"/>
    <x v="5"/>
    <s v="Price Missing"/>
    <n v="0"/>
  </r>
  <r>
    <s v="ORD00703"/>
    <s v="CUST0655"/>
    <s v="PRD0144"/>
    <n v="1"/>
    <s v="Customer Not Found"/>
    <x v="7"/>
    <x v="24"/>
    <x v="5"/>
    <s v="Price Missing"/>
    <n v="0"/>
  </r>
  <r>
    <s v="ORD00704"/>
    <s v="CUST0608"/>
    <s v="PRD0318"/>
    <n v="9"/>
    <s v="Customer Not Found"/>
    <x v="7"/>
    <x v="24"/>
    <x v="5"/>
    <s v="Price Missing"/>
    <n v="0"/>
  </r>
  <r>
    <s v="ORD00705"/>
    <s v="CUST0675"/>
    <s v="PRD0331"/>
    <n v="2"/>
    <s v="Customer Not Found"/>
    <x v="7"/>
    <x v="24"/>
    <x v="5"/>
    <s v="Price Missing"/>
    <n v="0"/>
  </r>
  <r>
    <s v="ORD00706"/>
    <s v="CUST0294"/>
    <s v="PRD0321"/>
    <n v="2"/>
    <s v="Customer Not Found"/>
    <x v="7"/>
    <x v="24"/>
    <x v="5"/>
    <s v="Price Missing"/>
    <n v="0"/>
  </r>
  <r>
    <s v="ORD00707"/>
    <s v="CUST0906"/>
    <s v="PRD0467"/>
    <n v="9"/>
    <s v="Customer_906"/>
    <x v="5"/>
    <x v="24"/>
    <x v="5"/>
    <s v="Price Missing"/>
    <n v="0"/>
  </r>
  <r>
    <s v="ORD00708"/>
    <s v="CUST0605"/>
    <s v="PRD0219"/>
    <n v="8"/>
    <s v="Customer Not Found"/>
    <x v="7"/>
    <x v="24"/>
    <x v="5"/>
    <s v="Price Missing"/>
    <n v="0"/>
  </r>
  <r>
    <s v="ORD00709"/>
    <s v="CUST0443"/>
    <s v="PRD0133"/>
    <n v="7"/>
    <s v="Customer Not Found"/>
    <x v="7"/>
    <x v="24"/>
    <x v="5"/>
    <s v="Price Missing"/>
    <n v="0"/>
  </r>
  <r>
    <s v="ORD00710"/>
    <s v="CUST0703"/>
    <s v="PRD0004"/>
    <n v="3"/>
    <s v="Customer Not Found"/>
    <x v="7"/>
    <x v="24"/>
    <x v="5"/>
    <s v="Price Missing"/>
    <n v="0"/>
  </r>
  <r>
    <s v="ORD00711"/>
    <s v="CUST0521"/>
    <s v="PRD0112"/>
    <n v="6"/>
    <s v="Customer Not Found"/>
    <x v="7"/>
    <x v="24"/>
    <x v="5"/>
    <s v="Price Missing"/>
    <n v="0"/>
  </r>
  <r>
    <s v="ORD00712"/>
    <s v="CUST0823"/>
    <s v="PRD0246"/>
    <n v="2"/>
    <s v="Customer_823"/>
    <x v="4"/>
    <x v="24"/>
    <x v="5"/>
    <s v="Price Missing"/>
    <n v="0"/>
  </r>
  <r>
    <s v="ORD00713"/>
    <s v="CUST0147"/>
    <s v="PRD0185"/>
    <n v="1"/>
    <s v="Customer Not Found"/>
    <x v="7"/>
    <x v="24"/>
    <x v="5"/>
    <s v="Price Missing"/>
    <n v="0"/>
  </r>
  <r>
    <s v="ORD00714"/>
    <s v="CUST0976"/>
    <s v="PRD0089"/>
    <n v="9"/>
    <s v="Customer_976"/>
    <x v="2"/>
    <x v="24"/>
    <x v="5"/>
    <s v="Price Missing"/>
    <n v="0"/>
  </r>
  <r>
    <s v="ORD00715"/>
    <s v="CUST0424"/>
    <s v="PRD0272"/>
    <n v="4"/>
    <s v="Customer Not Found"/>
    <x v="7"/>
    <x v="24"/>
    <x v="5"/>
    <s v="Price Missing"/>
    <n v="0"/>
  </r>
  <r>
    <s v="ORD00716"/>
    <s v="CUST0216"/>
    <s v="PRD0117"/>
    <n v="2"/>
    <s v="Customer Not Found"/>
    <x v="7"/>
    <x v="24"/>
    <x v="5"/>
    <s v="Price Missing"/>
    <n v="0"/>
  </r>
  <r>
    <s v="ORD00717"/>
    <s v="CUST0693"/>
    <s v="PRD0261"/>
    <n v="5"/>
    <s v="Customer Not Found"/>
    <x v="7"/>
    <x v="24"/>
    <x v="5"/>
    <s v="Price Missing"/>
    <n v="0"/>
  </r>
  <r>
    <s v="ORD00718"/>
    <s v="CUST0192"/>
    <s v="PRD0045"/>
    <n v="8"/>
    <s v="Customer Not Found"/>
    <x v="7"/>
    <x v="24"/>
    <x v="5"/>
    <s v="Price Missing"/>
    <n v="0"/>
  </r>
  <r>
    <s v="ORD00719"/>
    <s v="CUST0494"/>
    <s v="PRD0335"/>
    <n v="10"/>
    <s v="Customer Not Found"/>
    <x v="7"/>
    <x v="24"/>
    <x v="5"/>
    <s v="Price Missing"/>
    <n v="0"/>
  </r>
  <r>
    <s v="ORD00720"/>
    <s v="CUST0076"/>
    <s v="PRD0124"/>
    <n v="4"/>
    <s v="Customer Not Found"/>
    <x v="7"/>
    <x v="24"/>
    <x v="5"/>
    <s v="Price Missing"/>
    <n v="0"/>
  </r>
  <r>
    <s v="ORD00721"/>
    <s v="CUST0792"/>
    <s v="PRD0106"/>
    <n v="3"/>
    <s v="Customer_792"/>
    <x v="0"/>
    <x v="24"/>
    <x v="5"/>
    <s v="Price Missing"/>
    <n v="0"/>
  </r>
  <r>
    <s v="ORD00722"/>
    <s v="CUST0468"/>
    <s v="PRD0131"/>
    <n v="9"/>
    <s v="Customer Not Found"/>
    <x v="7"/>
    <x v="24"/>
    <x v="5"/>
    <s v="Price Missing"/>
    <n v="0"/>
  </r>
  <r>
    <s v="ORD00723"/>
    <s v="CUST0485"/>
    <s v="PRD0354"/>
    <n v="10"/>
    <s v="Customer Not Found"/>
    <x v="7"/>
    <x v="24"/>
    <x v="5"/>
    <s v="Price Missing"/>
    <n v="0"/>
  </r>
  <r>
    <s v="ORD00724"/>
    <s v="CUST0290"/>
    <s v="PRD0344"/>
    <n v="6"/>
    <s v="Customer Not Found"/>
    <x v="7"/>
    <x v="24"/>
    <x v="5"/>
    <s v="Price Missing"/>
    <n v="0"/>
  </r>
  <r>
    <s v="ORD00725"/>
    <s v="CUST0943"/>
    <s v="PRD0067"/>
    <n v="4"/>
    <s v="Customer_943"/>
    <x v="6"/>
    <x v="24"/>
    <x v="5"/>
    <s v="Price Missing"/>
    <n v="0"/>
  </r>
  <r>
    <s v="ORD00726"/>
    <s v="CUST0393"/>
    <s v="PRD0311"/>
    <n v="5"/>
    <s v="Customer Not Found"/>
    <x v="7"/>
    <x v="24"/>
    <x v="5"/>
    <s v="Price Missing"/>
    <n v="0"/>
  </r>
  <r>
    <s v="ORD00727"/>
    <s v="CUST0523"/>
    <s v="PRD0459"/>
    <n v="10"/>
    <s v="Customer Not Found"/>
    <x v="7"/>
    <x v="24"/>
    <x v="5"/>
    <s v="Price Missing"/>
    <n v="0"/>
  </r>
  <r>
    <s v="ORD00728"/>
    <s v="CUST0490"/>
    <s v="PRD0139"/>
    <n v="4"/>
    <s v="Customer Not Found"/>
    <x v="7"/>
    <x v="24"/>
    <x v="5"/>
    <s v="Price Missing"/>
    <n v="0"/>
  </r>
  <r>
    <s v="ORD00729"/>
    <s v="CUST0275"/>
    <s v="PRD0444"/>
    <n v="7"/>
    <s v="Customer Not Found"/>
    <x v="7"/>
    <x v="24"/>
    <x v="5"/>
    <s v="Price Missing"/>
    <n v="0"/>
  </r>
  <r>
    <s v="ORD00730"/>
    <s v="CUST0899"/>
    <s v="PRD0453"/>
    <n v="4"/>
    <s v="Customer_899"/>
    <x v="3"/>
    <x v="24"/>
    <x v="5"/>
    <s v="Price Missing"/>
    <n v="0"/>
  </r>
  <r>
    <s v="ORD00731"/>
    <s v="CUST0307"/>
    <s v="PRD0118"/>
    <n v="10"/>
    <s v="Customer Not Found"/>
    <x v="7"/>
    <x v="24"/>
    <x v="5"/>
    <s v="Price Missing"/>
    <n v="0"/>
  </r>
  <r>
    <s v="ORD00732"/>
    <s v="CUST0348"/>
    <s v="PRD0199"/>
    <n v="2"/>
    <s v="Customer Not Found"/>
    <x v="7"/>
    <x v="24"/>
    <x v="5"/>
    <s v="Price Missing"/>
    <n v="0"/>
  </r>
  <r>
    <s v="ORD00733"/>
    <s v="CUST0667"/>
    <s v="PRD0015"/>
    <n v="10"/>
    <s v="Customer Not Found"/>
    <x v="7"/>
    <x v="24"/>
    <x v="5"/>
    <s v="Price Missing"/>
    <n v="0"/>
  </r>
  <r>
    <s v="ORD00734"/>
    <s v="CUST0657"/>
    <s v="PRD0303"/>
    <n v="1"/>
    <s v="Customer Not Found"/>
    <x v="7"/>
    <x v="24"/>
    <x v="5"/>
    <s v="Price Missing"/>
    <n v="0"/>
  </r>
  <r>
    <s v="ORD00735"/>
    <s v="CUST0943"/>
    <s v="PRD0026"/>
    <n v="6"/>
    <s v="Customer_943"/>
    <x v="6"/>
    <x v="24"/>
    <x v="5"/>
    <s v="Price Missing"/>
    <n v="0"/>
  </r>
  <r>
    <s v="ORD00736"/>
    <s v="CUST0510"/>
    <s v="PRD0439"/>
    <n v="5"/>
    <s v="Customer Not Found"/>
    <x v="7"/>
    <x v="24"/>
    <x v="5"/>
    <s v="Price Missing"/>
    <n v="0"/>
  </r>
  <r>
    <s v="ORD00737"/>
    <s v="CUST0845"/>
    <s v="PRD0326"/>
    <n v="3"/>
    <s v="Customer_845"/>
    <x v="4"/>
    <x v="24"/>
    <x v="5"/>
    <s v="Price Missing"/>
    <n v="0"/>
  </r>
  <r>
    <s v="ORD00738"/>
    <s v="CUST0191"/>
    <s v="PRD0110"/>
    <n v="4"/>
    <s v="Customer Not Found"/>
    <x v="7"/>
    <x v="24"/>
    <x v="5"/>
    <s v="Price Missing"/>
    <n v="0"/>
  </r>
  <r>
    <s v="ORD00739"/>
    <s v="CUST0858"/>
    <s v="PRD0087"/>
    <n v="8"/>
    <s v="Customer_858"/>
    <x v="3"/>
    <x v="24"/>
    <x v="5"/>
    <s v="Price Missing"/>
    <n v="0"/>
  </r>
  <r>
    <s v="ORD00740"/>
    <s v="CUST0276"/>
    <s v="PRD0094"/>
    <n v="4"/>
    <s v="Customer Not Found"/>
    <x v="7"/>
    <x v="24"/>
    <x v="5"/>
    <s v="Price Missing"/>
    <n v="0"/>
  </r>
  <r>
    <s v="ORD00741"/>
    <s v="CUST0100"/>
    <s v="PRD0486"/>
    <n v="4"/>
    <s v="Customer Not Found"/>
    <x v="7"/>
    <x v="24"/>
    <x v="5"/>
    <s v="Price Missing"/>
    <n v="0"/>
  </r>
  <r>
    <s v="ORD00742"/>
    <s v="CUST0899"/>
    <s v="PRD0085"/>
    <n v="3"/>
    <s v="Customer_899"/>
    <x v="3"/>
    <x v="24"/>
    <x v="5"/>
    <s v="Price Missing"/>
    <n v="0"/>
  </r>
  <r>
    <s v="ORD00743"/>
    <s v="CUST0620"/>
    <s v="PRD0175"/>
    <n v="10"/>
    <s v="Customer Not Found"/>
    <x v="7"/>
    <x v="24"/>
    <x v="5"/>
    <s v="Price Missing"/>
    <n v="0"/>
  </r>
  <r>
    <s v="ORD00744"/>
    <s v="CUST0048"/>
    <s v="PRD0263"/>
    <n v="1"/>
    <s v="Customer Not Found"/>
    <x v="7"/>
    <x v="24"/>
    <x v="5"/>
    <s v="Price Missing"/>
    <n v="0"/>
  </r>
  <r>
    <s v="ORD00745"/>
    <s v="CUST0526"/>
    <s v="PRD0294"/>
    <n v="4"/>
    <s v="Customer Not Found"/>
    <x v="7"/>
    <x v="24"/>
    <x v="5"/>
    <s v="Price Missing"/>
    <n v="0"/>
  </r>
  <r>
    <s v="ORD00746"/>
    <s v="CUST0326"/>
    <s v="PRD0500"/>
    <n v="4"/>
    <s v="Customer Not Found"/>
    <x v="7"/>
    <x v="24"/>
    <x v="5"/>
    <s v="Price Missing"/>
    <n v="0"/>
  </r>
  <r>
    <s v="ORD00747"/>
    <s v="CUST0985"/>
    <s v="PRD0331"/>
    <n v="5"/>
    <s v="Customer_985"/>
    <x v="2"/>
    <x v="24"/>
    <x v="5"/>
    <s v="Price Missing"/>
    <n v="0"/>
  </r>
  <r>
    <s v="ORD00748"/>
    <s v="CUST0106"/>
    <s v="PRD0291"/>
    <n v="6"/>
    <s v="Customer Not Found"/>
    <x v="7"/>
    <x v="24"/>
    <x v="5"/>
    <s v="Price Missing"/>
    <n v="0"/>
  </r>
  <r>
    <s v="ORD00749"/>
    <s v="CUST0320"/>
    <s v="PRD0105"/>
    <n v="5"/>
    <s v="Customer Not Found"/>
    <x v="7"/>
    <x v="24"/>
    <x v="5"/>
    <s v="Price Missing"/>
    <n v="0"/>
  </r>
  <r>
    <s v="ORD00750"/>
    <s v="CUST0476"/>
    <s v="PRD0455"/>
    <n v="10"/>
    <s v="Customer Not Found"/>
    <x v="7"/>
    <x v="24"/>
    <x v="5"/>
    <s v="Price Missing"/>
    <n v="0"/>
  </r>
  <r>
    <s v="ORD00751"/>
    <s v="CUST0992"/>
    <s v="PRD0448"/>
    <n v="6"/>
    <s v="Customer_992"/>
    <x v="2"/>
    <x v="24"/>
    <x v="5"/>
    <s v="Price Missing"/>
    <n v="0"/>
  </r>
  <r>
    <s v="ORD00752"/>
    <s v="CUST0998"/>
    <s v="PRD0299"/>
    <n v="1"/>
    <s v="Customer_998"/>
    <x v="6"/>
    <x v="24"/>
    <x v="5"/>
    <s v="Price Missing"/>
    <n v="0"/>
  </r>
  <r>
    <s v="ORD00753"/>
    <s v="CUST0074"/>
    <s v="PRD0441"/>
    <n v="5"/>
    <s v="Customer Not Found"/>
    <x v="7"/>
    <x v="24"/>
    <x v="5"/>
    <s v="Price Missing"/>
    <n v="0"/>
  </r>
  <r>
    <s v="ORD00754"/>
    <s v="CUST0138"/>
    <s v="PRD0284"/>
    <n v="2"/>
    <s v="Customer Not Found"/>
    <x v="7"/>
    <x v="24"/>
    <x v="5"/>
    <s v="Price Missing"/>
    <n v="0"/>
  </r>
  <r>
    <s v="ORD00755"/>
    <s v="CUST0640"/>
    <s v="PRD0495"/>
    <n v="9"/>
    <s v="Customer Not Found"/>
    <x v="7"/>
    <x v="24"/>
    <x v="5"/>
    <s v="Price Missing"/>
    <n v="0"/>
  </r>
  <r>
    <s v="ORD00756"/>
    <s v="CUST0953"/>
    <s v="PRD0466"/>
    <n v="10"/>
    <s v="Customer_953"/>
    <x v="0"/>
    <x v="24"/>
    <x v="5"/>
    <s v="Price Missing"/>
    <n v="0"/>
  </r>
  <r>
    <s v="ORD00757"/>
    <s v="CUST0106"/>
    <s v="PRD0092"/>
    <n v="3"/>
    <s v="Customer Not Found"/>
    <x v="7"/>
    <x v="24"/>
    <x v="5"/>
    <s v="Price Missing"/>
    <n v="0"/>
  </r>
  <r>
    <s v="ORD00758"/>
    <s v="CUST0838"/>
    <s v="PRD0330"/>
    <n v="3"/>
    <s v="Customer_838"/>
    <x v="6"/>
    <x v="24"/>
    <x v="5"/>
    <s v="Price Missing"/>
    <n v="0"/>
  </r>
  <r>
    <s v="ORD00759"/>
    <s v="CUST0880"/>
    <s v="PRD0004"/>
    <n v="8"/>
    <s v="Customer_880"/>
    <x v="1"/>
    <x v="24"/>
    <x v="5"/>
    <s v="Price Missing"/>
    <n v="0"/>
  </r>
  <r>
    <s v="ORD00760"/>
    <s v="CUST0086"/>
    <s v="PRD0312"/>
    <n v="2"/>
    <s v="Customer Not Found"/>
    <x v="7"/>
    <x v="24"/>
    <x v="5"/>
    <s v="Price Missing"/>
    <n v="0"/>
  </r>
  <r>
    <s v="ORD00761"/>
    <s v="CUST0972"/>
    <s v="PRD0122"/>
    <n v="1"/>
    <s v="Customer_972"/>
    <x v="2"/>
    <x v="24"/>
    <x v="5"/>
    <s v="Price Missing"/>
    <n v="0"/>
  </r>
  <r>
    <s v="ORD00762"/>
    <s v="CUST0891"/>
    <s v="PRD0394"/>
    <n v="3"/>
    <s v="Customer_891"/>
    <x v="4"/>
    <x v="24"/>
    <x v="5"/>
    <s v="Price Missing"/>
    <n v="0"/>
  </r>
  <r>
    <s v="ORD00763"/>
    <s v="CUST0529"/>
    <s v="PRD0355"/>
    <n v="4"/>
    <s v="Customer Not Found"/>
    <x v="7"/>
    <x v="24"/>
    <x v="5"/>
    <s v="Price Missing"/>
    <n v="0"/>
  </r>
  <r>
    <s v="ORD00764"/>
    <s v="CUST0028"/>
    <s v="PRD0367"/>
    <n v="3"/>
    <s v="Customer Not Found"/>
    <x v="7"/>
    <x v="24"/>
    <x v="5"/>
    <s v="Price Missing"/>
    <n v="0"/>
  </r>
  <r>
    <s v="ORD00765"/>
    <s v="CUST0231"/>
    <s v="PRD0259"/>
    <n v="5"/>
    <s v="Customer Not Found"/>
    <x v="7"/>
    <x v="24"/>
    <x v="5"/>
    <s v="Price Missing"/>
    <n v="0"/>
  </r>
  <r>
    <s v="ORD00766"/>
    <s v="CUST0840"/>
    <s v="PRD0353"/>
    <n v="2"/>
    <s v="Customer_840"/>
    <x v="3"/>
    <x v="24"/>
    <x v="5"/>
    <s v="Price Missing"/>
    <n v="0"/>
  </r>
  <r>
    <s v="ORD00767"/>
    <s v="CUST0549"/>
    <s v="PRD0017"/>
    <n v="9"/>
    <s v="Customer Not Found"/>
    <x v="7"/>
    <x v="24"/>
    <x v="5"/>
    <s v="Price Missing"/>
    <n v="0"/>
  </r>
  <r>
    <s v="ORD00768"/>
    <s v="CUST0514"/>
    <s v="PRD0009"/>
    <n v="3"/>
    <s v="Customer Not Found"/>
    <x v="7"/>
    <x v="24"/>
    <x v="5"/>
    <s v="Price Missing"/>
    <n v="0"/>
  </r>
  <r>
    <s v="ORD00769"/>
    <s v="CUST0406"/>
    <s v="PRD0321"/>
    <n v="10"/>
    <s v="Customer Not Found"/>
    <x v="7"/>
    <x v="24"/>
    <x v="5"/>
    <s v="Price Missing"/>
    <n v="0"/>
  </r>
  <r>
    <s v="ORD00770"/>
    <s v="CUST0835"/>
    <s v="PRD0457"/>
    <n v="8"/>
    <s v="Customer_835"/>
    <x v="4"/>
    <x v="24"/>
    <x v="5"/>
    <s v="Price Missing"/>
    <n v="0"/>
  </r>
  <r>
    <s v="ORD00771"/>
    <s v="CUST0692"/>
    <s v="PRD0353"/>
    <n v="5"/>
    <s v="Customer Not Found"/>
    <x v="7"/>
    <x v="24"/>
    <x v="5"/>
    <s v="Price Missing"/>
    <n v="0"/>
  </r>
  <r>
    <s v="ORD00772"/>
    <s v="CUST0965"/>
    <s v="PRD0458"/>
    <n v="1"/>
    <s v="Customer_965"/>
    <x v="5"/>
    <x v="24"/>
    <x v="5"/>
    <s v="Price Missing"/>
    <n v="0"/>
  </r>
  <r>
    <s v="ORD00773"/>
    <s v="CUST0191"/>
    <s v="PRD0445"/>
    <n v="9"/>
    <s v="Customer Not Found"/>
    <x v="7"/>
    <x v="24"/>
    <x v="5"/>
    <s v="Price Missing"/>
    <n v="0"/>
  </r>
  <r>
    <s v="ORD00774"/>
    <s v="CUST0393"/>
    <s v="PRD0353"/>
    <n v="6"/>
    <s v="Customer Not Found"/>
    <x v="7"/>
    <x v="24"/>
    <x v="5"/>
    <s v="Price Missing"/>
    <n v="0"/>
  </r>
  <r>
    <s v="ORD00775"/>
    <s v="CUST0777"/>
    <s v="PRD0265"/>
    <n v="8"/>
    <s v="Customer_777"/>
    <x v="0"/>
    <x v="24"/>
    <x v="5"/>
    <s v="Price Missing"/>
    <n v="0"/>
  </r>
  <r>
    <s v="ORD00776"/>
    <s v="CUST0343"/>
    <s v="PRD0344"/>
    <n v="6"/>
    <s v="Customer Not Found"/>
    <x v="7"/>
    <x v="24"/>
    <x v="5"/>
    <s v="Price Missing"/>
    <n v="0"/>
  </r>
  <r>
    <s v="ORD00777"/>
    <s v="CUST0942"/>
    <s v="PRD0341"/>
    <n v="3"/>
    <s v="Customer_942"/>
    <x v="5"/>
    <x v="24"/>
    <x v="5"/>
    <s v="Price Missing"/>
    <n v="0"/>
  </r>
  <r>
    <s v="ORD00778"/>
    <s v="CUST0233"/>
    <s v="PRD0142"/>
    <n v="7"/>
    <s v="Customer Not Found"/>
    <x v="7"/>
    <x v="24"/>
    <x v="5"/>
    <s v="Price Missing"/>
    <n v="0"/>
  </r>
  <r>
    <s v="ORD00779"/>
    <s v="CUST0264"/>
    <s v="PRD0258"/>
    <n v="7"/>
    <s v="Customer Not Found"/>
    <x v="7"/>
    <x v="24"/>
    <x v="5"/>
    <s v="Price Missing"/>
    <n v="0"/>
  </r>
  <r>
    <s v="ORD00780"/>
    <s v="CUST0602"/>
    <s v="PRD0082"/>
    <n v="1"/>
    <s v="Customer Not Found"/>
    <x v="7"/>
    <x v="24"/>
    <x v="5"/>
    <s v="Price Missing"/>
    <n v="0"/>
  </r>
  <r>
    <s v="ORD00781"/>
    <s v="CUST0176"/>
    <s v="PRD0267"/>
    <n v="8"/>
    <s v="Customer Not Found"/>
    <x v="7"/>
    <x v="24"/>
    <x v="5"/>
    <s v="Price Missing"/>
    <n v="0"/>
  </r>
  <r>
    <s v="ORD00782"/>
    <s v="CUST0292"/>
    <s v="PRD0338"/>
    <n v="3"/>
    <s v="Customer Not Found"/>
    <x v="7"/>
    <x v="24"/>
    <x v="5"/>
    <s v="Price Missing"/>
    <n v="0"/>
  </r>
  <r>
    <s v="ORD00783"/>
    <s v="CUST0719"/>
    <s v="PRD0454"/>
    <n v="9"/>
    <s v="Customer Not Found"/>
    <x v="7"/>
    <x v="24"/>
    <x v="5"/>
    <s v="Price Missing"/>
    <n v="0"/>
  </r>
  <r>
    <s v="ORD00784"/>
    <s v="CUST0526"/>
    <s v="PRD0303"/>
    <n v="5"/>
    <s v="Customer Not Found"/>
    <x v="7"/>
    <x v="24"/>
    <x v="5"/>
    <s v="Price Missing"/>
    <n v="0"/>
  </r>
  <r>
    <s v="ORD00785"/>
    <s v="CUST0305"/>
    <s v="PRD0448"/>
    <n v="1"/>
    <s v="Customer Not Found"/>
    <x v="7"/>
    <x v="24"/>
    <x v="5"/>
    <s v="Price Missing"/>
    <n v="0"/>
  </r>
  <r>
    <s v="ORD00786"/>
    <s v="CUST0085"/>
    <s v="PRD0473"/>
    <n v="4"/>
    <s v="Customer Not Found"/>
    <x v="7"/>
    <x v="24"/>
    <x v="5"/>
    <s v="Price Missing"/>
    <n v="0"/>
  </r>
  <r>
    <s v="ORD00787"/>
    <s v="CUST0735"/>
    <s v="PRD0069"/>
    <n v="2"/>
    <s v="Customer Not Found"/>
    <x v="7"/>
    <x v="24"/>
    <x v="5"/>
    <s v="Price Missing"/>
    <n v="0"/>
  </r>
  <r>
    <s v="ORD00788"/>
    <s v="CUST0468"/>
    <s v="PRD0236"/>
    <n v="3"/>
    <s v="Customer Not Found"/>
    <x v="7"/>
    <x v="24"/>
    <x v="5"/>
    <s v="Price Missing"/>
    <n v="0"/>
  </r>
  <r>
    <s v="ORD00789"/>
    <s v="CUST0406"/>
    <s v="PRD0108"/>
    <n v="5"/>
    <s v="Customer Not Found"/>
    <x v="7"/>
    <x v="24"/>
    <x v="5"/>
    <s v="Price Missing"/>
    <n v="0"/>
  </r>
  <r>
    <s v="ORD00790"/>
    <s v="CUST0917"/>
    <s v="PRD0492"/>
    <n v="9"/>
    <s v="Customer_917"/>
    <x v="5"/>
    <x v="24"/>
    <x v="5"/>
    <s v="Price Missing"/>
    <n v="0"/>
  </r>
  <r>
    <s v="ORD00791"/>
    <s v="CUST0343"/>
    <s v="PRD0360"/>
    <n v="6"/>
    <s v="Customer Not Found"/>
    <x v="7"/>
    <x v="24"/>
    <x v="5"/>
    <s v="Price Missing"/>
    <n v="0"/>
  </r>
  <r>
    <s v="ORD00792"/>
    <s v="CUST0110"/>
    <s v="PRD0180"/>
    <n v="10"/>
    <s v="Customer Not Found"/>
    <x v="7"/>
    <x v="24"/>
    <x v="5"/>
    <s v="Price Missing"/>
    <n v="0"/>
  </r>
  <r>
    <s v="ORD00793"/>
    <s v="CUST0770"/>
    <s v="PRD0320"/>
    <n v="3"/>
    <s v="Customer Not Found"/>
    <x v="7"/>
    <x v="24"/>
    <x v="5"/>
    <s v="Price Missing"/>
    <n v="0"/>
  </r>
  <r>
    <s v="ORD00794"/>
    <s v="CUST0867"/>
    <s v="PRD0469"/>
    <n v="9"/>
    <s v="Customer_867"/>
    <x v="0"/>
    <x v="24"/>
    <x v="5"/>
    <s v="Price Missing"/>
    <n v="0"/>
  </r>
  <r>
    <s v="ORD00795"/>
    <s v="CUST0701"/>
    <s v="PRD0267"/>
    <n v="6"/>
    <s v="Customer Not Found"/>
    <x v="7"/>
    <x v="24"/>
    <x v="5"/>
    <s v="Price Missing"/>
    <n v="0"/>
  </r>
  <r>
    <s v="ORD00796"/>
    <s v="CUST0393"/>
    <s v="PRD0256"/>
    <n v="3"/>
    <s v="Customer Not Found"/>
    <x v="7"/>
    <x v="24"/>
    <x v="5"/>
    <s v="Price Missing"/>
    <n v="0"/>
  </r>
  <r>
    <s v="ORD00797"/>
    <s v="CUST0767"/>
    <s v="PRD0269"/>
    <n v="10"/>
    <s v="Customer Not Found"/>
    <x v="7"/>
    <x v="24"/>
    <x v="5"/>
    <s v="Price Missing"/>
    <n v="0"/>
  </r>
  <r>
    <s v="ORD00798"/>
    <s v="CUST0282"/>
    <s v="PRD0119"/>
    <n v="2"/>
    <s v="Customer Not Found"/>
    <x v="7"/>
    <x v="24"/>
    <x v="5"/>
    <s v="Price Missing"/>
    <n v="0"/>
  </r>
  <r>
    <s v="ORD00799"/>
    <s v="CUST0147"/>
    <s v="PRD0478"/>
    <n v="1"/>
    <s v="Customer Not Found"/>
    <x v="7"/>
    <x v="24"/>
    <x v="5"/>
    <s v="Price Missing"/>
    <n v="0"/>
  </r>
  <r>
    <s v="ORD00800"/>
    <s v="CUST0538"/>
    <s v="PRD0334"/>
    <n v="5"/>
    <s v="Customer Not Found"/>
    <x v="7"/>
    <x v="24"/>
    <x v="5"/>
    <s v="Price Missing"/>
    <n v="0"/>
  </r>
  <r>
    <s v="ORD00801"/>
    <s v="CUST0196"/>
    <s v="PRD0500"/>
    <n v="1"/>
    <s v="Customer Not Found"/>
    <x v="7"/>
    <x v="24"/>
    <x v="5"/>
    <s v="Price Missing"/>
    <n v="0"/>
  </r>
  <r>
    <s v="ORD00802"/>
    <s v="CUST0092"/>
    <s v="PRD0496"/>
    <n v="1"/>
    <s v="Customer Not Found"/>
    <x v="7"/>
    <x v="24"/>
    <x v="5"/>
    <s v="Price Missing"/>
    <n v="0"/>
  </r>
  <r>
    <s v="ORD00803"/>
    <s v="CUST0772"/>
    <s v="PRD0496"/>
    <n v="8"/>
    <s v="Customer Not Found"/>
    <x v="7"/>
    <x v="24"/>
    <x v="5"/>
    <s v="Price Missing"/>
    <n v="0"/>
  </r>
  <r>
    <s v="ORD00804"/>
    <s v="CUST0046"/>
    <s v="PRD0305"/>
    <n v="8"/>
    <s v="Customer Not Found"/>
    <x v="7"/>
    <x v="24"/>
    <x v="5"/>
    <s v="Price Missing"/>
    <n v="0"/>
  </r>
  <r>
    <s v="ORD00805"/>
    <s v="CUST0634"/>
    <s v="PRD0189"/>
    <n v="1"/>
    <s v="Customer Not Found"/>
    <x v="7"/>
    <x v="24"/>
    <x v="5"/>
    <s v="Price Missing"/>
    <n v="0"/>
  </r>
  <r>
    <s v="ORD00806"/>
    <s v="CUST0867"/>
    <s v="PRD0487"/>
    <n v="8"/>
    <s v="Customer_867"/>
    <x v="0"/>
    <x v="24"/>
    <x v="5"/>
    <s v="Price Missing"/>
    <n v="0"/>
  </r>
  <r>
    <s v="ORD00807"/>
    <s v="CUST0872"/>
    <s v="PRD0498"/>
    <n v="9"/>
    <s v="Customer_872"/>
    <x v="2"/>
    <x v="24"/>
    <x v="5"/>
    <s v="Price Missing"/>
    <n v="0"/>
  </r>
  <r>
    <s v="ORD00808"/>
    <s v="CUST0781"/>
    <s v="PRD0036"/>
    <n v="2"/>
    <s v="Customer Not Found"/>
    <x v="7"/>
    <x v="24"/>
    <x v="5"/>
    <s v="Price Missing"/>
    <n v="0"/>
  </r>
  <r>
    <s v="ORD00809"/>
    <s v="CUST0460"/>
    <s v="PRD0421"/>
    <n v="1"/>
    <s v="Customer Not Found"/>
    <x v="7"/>
    <x v="24"/>
    <x v="5"/>
    <s v="Price Missing"/>
    <n v="0"/>
  </r>
  <r>
    <s v="ORD00810"/>
    <s v="CUST0091"/>
    <s v="PRD0367"/>
    <n v="4"/>
    <s v="Customer Not Found"/>
    <x v="7"/>
    <x v="24"/>
    <x v="5"/>
    <s v="Price Missing"/>
    <n v="0"/>
  </r>
  <r>
    <s v="ORD00811"/>
    <s v="CUST0388"/>
    <s v="PRD0079"/>
    <n v="7"/>
    <s v="Customer Not Found"/>
    <x v="7"/>
    <x v="24"/>
    <x v="5"/>
    <s v="Price Missing"/>
    <n v="0"/>
  </r>
  <r>
    <s v="ORD00812"/>
    <s v="CUST0118"/>
    <s v="PRD0349"/>
    <n v="5"/>
    <s v="Customer Not Found"/>
    <x v="7"/>
    <x v="24"/>
    <x v="5"/>
    <s v="Price Missing"/>
    <n v="0"/>
  </r>
  <r>
    <s v="ORD00813"/>
    <s v="CUST0916"/>
    <s v="PRD0229"/>
    <n v="7"/>
    <s v="Customer_916"/>
    <x v="4"/>
    <x v="24"/>
    <x v="5"/>
    <s v="Price Missing"/>
    <n v="0"/>
  </r>
  <r>
    <s v="ORD00814"/>
    <s v="CUST0295"/>
    <s v="PRD0237"/>
    <n v="1"/>
    <s v="Customer Not Found"/>
    <x v="7"/>
    <x v="24"/>
    <x v="5"/>
    <s v="Price Missing"/>
    <n v="0"/>
  </r>
  <r>
    <s v="ORD00815"/>
    <s v="CUST0890"/>
    <s v="PRD0124"/>
    <n v="8"/>
    <s v="Customer_890"/>
    <x v="0"/>
    <x v="24"/>
    <x v="5"/>
    <s v="Price Missing"/>
    <n v="0"/>
  </r>
  <r>
    <s v="ORD00816"/>
    <s v="CUST0756"/>
    <s v="PRD0147"/>
    <n v="3"/>
    <s v="Customer Not Found"/>
    <x v="7"/>
    <x v="24"/>
    <x v="5"/>
    <s v="Price Missing"/>
    <n v="0"/>
  </r>
  <r>
    <s v="ORD00817"/>
    <s v="CUST0604"/>
    <s v="PRD0329"/>
    <n v="6"/>
    <s v="Customer Not Found"/>
    <x v="7"/>
    <x v="24"/>
    <x v="5"/>
    <s v="Price Missing"/>
    <n v="0"/>
  </r>
  <r>
    <s v="ORD00818"/>
    <s v="CUST0292"/>
    <s v="PRD0014"/>
    <n v="3"/>
    <s v="Customer Not Found"/>
    <x v="7"/>
    <x v="24"/>
    <x v="5"/>
    <s v="Price Missing"/>
    <n v="0"/>
  </r>
  <r>
    <s v="ORD00819"/>
    <s v="CUST0640"/>
    <s v="PRD0278"/>
    <n v="7"/>
    <s v="Customer Not Found"/>
    <x v="7"/>
    <x v="24"/>
    <x v="5"/>
    <s v="Price Missing"/>
    <n v="0"/>
  </r>
  <r>
    <s v="ORD00820"/>
    <s v="CUST0162"/>
    <s v="PRD0312"/>
    <n v="2"/>
    <s v="Customer Not Found"/>
    <x v="7"/>
    <x v="24"/>
    <x v="5"/>
    <s v="Price Missing"/>
    <n v="0"/>
  </r>
  <r>
    <s v="ORD00821"/>
    <s v="CUST0460"/>
    <s v="PRD0125"/>
    <n v="9"/>
    <s v="Customer Not Found"/>
    <x v="7"/>
    <x v="24"/>
    <x v="5"/>
    <s v="Price Missing"/>
    <n v="0"/>
  </r>
  <r>
    <s v="ORD00822"/>
    <s v="CUST0361"/>
    <s v="PRD0344"/>
    <n v="7"/>
    <s v="Customer Not Found"/>
    <x v="7"/>
    <x v="24"/>
    <x v="5"/>
    <s v="Price Missing"/>
    <n v="0"/>
  </r>
  <r>
    <s v="ORD00823"/>
    <s v="CUST0062"/>
    <s v="PRD0439"/>
    <n v="5"/>
    <s v="Customer Not Found"/>
    <x v="7"/>
    <x v="24"/>
    <x v="5"/>
    <s v="Price Missing"/>
    <n v="0"/>
  </r>
  <r>
    <s v="ORD00824"/>
    <s v="CUST0010"/>
    <s v="PRD0059"/>
    <n v="10"/>
    <s v="Customer Not Found"/>
    <x v="7"/>
    <x v="24"/>
    <x v="5"/>
    <s v="Price Missing"/>
    <n v="0"/>
  </r>
  <r>
    <s v="ORD00825"/>
    <s v="CUST0239"/>
    <s v="PRD0477"/>
    <n v="10"/>
    <s v="Customer Not Found"/>
    <x v="7"/>
    <x v="24"/>
    <x v="5"/>
    <s v="Price Missing"/>
    <n v="0"/>
  </r>
  <r>
    <s v="ORD00826"/>
    <s v="CUST0901"/>
    <s v="PRD0305"/>
    <n v="9"/>
    <s v="Customer_901"/>
    <x v="1"/>
    <x v="24"/>
    <x v="5"/>
    <s v="Price Missing"/>
    <n v="0"/>
  </r>
  <r>
    <s v="ORD00827"/>
    <s v="CUST0317"/>
    <s v="PRD0408"/>
    <n v="8"/>
    <s v="Customer Not Found"/>
    <x v="7"/>
    <x v="24"/>
    <x v="5"/>
    <s v="Price Missing"/>
    <n v="0"/>
  </r>
  <r>
    <s v="ORD00828"/>
    <s v="CUST0045"/>
    <s v="PRD0017"/>
    <n v="6"/>
    <s v="Customer Not Found"/>
    <x v="7"/>
    <x v="24"/>
    <x v="5"/>
    <s v="Price Missing"/>
    <n v="0"/>
  </r>
  <r>
    <s v="ORD00829"/>
    <s v="CUST0297"/>
    <s v="PRD0010"/>
    <n v="6"/>
    <s v="Customer Not Found"/>
    <x v="7"/>
    <x v="24"/>
    <x v="5"/>
    <s v="Price Missing"/>
    <n v="0"/>
  </r>
  <r>
    <s v="ORD00830"/>
    <s v="CUST0302"/>
    <s v="PRD0067"/>
    <n v="9"/>
    <s v="Customer Not Found"/>
    <x v="7"/>
    <x v="24"/>
    <x v="5"/>
    <s v="Price Missing"/>
    <n v="0"/>
  </r>
  <r>
    <s v="ORD00831"/>
    <s v="CUST0897"/>
    <s v="PRD0241"/>
    <n v="7"/>
    <s v="Customer_897"/>
    <x v="1"/>
    <x v="24"/>
    <x v="5"/>
    <s v="Price Missing"/>
    <n v="0"/>
  </r>
  <r>
    <s v="ORD00832"/>
    <s v="CUST0686"/>
    <s v="PRD0076"/>
    <n v="2"/>
    <s v="Customer Not Found"/>
    <x v="7"/>
    <x v="24"/>
    <x v="5"/>
    <s v="Price Missing"/>
    <n v="0"/>
  </r>
  <r>
    <s v="ORD00833"/>
    <s v="CUST0402"/>
    <s v="PRD0431"/>
    <n v="9"/>
    <s v="Customer Not Found"/>
    <x v="7"/>
    <x v="24"/>
    <x v="5"/>
    <s v="Price Missing"/>
    <n v="0"/>
  </r>
  <r>
    <s v="ORD00834"/>
    <s v="CUST0548"/>
    <s v="PRD0291"/>
    <n v="10"/>
    <s v="Customer Not Found"/>
    <x v="7"/>
    <x v="24"/>
    <x v="5"/>
    <s v="Price Missing"/>
    <n v="0"/>
  </r>
  <r>
    <s v="ORD00835"/>
    <s v="CUST0098"/>
    <s v="PRD0005"/>
    <n v="8"/>
    <s v="Customer Not Found"/>
    <x v="7"/>
    <x v="24"/>
    <x v="5"/>
    <s v="Price Missing"/>
    <n v="0"/>
  </r>
  <r>
    <s v="ORD00836"/>
    <s v="CUST0557"/>
    <s v="PRD0446"/>
    <n v="1"/>
    <s v="Customer Not Found"/>
    <x v="7"/>
    <x v="24"/>
    <x v="5"/>
    <s v="Price Missing"/>
    <n v="0"/>
  </r>
  <r>
    <s v="ORD00837"/>
    <s v="CUST0752"/>
    <s v="PRD0033"/>
    <n v="8"/>
    <s v="Customer Not Found"/>
    <x v="7"/>
    <x v="24"/>
    <x v="5"/>
    <s v="Price Missing"/>
    <n v="0"/>
  </r>
  <r>
    <s v="ORD00838"/>
    <s v="CUST0675"/>
    <s v="PRD0424"/>
    <n v="3"/>
    <s v="Customer Not Found"/>
    <x v="7"/>
    <x v="24"/>
    <x v="5"/>
    <s v="Price Missing"/>
    <n v="0"/>
  </r>
  <r>
    <s v="ORD00839"/>
    <s v="CUST0787"/>
    <s v="PRD0435"/>
    <n v="5"/>
    <s v="Customer Not Found"/>
    <x v="7"/>
    <x v="24"/>
    <x v="5"/>
    <s v="Price Missing"/>
    <n v="0"/>
  </r>
  <r>
    <s v="ORD00840"/>
    <s v="CUST0807"/>
    <s v="PRD0130"/>
    <n v="2"/>
    <s v="Customer Not Found"/>
    <x v="7"/>
    <x v="24"/>
    <x v="5"/>
    <s v="Price Missing"/>
    <n v="0"/>
  </r>
  <r>
    <s v="ORD00841"/>
    <s v="CUST0034"/>
    <s v="PRD0146"/>
    <n v="7"/>
    <s v="Customer Not Found"/>
    <x v="7"/>
    <x v="24"/>
    <x v="5"/>
    <s v="Price Missing"/>
    <n v="0"/>
  </r>
  <r>
    <s v="ORD00842"/>
    <s v="CUST0742"/>
    <s v="PRD0472"/>
    <n v="3"/>
    <s v="Customer Not Found"/>
    <x v="7"/>
    <x v="24"/>
    <x v="5"/>
    <s v="Price Missing"/>
    <n v="0"/>
  </r>
  <r>
    <s v="ORD00843"/>
    <s v="CUST0245"/>
    <s v="PRD0153"/>
    <n v="6"/>
    <s v="Customer Not Found"/>
    <x v="7"/>
    <x v="24"/>
    <x v="5"/>
    <s v="Price Missing"/>
    <n v="0"/>
  </r>
  <r>
    <s v="ORD00844"/>
    <s v="CUST0493"/>
    <s v="PRD0301"/>
    <n v="8"/>
    <s v="Customer Not Found"/>
    <x v="7"/>
    <x v="24"/>
    <x v="5"/>
    <s v="Price Missing"/>
    <n v="0"/>
  </r>
  <r>
    <s v="ORD00845"/>
    <s v="CUST0296"/>
    <s v="PRD0296"/>
    <n v="9"/>
    <s v="Customer Not Found"/>
    <x v="7"/>
    <x v="24"/>
    <x v="5"/>
    <s v="Price Missing"/>
    <n v="0"/>
  </r>
  <r>
    <s v="ORD00846"/>
    <s v="CUST0327"/>
    <s v="PRD0025"/>
    <n v="10"/>
    <s v="Customer Not Found"/>
    <x v="7"/>
    <x v="24"/>
    <x v="5"/>
    <s v="Price Missing"/>
    <n v="0"/>
  </r>
  <r>
    <s v="ORD00847"/>
    <s v="CUST0157"/>
    <s v="PRD0423"/>
    <n v="2"/>
    <s v="Customer Not Found"/>
    <x v="7"/>
    <x v="24"/>
    <x v="5"/>
    <s v="Price Missing"/>
    <n v="0"/>
  </r>
  <r>
    <s v="ORD00848"/>
    <s v="CUST0929"/>
    <s v="PRD0073"/>
    <n v="3"/>
    <s v="Customer_929"/>
    <x v="0"/>
    <x v="24"/>
    <x v="5"/>
    <s v="Price Missing"/>
    <n v="0"/>
  </r>
  <r>
    <s v="ORD00849"/>
    <s v="CUST0105"/>
    <s v="PRD0114"/>
    <n v="9"/>
    <s v="Customer Not Found"/>
    <x v="7"/>
    <x v="24"/>
    <x v="5"/>
    <s v="Price Missing"/>
    <n v="0"/>
  </r>
  <r>
    <s v="ORD00850"/>
    <s v="CUST0238"/>
    <s v="PRD0372"/>
    <n v="9"/>
    <s v="Customer Not Found"/>
    <x v="7"/>
    <x v="24"/>
    <x v="5"/>
    <s v="Price Missing"/>
    <n v="0"/>
  </r>
  <r>
    <s v="ORD00851"/>
    <s v="CUST0081"/>
    <s v="PRD0154"/>
    <n v="3"/>
    <s v="Customer Not Found"/>
    <x v="7"/>
    <x v="24"/>
    <x v="5"/>
    <s v="Price Missing"/>
    <n v="0"/>
  </r>
  <r>
    <s v="ORD00852"/>
    <s v="CUST0744"/>
    <s v="PRD0063"/>
    <n v="7"/>
    <s v="Customer Not Found"/>
    <x v="7"/>
    <x v="24"/>
    <x v="5"/>
    <s v="Price Missing"/>
    <n v="0"/>
  </r>
  <r>
    <s v="ORD00853"/>
    <s v="CUST0082"/>
    <s v="PRD0348"/>
    <n v="4"/>
    <s v="Customer Not Found"/>
    <x v="7"/>
    <x v="24"/>
    <x v="5"/>
    <s v="Price Missing"/>
    <n v="0"/>
  </r>
  <r>
    <s v="ORD00854"/>
    <s v="CUST0810"/>
    <s v="PRD0359"/>
    <n v="6"/>
    <s v="Customer Not Found"/>
    <x v="7"/>
    <x v="24"/>
    <x v="5"/>
    <s v="Price Missing"/>
    <n v="0"/>
  </r>
  <r>
    <s v="ORD00855"/>
    <s v="CUST0663"/>
    <s v="PRD0362"/>
    <n v="5"/>
    <s v="Customer Not Found"/>
    <x v="7"/>
    <x v="24"/>
    <x v="5"/>
    <s v="Price Missing"/>
    <n v="0"/>
  </r>
  <r>
    <s v="ORD00856"/>
    <s v="CUST0753"/>
    <s v="PRD0299"/>
    <n v="4"/>
    <s v="Customer Not Found"/>
    <x v="7"/>
    <x v="24"/>
    <x v="5"/>
    <s v="Price Missing"/>
    <n v="0"/>
  </r>
  <r>
    <s v="ORD00857"/>
    <s v="CUST0775"/>
    <s v="PRD0281"/>
    <n v="8"/>
    <s v="Customer Not Found"/>
    <x v="7"/>
    <x v="24"/>
    <x v="5"/>
    <s v="Price Missing"/>
    <n v="0"/>
  </r>
  <r>
    <s v="ORD00858"/>
    <s v="CUST0270"/>
    <s v="PRD0385"/>
    <n v="7"/>
    <s v="Customer Not Found"/>
    <x v="7"/>
    <x v="24"/>
    <x v="5"/>
    <s v="Price Missing"/>
    <n v="0"/>
  </r>
  <r>
    <s v="ORD00859"/>
    <s v="CUST0840"/>
    <s v="PRD0209"/>
    <n v="9"/>
    <s v="Customer Not Found"/>
    <x v="7"/>
    <x v="24"/>
    <x v="5"/>
    <s v="Price Missing"/>
    <n v="0"/>
  </r>
  <r>
    <s v="ORD00860"/>
    <s v="CUST0230"/>
    <s v="PRD0110"/>
    <n v="2"/>
    <s v="Customer Not Found"/>
    <x v="7"/>
    <x v="24"/>
    <x v="5"/>
    <s v="Price Missing"/>
    <n v="0"/>
  </r>
  <r>
    <s v="ORD00861"/>
    <s v="CUST0028"/>
    <s v="PRD0444"/>
    <n v="6"/>
    <s v="Customer Not Found"/>
    <x v="7"/>
    <x v="24"/>
    <x v="5"/>
    <s v="Price Missing"/>
    <n v="0"/>
  </r>
  <r>
    <s v="ORD00862"/>
    <s v="CUST0339"/>
    <s v="PRD0288"/>
    <n v="7"/>
    <s v="Customer Not Found"/>
    <x v="7"/>
    <x v="24"/>
    <x v="5"/>
    <s v="Price Missing"/>
    <n v="0"/>
  </r>
  <r>
    <s v="ORD00863"/>
    <s v="CUST0421"/>
    <s v="PRD0038"/>
    <n v="3"/>
    <s v="Customer Not Found"/>
    <x v="7"/>
    <x v="24"/>
    <x v="5"/>
    <s v="Price Missing"/>
    <n v="0"/>
  </r>
  <r>
    <s v="ORD00864"/>
    <s v="CUST0964"/>
    <s v="PRD0077"/>
    <n v="2"/>
    <s v="Customer_964"/>
    <x v="6"/>
    <x v="24"/>
    <x v="5"/>
    <s v="Price Missing"/>
    <n v="0"/>
  </r>
  <r>
    <s v="ORD00865"/>
    <s v="CUST0757"/>
    <s v="PRD0442"/>
    <n v="8"/>
    <s v="Customer Not Found"/>
    <x v="7"/>
    <x v="24"/>
    <x v="5"/>
    <s v="Price Missing"/>
    <n v="0"/>
  </r>
  <r>
    <s v="ORD00866"/>
    <s v="CUST0083"/>
    <s v="PRD0151"/>
    <n v="8"/>
    <s v="Customer Not Found"/>
    <x v="7"/>
    <x v="24"/>
    <x v="5"/>
    <s v="Price Missing"/>
    <n v="0"/>
  </r>
  <r>
    <s v="ORD00867"/>
    <s v="CUST0199"/>
    <s v="PRD0102"/>
    <n v="2"/>
    <s v="Customer Not Found"/>
    <x v="7"/>
    <x v="24"/>
    <x v="5"/>
    <s v="Price Missing"/>
    <n v="0"/>
  </r>
  <r>
    <s v="ORD00868"/>
    <s v="CUST0128"/>
    <s v="PRD0318"/>
    <n v="7"/>
    <s v="Customer Not Found"/>
    <x v="7"/>
    <x v="24"/>
    <x v="5"/>
    <s v="Price Missing"/>
    <n v="0"/>
  </r>
  <r>
    <s v="ORD00869"/>
    <s v="CUST0784"/>
    <s v="PRD0207"/>
    <n v="3"/>
    <s v="Customer Not Found"/>
    <x v="7"/>
    <x v="24"/>
    <x v="5"/>
    <s v="Price Missing"/>
    <n v="0"/>
  </r>
  <r>
    <s v="ORD00870"/>
    <s v="CUST0357"/>
    <s v="PRD0117"/>
    <n v="10"/>
    <s v="Customer Not Found"/>
    <x v="7"/>
    <x v="24"/>
    <x v="5"/>
    <s v="Price Missing"/>
    <n v="0"/>
  </r>
  <r>
    <s v="ORD00871"/>
    <s v="CUST0864"/>
    <s v="PRD0286"/>
    <n v="2"/>
    <s v="Customer Not Found"/>
    <x v="7"/>
    <x v="24"/>
    <x v="5"/>
    <s v="Price Missing"/>
    <n v="0"/>
  </r>
  <r>
    <s v="ORD00872"/>
    <s v="CUST0493"/>
    <s v="PRD0135"/>
    <n v="6"/>
    <s v="Customer Not Found"/>
    <x v="7"/>
    <x v="24"/>
    <x v="5"/>
    <s v="Price Missing"/>
    <n v="0"/>
  </r>
  <r>
    <s v="ORD00873"/>
    <s v="CUST0023"/>
    <s v="PRD0218"/>
    <n v="8"/>
    <s v="Customer Not Found"/>
    <x v="7"/>
    <x v="24"/>
    <x v="5"/>
    <s v="Price Missing"/>
    <n v="0"/>
  </r>
  <r>
    <s v="ORD00874"/>
    <s v="CUST0155"/>
    <s v="PRD0149"/>
    <n v="8"/>
    <s v="Customer Not Found"/>
    <x v="7"/>
    <x v="24"/>
    <x v="5"/>
    <s v="Price Missing"/>
    <n v="0"/>
  </r>
  <r>
    <s v="ORD00875"/>
    <s v="CUST0275"/>
    <s v="PRD0169"/>
    <n v="4"/>
    <s v="Customer Not Found"/>
    <x v="7"/>
    <x v="24"/>
    <x v="5"/>
    <s v="Price Missing"/>
    <n v="0"/>
  </r>
  <r>
    <s v="ORD00876"/>
    <s v="CUST0262"/>
    <s v="PRD0380"/>
    <n v="7"/>
    <s v="Customer Not Found"/>
    <x v="7"/>
    <x v="24"/>
    <x v="5"/>
    <s v="Price Missing"/>
    <n v="0"/>
  </r>
  <r>
    <s v="ORD00877"/>
    <s v="CUST0313"/>
    <s v="PRD0198"/>
    <n v="10"/>
    <s v="Customer Not Found"/>
    <x v="7"/>
    <x v="24"/>
    <x v="5"/>
    <s v="Price Missing"/>
    <n v="0"/>
  </r>
  <r>
    <s v="ORD00878"/>
    <s v="CUST0840"/>
    <s v="PRD0080"/>
    <n v="7"/>
    <s v="Customer Not Found"/>
    <x v="7"/>
    <x v="24"/>
    <x v="5"/>
    <s v="Price Missing"/>
    <n v="0"/>
  </r>
  <r>
    <s v="ORD00879"/>
    <s v="CUST0657"/>
    <s v="PRD0091"/>
    <n v="4"/>
    <s v="Customer Not Found"/>
    <x v="7"/>
    <x v="24"/>
    <x v="5"/>
    <s v="Price Missing"/>
    <n v="0"/>
  </r>
  <r>
    <s v="ORD00880"/>
    <s v="CUST0619"/>
    <s v="PRD0039"/>
    <n v="10"/>
    <s v="Customer Not Found"/>
    <x v="7"/>
    <x v="24"/>
    <x v="5"/>
    <s v="Price Missing"/>
    <n v="0"/>
  </r>
  <r>
    <s v="ORD00881"/>
    <s v="CUST0373"/>
    <s v="PRD0454"/>
    <n v="5"/>
    <s v="Customer Not Found"/>
    <x v="7"/>
    <x v="24"/>
    <x v="5"/>
    <s v="Price Missing"/>
    <n v="0"/>
  </r>
  <r>
    <s v="ORD00882"/>
    <s v="CUST0970"/>
    <s v="PRD0391"/>
    <n v="2"/>
    <s v="Customer_970"/>
    <x v="3"/>
    <x v="24"/>
    <x v="5"/>
    <s v="Price Missing"/>
    <n v="0"/>
  </r>
  <r>
    <s v="ORD00883"/>
    <s v="CUST0400"/>
    <s v="PRD0441"/>
    <n v="2"/>
    <s v="Customer Not Found"/>
    <x v="7"/>
    <x v="24"/>
    <x v="5"/>
    <s v="Price Missing"/>
    <n v="0"/>
  </r>
  <r>
    <s v="ORD00884"/>
    <s v="CUST0479"/>
    <s v="PRD0400"/>
    <n v="3"/>
    <s v="Customer Not Found"/>
    <x v="7"/>
    <x v="24"/>
    <x v="5"/>
    <s v="Price Missing"/>
    <n v="0"/>
  </r>
  <r>
    <s v="ORD00885"/>
    <s v="CUST0881"/>
    <s v="PRD0453"/>
    <n v="8"/>
    <s v="Customer Not Found"/>
    <x v="7"/>
    <x v="24"/>
    <x v="5"/>
    <s v="Price Missing"/>
    <n v="0"/>
  </r>
  <r>
    <s v="ORD00886"/>
    <s v="CUST0472"/>
    <s v="PRD0185"/>
    <n v="3"/>
    <s v="Customer Not Found"/>
    <x v="7"/>
    <x v="24"/>
    <x v="5"/>
    <s v="Price Missing"/>
    <n v="0"/>
  </r>
  <r>
    <s v="ORD00887"/>
    <s v="CUST0328"/>
    <s v="PRD0269"/>
    <n v="5"/>
    <s v="Customer Not Found"/>
    <x v="7"/>
    <x v="24"/>
    <x v="5"/>
    <s v="Price Missing"/>
    <n v="0"/>
  </r>
  <r>
    <s v="ORD00888"/>
    <s v="CUST0538"/>
    <s v="PRD0429"/>
    <n v="10"/>
    <s v="Customer Not Found"/>
    <x v="7"/>
    <x v="24"/>
    <x v="5"/>
    <s v="Price Missing"/>
    <n v="0"/>
  </r>
  <r>
    <s v="ORD00889"/>
    <s v="CUST0610"/>
    <s v="PRD0428"/>
    <n v="6"/>
    <s v="Customer Not Found"/>
    <x v="7"/>
    <x v="24"/>
    <x v="5"/>
    <s v="Price Missing"/>
    <n v="0"/>
  </r>
  <r>
    <s v="ORD00890"/>
    <s v="CUST0713"/>
    <s v="PRD0386"/>
    <n v="8"/>
    <s v="Customer Not Found"/>
    <x v="7"/>
    <x v="24"/>
    <x v="5"/>
    <s v="Price Missing"/>
    <n v="0"/>
  </r>
  <r>
    <s v="ORD00891"/>
    <s v="CUST0154"/>
    <s v="PRD0281"/>
    <n v="4"/>
    <s v="Customer Not Found"/>
    <x v="7"/>
    <x v="24"/>
    <x v="5"/>
    <s v="Price Missing"/>
    <n v="0"/>
  </r>
  <r>
    <s v="ORD00892"/>
    <s v="CUST0733"/>
    <s v="PRD0218"/>
    <n v="10"/>
    <s v="Customer Not Found"/>
    <x v="7"/>
    <x v="24"/>
    <x v="5"/>
    <s v="Price Missing"/>
    <n v="0"/>
  </r>
  <r>
    <s v="ORD00893"/>
    <s v="CUST0929"/>
    <s v="PRD0365"/>
    <n v="3"/>
    <s v="Customer_929"/>
    <x v="0"/>
    <x v="24"/>
    <x v="5"/>
    <s v="Price Missing"/>
    <n v="0"/>
  </r>
  <r>
    <s v="ORD00894"/>
    <s v="CUST0177"/>
    <s v="PRD0187"/>
    <n v="9"/>
    <s v="Customer Not Found"/>
    <x v="7"/>
    <x v="24"/>
    <x v="5"/>
    <s v="Price Missing"/>
    <n v="0"/>
  </r>
  <r>
    <s v="ORD00895"/>
    <s v="CUST0454"/>
    <s v="PRD0193"/>
    <n v="6"/>
    <s v="Customer Not Found"/>
    <x v="7"/>
    <x v="24"/>
    <x v="5"/>
    <s v="Price Missing"/>
    <n v="0"/>
  </r>
  <r>
    <s v="ORD00896"/>
    <s v="CUST0527"/>
    <s v="PRD0430"/>
    <n v="5"/>
    <s v="Customer Not Found"/>
    <x v="7"/>
    <x v="24"/>
    <x v="5"/>
    <s v="Price Missing"/>
    <n v="0"/>
  </r>
  <r>
    <s v="ORD00897"/>
    <s v="CUST0948"/>
    <s v="PRD0030"/>
    <n v="1"/>
    <s v="Customer_948"/>
    <x v="1"/>
    <x v="24"/>
    <x v="5"/>
    <s v="Price Missing"/>
    <n v="0"/>
  </r>
  <r>
    <s v="ORD00898"/>
    <s v="CUST0732"/>
    <s v="PRD0232"/>
    <n v="8"/>
    <s v="Customer Not Found"/>
    <x v="7"/>
    <x v="24"/>
    <x v="5"/>
    <s v="Price Missing"/>
    <n v="0"/>
  </r>
  <r>
    <s v="ORD00899"/>
    <s v="CUST0681"/>
    <s v="PRD0420"/>
    <n v="1"/>
    <s v="Customer Not Found"/>
    <x v="7"/>
    <x v="24"/>
    <x v="5"/>
    <s v="Price Missing"/>
    <n v="0"/>
  </r>
  <r>
    <s v="ORD00900"/>
    <s v="CUST0955"/>
    <s v="PRD0061"/>
    <n v="1"/>
    <s v="Customer_955"/>
    <x v="1"/>
    <x v="24"/>
    <x v="5"/>
    <s v="Price Missing"/>
    <n v="0"/>
  </r>
  <r>
    <s v="ORD00901"/>
    <s v="CUST0546"/>
    <s v="PRD0476"/>
    <n v="4"/>
    <s v="Customer Not Found"/>
    <x v="7"/>
    <x v="24"/>
    <x v="5"/>
    <s v="Price Missing"/>
    <n v="0"/>
  </r>
  <r>
    <s v="ORD00902"/>
    <s v="CUST0765"/>
    <s v="PRD0379"/>
    <n v="8"/>
    <s v="Customer Not Found"/>
    <x v="7"/>
    <x v="24"/>
    <x v="5"/>
    <s v="Price Missing"/>
    <n v="0"/>
  </r>
  <r>
    <s v="ORD00903"/>
    <s v="CUST0458"/>
    <s v="PRD0374"/>
    <n v="5"/>
    <s v="Customer Not Found"/>
    <x v="7"/>
    <x v="24"/>
    <x v="5"/>
    <s v="Price Missing"/>
    <n v="0"/>
  </r>
  <r>
    <s v="ORD00904"/>
    <s v="CUST0910"/>
    <s v="PRD0239"/>
    <n v="4"/>
    <s v="Customer_910"/>
    <x v="6"/>
    <x v="24"/>
    <x v="5"/>
    <s v="Price Missing"/>
    <n v="0"/>
  </r>
  <r>
    <s v="ORD00905"/>
    <s v="CUST0126"/>
    <s v="PRD0135"/>
    <n v="3"/>
    <s v="Customer Not Found"/>
    <x v="7"/>
    <x v="24"/>
    <x v="5"/>
    <s v="Price Missing"/>
    <n v="0"/>
  </r>
  <r>
    <s v="ORD00906"/>
    <s v="CUST0445"/>
    <s v="PRD0391"/>
    <n v="5"/>
    <s v="Customer Not Found"/>
    <x v="7"/>
    <x v="24"/>
    <x v="5"/>
    <s v="Price Missing"/>
    <n v="0"/>
  </r>
  <r>
    <s v="ORD00907"/>
    <s v="CUST0880"/>
    <s v="PRD0137"/>
    <n v="8"/>
    <s v="Customer Not Found"/>
    <x v="7"/>
    <x v="24"/>
    <x v="5"/>
    <s v="Price Missing"/>
    <n v="0"/>
  </r>
  <r>
    <s v="ORD00908"/>
    <s v="CUST0287"/>
    <s v="PRD0146"/>
    <n v="10"/>
    <s v="Customer Not Found"/>
    <x v="7"/>
    <x v="24"/>
    <x v="5"/>
    <s v="Price Missing"/>
    <n v="0"/>
  </r>
  <r>
    <s v="ORD00909"/>
    <s v="CUST0659"/>
    <s v="PRD0147"/>
    <n v="7"/>
    <s v="Customer Not Found"/>
    <x v="7"/>
    <x v="24"/>
    <x v="5"/>
    <s v="Price Missing"/>
    <n v="0"/>
  </r>
  <r>
    <s v="ORD00910"/>
    <s v="CUST0065"/>
    <s v="PRD0090"/>
    <n v="9"/>
    <s v="Customer Not Found"/>
    <x v="7"/>
    <x v="24"/>
    <x v="5"/>
    <s v="Price Missing"/>
    <n v="0"/>
  </r>
  <r>
    <s v="ORD00911"/>
    <s v="CUST0190"/>
    <s v="PRD0016"/>
    <n v="9"/>
    <s v="Customer Not Found"/>
    <x v="7"/>
    <x v="24"/>
    <x v="5"/>
    <s v="Price Missing"/>
    <n v="0"/>
  </r>
  <r>
    <s v="ORD00912"/>
    <s v="CUST0970"/>
    <s v="PRD0166"/>
    <n v="9"/>
    <s v="Customer_970"/>
    <x v="3"/>
    <x v="24"/>
    <x v="5"/>
    <s v="Price Missing"/>
    <n v="0"/>
  </r>
  <r>
    <s v="ORD00913"/>
    <s v="CUST0900"/>
    <s v="PRD0425"/>
    <n v="8"/>
    <s v="Customer Not Found"/>
    <x v="7"/>
    <x v="24"/>
    <x v="5"/>
    <s v="Price Missing"/>
    <n v="0"/>
  </r>
  <r>
    <s v="ORD00914"/>
    <s v="CUST0664"/>
    <s v="PRD0348"/>
    <n v="1"/>
    <s v="Customer Not Found"/>
    <x v="7"/>
    <x v="24"/>
    <x v="5"/>
    <s v="Price Missing"/>
    <n v="0"/>
  </r>
  <r>
    <s v="ORD00915"/>
    <s v="CUST0610"/>
    <s v="PRD0240"/>
    <n v="2"/>
    <s v="Customer Not Found"/>
    <x v="7"/>
    <x v="24"/>
    <x v="5"/>
    <s v="Price Missing"/>
    <n v="0"/>
  </r>
  <r>
    <s v="ORD00916"/>
    <s v="CUST0087"/>
    <s v="PRD0043"/>
    <n v="8"/>
    <s v="Customer Not Found"/>
    <x v="7"/>
    <x v="24"/>
    <x v="5"/>
    <s v="Price Missing"/>
    <n v="0"/>
  </r>
  <r>
    <s v="ORD00917"/>
    <s v="CUST0894"/>
    <s v="PRD0207"/>
    <n v="10"/>
    <s v="Customer Not Found"/>
    <x v="7"/>
    <x v="24"/>
    <x v="5"/>
    <s v="Price Missing"/>
    <n v="0"/>
  </r>
  <r>
    <s v="ORD00918"/>
    <s v="CUST0085"/>
    <s v="PRD0204"/>
    <n v="9"/>
    <s v="Customer Not Found"/>
    <x v="7"/>
    <x v="24"/>
    <x v="5"/>
    <s v="Price Missing"/>
    <n v="0"/>
  </r>
  <r>
    <s v="ORD00919"/>
    <s v="CUST0115"/>
    <s v="PRD0275"/>
    <n v="4"/>
    <s v="Customer Not Found"/>
    <x v="7"/>
    <x v="24"/>
    <x v="5"/>
    <s v="Price Missing"/>
    <n v="0"/>
  </r>
  <r>
    <s v="ORD00920"/>
    <s v="CUST0452"/>
    <s v="PRD0037"/>
    <n v="7"/>
    <s v="Customer Not Found"/>
    <x v="7"/>
    <x v="24"/>
    <x v="5"/>
    <s v="Price Missing"/>
    <n v="0"/>
  </r>
  <r>
    <s v="ORD00921"/>
    <s v="CUST0395"/>
    <s v="PRD0276"/>
    <n v="2"/>
    <s v="Customer Not Found"/>
    <x v="7"/>
    <x v="24"/>
    <x v="5"/>
    <s v="Price Missing"/>
    <n v="0"/>
  </r>
  <r>
    <s v="ORD00922"/>
    <s v="CUST0576"/>
    <s v="PRD0419"/>
    <n v="8"/>
    <s v="Customer Not Found"/>
    <x v="7"/>
    <x v="24"/>
    <x v="5"/>
    <s v="Price Missing"/>
    <n v="0"/>
  </r>
  <r>
    <s v="ORD00923"/>
    <s v="CUST0965"/>
    <s v="PRD0224"/>
    <n v="2"/>
    <s v="Customer_965"/>
    <x v="5"/>
    <x v="24"/>
    <x v="5"/>
    <s v="Price Missing"/>
    <n v="0"/>
  </r>
  <r>
    <s v="ORD00924"/>
    <s v="CUST0863"/>
    <s v="PRD0159"/>
    <n v="6"/>
    <s v="Customer Not Found"/>
    <x v="7"/>
    <x v="24"/>
    <x v="5"/>
    <s v="Price Missing"/>
    <n v="0"/>
  </r>
  <r>
    <s v="ORD00925"/>
    <s v="CUST0717"/>
    <s v="PRD0358"/>
    <n v="6"/>
    <s v="Customer Not Found"/>
    <x v="7"/>
    <x v="24"/>
    <x v="5"/>
    <s v="Price Missing"/>
    <n v="0"/>
  </r>
  <r>
    <s v="ORD00926"/>
    <s v="CUST0115"/>
    <s v="PRD0484"/>
    <n v="9"/>
    <s v="Customer Not Found"/>
    <x v="7"/>
    <x v="24"/>
    <x v="5"/>
    <s v="Price Missing"/>
    <n v="0"/>
  </r>
  <r>
    <s v="ORD00927"/>
    <s v="CUST0997"/>
    <s v="PRD0388"/>
    <n v="9"/>
    <s v="Customer_997"/>
    <x v="2"/>
    <x v="24"/>
    <x v="5"/>
    <s v="Price Missing"/>
    <n v="0"/>
  </r>
  <r>
    <s v="ORD00928"/>
    <s v="CUST0726"/>
    <s v="PRD0156"/>
    <n v="9"/>
    <s v="Customer Not Found"/>
    <x v="7"/>
    <x v="24"/>
    <x v="5"/>
    <s v="Price Missing"/>
    <n v="0"/>
  </r>
  <r>
    <s v="ORD00929"/>
    <s v="CUST0535"/>
    <s v="PRD0253"/>
    <n v="3"/>
    <s v="Customer Not Found"/>
    <x v="7"/>
    <x v="24"/>
    <x v="5"/>
    <s v="Price Missing"/>
    <n v="0"/>
  </r>
  <r>
    <s v="ORD00930"/>
    <s v="CUST0827"/>
    <s v="PRD0211"/>
    <n v="4"/>
    <s v="Customer Not Found"/>
    <x v="7"/>
    <x v="24"/>
    <x v="5"/>
    <s v="Price Missing"/>
    <n v="0"/>
  </r>
  <r>
    <s v="ORD00931"/>
    <s v="CUST0099"/>
    <s v="PRD0317"/>
    <n v="5"/>
    <s v="Customer Not Found"/>
    <x v="7"/>
    <x v="24"/>
    <x v="5"/>
    <s v="Price Missing"/>
    <n v="0"/>
  </r>
  <r>
    <s v="ORD00932"/>
    <s v="CUST0295"/>
    <s v="PRD0238"/>
    <n v="3"/>
    <s v="Customer Not Found"/>
    <x v="7"/>
    <x v="24"/>
    <x v="5"/>
    <s v="Price Missing"/>
    <n v="0"/>
  </r>
  <r>
    <s v="ORD00933"/>
    <s v="CUST0651"/>
    <s v="PRD0303"/>
    <n v="1"/>
    <s v="Customer Not Found"/>
    <x v="7"/>
    <x v="24"/>
    <x v="5"/>
    <s v="Price Missing"/>
    <n v="0"/>
  </r>
  <r>
    <s v="ORD00934"/>
    <s v="CUST0218"/>
    <s v="PRD0437"/>
    <n v="7"/>
    <s v="Customer Not Found"/>
    <x v="7"/>
    <x v="24"/>
    <x v="5"/>
    <s v="Price Missing"/>
    <n v="0"/>
  </r>
  <r>
    <s v="ORD00935"/>
    <s v="CUST0585"/>
    <s v="PRD0071"/>
    <n v="10"/>
    <s v="Customer Not Found"/>
    <x v="7"/>
    <x v="24"/>
    <x v="5"/>
    <s v="Price Missing"/>
    <n v="0"/>
  </r>
  <r>
    <s v="ORD00936"/>
    <s v="CUST0947"/>
    <s v="PRD0030"/>
    <n v="1"/>
    <s v="Customer_947"/>
    <x v="0"/>
    <x v="24"/>
    <x v="5"/>
    <s v="Price Missing"/>
    <n v="0"/>
  </r>
  <r>
    <s v="ORD00937"/>
    <s v="CUST0683"/>
    <s v="PRD0450"/>
    <n v="3"/>
    <s v="Customer Not Found"/>
    <x v="7"/>
    <x v="24"/>
    <x v="5"/>
    <s v="Price Missing"/>
    <n v="0"/>
  </r>
  <r>
    <s v="ORD00938"/>
    <s v="CUST0204"/>
    <s v="PRD0392"/>
    <n v="8"/>
    <s v="Customer Not Found"/>
    <x v="7"/>
    <x v="24"/>
    <x v="5"/>
    <s v="Price Missing"/>
    <n v="0"/>
  </r>
  <r>
    <s v="ORD00939"/>
    <s v="CUST0499"/>
    <s v="PRD0218"/>
    <n v="7"/>
    <s v="Customer Not Found"/>
    <x v="7"/>
    <x v="24"/>
    <x v="5"/>
    <s v="Price Missing"/>
    <n v="0"/>
  </r>
  <r>
    <s v="ORD00940"/>
    <s v="CUST0821"/>
    <s v="PRD0391"/>
    <n v="8"/>
    <s v="Customer Not Found"/>
    <x v="7"/>
    <x v="24"/>
    <x v="5"/>
    <s v="Price Missing"/>
    <n v="0"/>
  </r>
  <r>
    <s v="ORD00941"/>
    <s v="CUST0699"/>
    <s v="PRD0424"/>
    <n v="7"/>
    <s v="Customer Not Found"/>
    <x v="7"/>
    <x v="24"/>
    <x v="5"/>
    <s v="Price Missing"/>
    <n v="0"/>
  </r>
  <r>
    <s v="ORD00942"/>
    <s v="CUST0577"/>
    <s v="PRD0050"/>
    <n v="2"/>
    <s v="Customer Not Found"/>
    <x v="7"/>
    <x v="24"/>
    <x v="5"/>
    <s v="Price Missing"/>
    <n v="0"/>
  </r>
  <r>
    <s v="ORD00943"/>
    <s v="CUST0994"/>
    <s v="PRD0467"/>
    <n v="4"/>
    <s v="Customer_994"/>
    <x v="4"/>
    <x v="24"/>
    <x v="5"/>
    <s v="Price Missing"/>
    <n v="0"/>
  </r>
  <r>
    <s v="ORD00944"/>
    <s v="CUST0067"/>
    <s v="PRD0465"/>
    <n v="2"/>
    <s v="Customer Not Found"/>
    <x v="7"/>
    <x v="24"/>
    <x v="5"/>
    <s v="Price Missing"/>
    <n v="0"/>
  </r>
  <r>
    <s v="ORD00945"/>
    <s v="CUST0710"/>
    <s v="PRD0106"/>
    <n v="3"/>
    <s v="Customer Not Found"/>
    <x v="7"/>
    <x v="24"/>
    <x v="5"/>
    <s v="Price Missing"/>
    <n v="0"/>
  </r>
  <r>
    <s v="ORD00946"/>
    <s v="CUST0116"/>
    <s v="PRD0353"/>
    <n v="8"/>
    <s v="Customer Not Found"/>
    <x v="7"/>
    <x v="24"/>
    <x v="5"/>
    <s v="Price Missing"/>
    <n v="0"/>
  </r>
  <r>
    <s v="ORD00947"/>
    <s v="CUST0536"/>
    <s v="PRD0259"/>
    <n v="4"/>
    <s v="Customer Not Found"/>
    <x v="7"/>
    <x v="24"/>
    <x v="5"/>
    <s v="Price Missing"/>
    <n v="0"/>
  </r>
  <r>
    <s v="ORD00948"/>
    <s v="CUST0634"/>
    <s v="PRD0487"/>
    <n v="3"/>
    <s v="Customer Not Found"/>
    <x v="7"/>
    <x v="24"/>
    <x v="5"/>
    <s v="Price Missing"/>
    <n v="0"/>
  </r>
  <r>
    <s v="ORD00949"/>
    <s v="CUST0197"/>
    <s v="PRD0449"/>
    <n v="3"/>
    <s v="Customer Not Found"/>
    <x v="7"/>
    <x v="24"/>
    <x v="5"/>
    <s v="Price Missing"/>
    <n v="0"/>
  </r>
  <r>
    <s v="ORD00950"/>
    <s v="CUST0479"/>
    <s v="PRD0429"/>
    <n v="4"/>
    <s v="Customer Not Found"/>
    <x v="7"/>
    <x v="24"/>
    <x v="5"/>
    <s v="Price Missing"/>
    <n v="0"/>
  </r>
  <r>
    <s v="ORD00951"/>
    <s v="CUST0093"/>
    <s v="PRD0321"/>
    <n v="4"/>
    <s v="Customer Not Found"/>
    <x v="7"/>
    <x v="24"/>
    <x v="5"/>
    <s v="Price Missing"/>
    <n v="0"/>
  </r>
  <r>
    <s v="ORD00952"/>
    <s v="CUST0628"/>
    <s v="PRD0222"/>
    <n v="5"/>
    <s v="Customer Not Found"/>
    <x v="7"/>
    <x v="24"/>
    <x v="5"/>
    <s v="Price Missing"/>
    <n v="0"/>
  </r>
  <r>
    <s v="ORD00953"/>
    <s v="CUST0856"/>
    <s v="PRD0320"/>
    <n v="1"/>
    <s v="Customer Not Found"/>
    <x v="7"/>
    <x v="24"/>
    <x v="5"/>
    <s v="Price Missing"/>
    <n v="0"/>
  </r>
  <r>
    <s v="ORD00954"/>
    <s v="CUST0767"/>
    <s v="PRD0167"/>
    <n v="7"/>
    <s v="Customer Not Found"/>
    <x v="7"/>
    <x v="24"/>
    <x v="5"/>
    <s v="Price Missing"/>
    <n v="0"/>
  </r>
  <r>
    <s v="ORD00955"/>
    <s v="CUST0562"/>
    <s v="PRD0266"/>
    <n v="4"/>
    <s v="Customer Not Found"/>
    <x v="7"/>
    <x v="24"/>
    <x v="5"/>
    <s v="Price Missing"/>
    <n v="0"/>
  </r>
  <r>
    <s v="ORD00956"/>
    <s v="CUST0027"/>
    <s v="PRD0476"/>
    <n v="5"/>
    <s v="Customer Not Found"/>
    <x v="7"/>
    <x v="24"/>
    <x v="5"/>
    <s v="Price Missing"/>
    <n v="0"/>
  </r>
  <r>
    <s v="ORD00957"/>
    <s v="CUST0300"/>
    <s v="PRD0215"/>
    <n v="9"/>
    <s v="Customer Not Found"/>
    <x v="7"/>
    <x v="24"/>
    <x v="5"/>
    <s v="Price Missing"/>
    <n v="0"/>
  </r>
  <r>
    <s v="ORD00958"/>
    <s v="CUST0415"/>
    <s v="PRD0058"/>
    <n v="1"/>
    <s v="Customer Not Found"/>
    <x v="7"/>
    <x v="24"/>
    <x v="5"/>
    <s v="Price Missing"/>
    <n v="0"/>
  </r>
  <r>
    <s v="ORD00959"/>
    <s v="CUST0173"/>
    <s v="PRD0210"/>
    <n v="3"/>
    <s v="Customer Not Found"/>
    <x v="7"/>
    <x v="24"/>
    <x v="5"/>
    <s v="Price Missing"/>
    <n v="0"/>
  </r>
  <r>
    <s v="ORD00960"/>
    <s v="CUST0601"/>
    <s v="PRD0252"/>
    <n v="9"/>
    <s v="Customer Not Found"/>
    <x v="7"/>
    <x v="24"/>
    <x v="5"/>
    <s v="Price Missing"/>
    <n v="0"/>
  </r>
  <r>
    <s v="ORD00961"/>
    <s v="CUST0027"/>
    <s v="PRD0139"/>
    <n v="10"/>
    <s v="Customer Not Found"/>
    <x v="7"/>
    <x v="24"/>
    <x v="5"/>
    <s v="Price Missing"/>
    <n v="0"/>
  </r>
  <r>
    <s v="ORD00962"/>
    <s v="CUST0393"/>
    <s v="PRD0465"/>
    <n v="1"/>
    <s v="Customer Not Found"/>
    <x v="7"/>
    <x v="24"/>
    <x v="5"/>
    <s v="Price Missing"/>
    <n v="0"/>
  </r>
  <r>
    <s v="ORD00963"/>
    <s v="CUST0033"/>
    <s v="PRD0113"/>
    <n v="10"/>
    <s v="Customer Not Found"/>
    <x v="7"/>
    <x v="24"/>
    <x v="5"/>
    <s v="Price Missing"/>
    <n v="0"/>
  </r>
  <r>
    <s v="ORD00964"/>
    <s v="CUST0096"/>
    <s v="PRD0091"/>
    <n v="2"/>
    <s v="Customer Not Found"/>
    <x v="7"/>
    <x v="24"/>
    <x v="5"/>
    <s v="Price Missing"/>
    <n v="0"/>
  </r>
  <r>
    <s v="ORD00965"/>
    <s v="CUST0523"/>
    <s v="PRD0453"/>
    <n v="5"/>
    <s v="Customer Not Found"/>
    <x v="7"/>
    <x v="24"/>
    <x v="5"/>
    <s v="Price Missing"/>
    <n v="0"/>
  </r>
  <r>
    <s v="ORD00966"/>
    <s v="CUST0414"/>
    <s v="PRD0127"/>
    <n v="10"/>
    <s v="Customer Not Found"/>
    <x v="7"/>
    <x v="24"/>
    <x v="5"/>
    <s v="Price Missing"/>
    <n v="0"/>
  </r>
  <r>
    <s v="ORD00967"/>
    <s v="CUST0037"/>
    <s v="PRD0472"/>
    <n v="10"/>
    <s v="Customer Not Found"/>
    <x v="7"/>
    <x v="24"/>
    <x v="5"/>
    <s v="Price Missing"/>
    <n v="0"/>
  </r>
  <r>
    <s v="ORD00968"/>
    <s v="CUST0630"/>
    <s v="PRD0138"/>
    <n v="5"/>
    <s v="Customer Not Found"/>
    <x v="7"/>
    <x v="24"/>
    <x v="5"/>
    <s v="Price Missing"/>
    <n v="0"/>
  </r>
  <r>
    <s v="ORD00969"/>
    <s v="CUST0208"/>
    <s v="PRD0096"/>
    <n v="9"/>
    <s v="Customer Not Found"/>
    <x v="7"/>
    <x v="24"/>
    <x v="5"/>
    <s v="Price Missing"/>
    <n v="0"/>
  </r>
  <r>
    <s v="ORD00970"/>
    <s v="CUST0654"/>
    <s v="PRD0244"/>
    <n v="3"/>
    <s v="Customer Not Found"/>
    <x v="7"/>
    <x v="24"/>
    <x v="5"/>
    <s v="Price Missing"/>
    <n v="0"/>
  </r>
  <r>
    <s v="ORD00971"/>
    <s v="CUST0636"/>
    <s v="PRD0053"/>
    <n v="9"/>
    <s v="Customer Not Found"/>
    <x v="7"/>
    <x v="24"/>
    <x v="5"/>
    <s v="Price Missing"/>
    <n v="0"/>
  </r>
  <r>
    <s v="ORD00972"/>
    <s v="CUST0057"/>
    <s v="PRD0337"/>
    <n v="5"/>
    <s v="Customer Not Found"/>
    <x v="7"/>
    <x v="24"/>
    <x v="5"/>
    <s v="Price Missing"/>
    <n v="0"/>
  </r>
  <r>
    <s v="ORD00973"/>
    <s v="CUST0689"/>
    <s v="PRD0023"/>
    <n v="6"/>
    <s v="Customer Not Found"/>
    <x v="7"/>
    <x v="24"/>
    <x v="5"/>
    <s v="Price Missing"/>
    <n v="0"/>
  </r>
  <r>
    <s v="ORD00974"/>
    <s v="CUST0904"/>
    <s v="PRD0380"/>
    <n v="5"/>
    <s v="Customer Not Found"/>
    <x v="7"/>
    <x v="24"/>
    <x v="5"/>
    <s v="Price Missing"/>
    <n v="0"/>
  </r>
  <r>
    <s v="ORD00975"/>
    <s v="CUST0512"/>
    <s v="PRD0037"/>
    <n v="3"/>
    <s v="Customer Not Found"/>
    <x v="7"/>
    <x v="24"/>
    <x v="5"/>
    <s v="Price Missing"/>
    <n v="0"/>
  </r>
  <r>
    <s v="ORD00976"/>
    <s v="CUST0959"/>
    <s v="PRD0433"/>
    <n v="6"/>
    <s v="Customer Not Found"/>
    <x v="7"/>
    <x v="24"/>
    <x v="5"/>
    <s v="Price Missing"/>
    <n v="0"/>
  </r>
  <r>
    <s v="ORD00977"/>
    <s v="CUST0684"/>
    <s v="PRD0166"/>
    <n v="1"/>
    <s v="Customer Not Found"/>
    <x v="7"/>
    <x v="24"/>
    <x v="5"/>
    <s v="Price Missing"/>
    <n v="0"/>
  </r>
  <r>
    <s v="ORD00978"/>
    <s v="CUST0139"/>
    <s v="PRD0050"/>
    <n v="10"/>
    <s v="Customer Not Found"/>
    <x v="7"/>
    <x v="24"/>
    <x v="5"/>
    <s v="Price Missing"/>
    <n v="0"/>
  </r>
  <r>
    <s v="ORD00979"/>
    <s v="CUST0689"/>
    <s v="PRD0412"/>
    <n v="1"/>
    <s v="Customer Not Found"/>
    <x v="7"/>
    <x v="24"/>
    <x v="5"/>
    <s v="Price Missing"/>
    <n v="0"/>
  </r>
  <r>
    <s v="ORD00980"/>
    <s v="CUST0946"/>
    <s v="PRD0195"/>
    <n v="3"/>
    <s v="Customer Not Found"/>
    <x v="7"/>
    <x v="24"/>
    <x v="5"/>
    <s v="Price Missing"/>
    <n v="0"/>
  </r>
  <r>
    <s v="ORD00981"/>
    <s v="CUST0673"/>
    <s v="PRD0463"/>
    <n v="8"/>
    <s v="Customer Not Found"/>
    <x v="7"/>
    <x v="24"/>
    <x v="5"/>
    <s v="Price Missing"/>
    <n v="0"/>
  </r>
  <r>
    <s v="ORD00982"/>
    <s v="CUST0739"/>
    <s v="PRD0031"/>
    <n v="8"/>
    <s v="Customer Not Found"/>
    <x v="7"/>
    <x v="24"/>
    <x v="5"/>
    <s v="Price Missing"/>
    <n v="0"/>
  </r>
  <r>
    <s v="ORD00983"/>
    <s v="CUST0383"/>
    <s v="PRD0246"/>
    <n v="8"/>
    <s v="Customer Not Found"/>
    <x v="7"/>
    <x v="24"/>
    <x v="5"/>
    <s v="Price Missing"/>
    <n v="0"/>
  </r>
  <r>
    <s v="ORD00984"/>
    <s v="CUST0512"/>
    <s v="PRD0091"/>
    <n v="4"/>
    <s v="Customer Not Found"/>
    <x v="7"/>
    <x v="24"/>
    <x v="5"/>
    <s v="Price Missing"/>
    <n v="0"/>
  </r>
  <r>
    <s v="ORD00985"/>
    <s v="CUST0500"/>
    <s v="PRD0206"/>
    <n v="2"/>
    <s v="Customer Not Found"/>
    <x v="7"/>
    <x v="24"/>
    <x v="5"/>
    <s v="Price Missing"/>
    <n v="0"/>
  </r>
  <r>
    <s v="ORD00986"/>
    <s v="CUST0503"/>
    <s v="PRD0243"/>
    <n v="2"/>
    <s v="Customer Not Found"/>
    <x v="7"/>
    <x v="24"/>
    <x v="5"/>
    <s v="Price Missing"/>
    <n v="0"/>
  </r>
  <r>
    <s v="ORD00987"/>
    <s v="CUST0824"/>
    <s v="PRD0035"/>
    <n v="5"/>
    <s v="Customer Not Found"/>
    <x v="7"/>
    <x v="24"/>
    <x v="5"/>
    <s v="Price Missing"/>
    <n v="0"/>
  </r>
  <r>
    <s v="ORD00988"/>
    <s v="CUST0526"/>
    <s v="PRD0207"/>
    <n v="7"/>
    <s v="Customer Not Found"/>
    <x v="7"/>
    <x v="24"/>
    <x v="5"/>
    <s v="Price Missing"/>
    <n v="0"/>
  </r>
  <r>
    <s v="ORD00989"/>
    <s v="CUST0941"/>
    <s v="PRD0114"/>
    <n v="1"/>
    <s v="Customer Not Found"/>
    <x v="7"/>
    <x v="24"/>
    <x v="5"/>
    <s v="Price Missing"/>
    <n v="0"/>
  </r>
  <r>
    <s v="ORD00990"/>
    <s v="CUST0389"/>
    <s v="PRD0184"/>
    <n v="1"/>
    <s v="Customer Not Found"/>
    <x v="7"/>
    <x v="24"/>
    <x v="5"/>
    <s v="Price Missing"/>
    <n v="0"/>
  </r>
  <r>
    <s v="ORD00991"/>
    <s v="CUST0250"/>
    <s v="PRD0355"/>
    <n v="3"/>
    <s v="Customer Not Found"/>
    <x v="7"/>
    <x v="24"/>
    <x v="5"/>
    <s v="Price Missing"/>
    <n v="0"/>
  </r>
  <r>
    <s v="ORD00992"/>
    <s v="CUST0361"/>
    <s v="PRD0149"/>
    <n v="8"/>
    <s v="Customer Not Found"/>
    <x v="7"/>
    <x v="24"/>
    <x v="5"/>
    <s v="Price Missing"/>
    <n v="0"/>
  </r>
  <r>
    <s v="ORD00993"/>
    <s v="CUST0418"/>
    <s v="PRD0225"/>
    <n v="4"/>
    <s v="Customer Not Found"/>
    <x v="7"/>
    <x v="24"/>
    <x v="5"/>
    <s v="Price Missing"/>
    <n v="0"/>
  </r>
  <r>
    <s v="ORD00994"/>
    <s v="CUST0970"/>
    <s v="PRD0238"/>
    <n v="3"/>
    <s v="Customer Not Found"/>
    <x v="7"/>
    <x v="24"/>
    <x v="5"/>
    <s v="Price Missing"/>
    <n v="0"/>
  </r>
  <r>
    <s v="ORD00995"/>
    <s v="CUST0470"/>
    <s v="PRD0043"/>
    <n v="10"/>
    <s v="Customer Not Found"/>
    <x v="7"/>
    <x v="24"/>
    <x v="5"/>
    <s v="Price Missing"/>
    <n v="0"/>
  </r>
  <r>
    <s v="ORD00996"/>
    <s v="CUST0812"/>
    <s v="PRD0023"/>
    <n v="5"/>
    <s v="Customer Not Found"/>
    <x v="7"/>
    <x v="24"/>
    <x v="5"/>
    <s v="Price Missing"/>
    <n v="0"/>
  </r>
  <r>
    <s v="ORD00997"/>
    <s v="CUST0389"/>
    <s v="PRD0294"/>
    <n v="5"/>
    <s v="Customer Not Found"/>
    <x v="7"/>
    <x v="24"/>
    <x v="5"/>
    <s v="Price Missing"/>
    <n v="0"/>
  </r>
  <r>
    <s v="ORD00998"/>
    <s v="CUST0276"/>
    <s v="PRD0473"/>
    <n v="4"/>
    <s v="Customer Not Found"/>
    <x v="7"/>
    <x v="24"/>
    <x v="5"/>
    <s v="Price Missing"/>
    <n v="0"/>
  </r>
  <r>
    <s v="ORD00999"/>
    <s v="CUST0943"/>
    <s v="PRD0165"/>
    <n v="9"/>
    <s v="Customer Not Found"/>
    <x v="7"/>
    <x v="24"/>
    <x v="5"/>
    <s v="Price Missing"/>
    <n v="0"/>
  </r>
  <r>
    <s v="ORD01000"/>
    <s v="CUST0837"/>
    <s v="PRD0113"/>
    <n v="1"/>
    <s v="Customer Not Found"/>
    <x v="7"/>
    <x v="24"/>
    <x v="5"/>
    <s v="Price Missing"/>
    <n v="0"/>
  </r>
  <r>
    <s v="ORD01001"/>
    <s v="CUST0226"/>
    <s v="PRD0122"/>
    <n v="3"/>
    <s v="Customer Not Found"/>
    <x v="7"/>
    <x v="24"/>
    <x v="5"/>
    <s v="Price Missing"/>
    <n v="0"/>
  </r>
  <r>
    <s v="ORD01002"/>
    <s v="CUST0715"/>
    <s v="PRD0392"/>
    <n v="10"/>
    <s v="Customer Not Found"/>
    <x v="7"/>
    <x v="24"/>
    <x v="5"/>
    <s v="Price Missing"/>
    <n v="0"/>
  </r>
  <r>
    <s v="ORD01003"/>
    <s v="CUST0513"/>
    <s v="PRD0348"/>
    <n v="7"/>
    <s v="Customer Not Found"/>
    <x v="7"/>
    <x v="24"/>
    <x v="5"/>
    <s v="Price Missing"/>
    <n v="0"/>
  </r>
  <r>
    <s v="ORD01004"/>
    <s v="CUST0678"/>
    <s v="PRD0215"/>
    <n v="9"/>
    <s v="Customer Not Found"/>
    <x v="7"/>
    <x v="24"/>
    <x v="5"/>
    <s v="Price Missing"/>
    <n v="0"/>
  </r>
  <r>
    <s v="ORD01005"/>
    <s v="CUST0061"/>
    <s v="PRD0112"/>
    <n v="8"/>
    <s v="Customer Not Found"/>
    <x v="7"/>
    <x v="24"/>
    <x v="5"/>
    <s v="Price Missing"/>
    <n v="0"/>
  </r>
  <r>
    <s v="ORD01006"/>
    <s v="CUST0509"/>
    <s v="PRD0159"/>
    <n v="4"/>
    <s v="Customer Not Found"/>
    <x v="7"/>
    <x v="24"/>
    <x v="5"/>
    <s v="Price Missing"/>
    <n v="0"/>
  </r>
  <r>
    <s v="ORD01007"/>
    <s v="CUST0372"/>
    <s v="PRD0045"/>
    <n v="8"/>
    <s v="Customer Not Found"/>
    <x v="7"/>
    <x v="24"/>
    <x v="5"/>
    <s v="Price Missing"/>
    <n v="0"/>
  </r>
  <r>
    <s v="ORD01008"/>
    <s v="CUST0044"/>
    <s v="PRD0273"/>
    <n v="4"/>
    <s v="Customer Not Found"/>
    <x v="7"/>
    <x v="24"/>
    <x v="5"/>
    <s v="Price Missing"/>
    <n v="0"/>
  </r>
  <r>
    <s v="ORD01009"/>
    <s v="CUST0218"/>
    <s v="PRD0247"/>
    <n v="5"/>
    <s v="Customer Not Found"/>
    <x v="7"/>
    <x v="24"/>
    <x v="5"/>
    <s v="Price Missing"/>
    <n v="0"/>
  </r>
  <r>
    <s v="ORD01010"/>
    <s v="CUST0367"/>
    <s v="PRD0158"/>
    <n v="6"/>
    <s v="Customer Not Found"/>
    <x v="7"/>
    <x v="24"/>
    <x v="5"/>
    <s v="Price Missing"/>
    <n v="0"/>
  </r>
  <r>
    <s v="ORD01011"/>
    <s v="CUST0014"/>
    <s v="PRD0276"/>
    <n v="10"/>
    <s v="Customer Not Found"/>
    <x v="7"/>
    <x v="24"/>
    <x v="5"/>
    <s v="Price Missing"/>
    <n v="0"/>
  </r>
  <r>
    <s v="ORD01012"/>
    <s v="CUST0153"/>
    <s v="PRD0474"/>
    <n v="1"/>
    <s v="Customer Not Found"/>
    <x v="7"/>
    <x v="24"/>
    <x v="5"/>
    <s v="Price Missing"/>
    <n v="0"/>
  </r>
  <r>
    <s v="ORD01013"/>
    <s v="CUST0442"/>
    <s v="PRD0257"/>
    <n v="8"/>
    <s v="Customer Not Found"/>
    <x v="7"/>
    <x v="24"/>
    <x v="5"/>
    <s v="Price Missing"/>
    <n v="0"/>
  </r>
  <r>
    <s v="ORD01014"/>
    <s v="CUST0140"/>
    <s v="PRD0485"/>
    <n v="1"/>
    <s v="Customer Not Found"/>
    <x v="7"/>
    <x v="24"/>
    <x v="5"/>
    <s v="Price Missing"/>
    <n v="0"/>
  </r>
  <r>
    <s v="ORD01015"/>
    <s v="CUST0924"/>
    <s v="PRD0255"/>
    <n v="7"/>
    <s v="Customer Not Found"/>
    <x v="7"/>
    <x v="24"/>
    <x v="5"/>
    <s v="Price Missing"/>
    <n v="0"/>
  </r>
  <r>
    <s v="ORD01016"/>
    <s v="CUST0608"/>
    <s v="PRD0451"/>
    <n v="6"/>
    <s v="Customer Not Found"/>
    <x v="7"/>
    <x v="24"/>
    <x v="5"/>
    <s v="Price Missing"/>
    <n v="0"/>
  </r>
  <r>
    <s v="ORD01017"/>
    <s v="CUST0371"/>
    <s v="PRD0060"/>
    <n v="5"/>
    <s v="Customer Not Found"/>
    <x v="7"/>
    <x v="24"/>
    <x v="5"/>
    <s v="Price Missing"/>
    <n v="0"/>
  </r>
  <r>
    <s v="ORD01018"/>
    <s v="CUST0338"/>
    <s v="PRD0161"/>
    <n v="10"/>
    <s v="Customer Not Found"/>
    <x v="7"/>
    <x v="24"/>
    <x v="5"/>
    <s v="Price Missing"/>
    <n v="0"/>
  </r>
  <r>
    <s v="ORD01019"/>
    <s v="CUST0486"/>
    <s v="PRD0319"/>
    <n v="4"/>
    <s v="Customer Not Found"/>
    <x v="7"/>
    <x v="24"/>
    <x v="5"/>
    <s v="Price Missing"/>
    <n v="0"/>
  </r>
  <r>
    <s v="ORD01020"/>
    <s v="CUST0749"/>
    <s v="PRD0175"/>
    <n v="1"/>
    <s v="Customer Not Found"/>
    <x v="7"/>
    <x v="24"/>
    <x v="5"/>
    <s v="Price Missing"/>
    <n v="0"/>
  </r>
  <r>
    <s v="ORD01021"/>
    <s v="CUST0576"/>
    <s v="PRD0406"/>
    <n v="9"/>
    <s v="Customer Not Found"/>
    <x v="7"/>
    <x v="24"/>
    <x v="5"/>
    <s v="Price Missing"/>
    <n v="0"/>
  </r>
  <r>
    <s v="ORD01022"/>
    <s v="CUST0665"/>
    <s v="PRD0439"/>
    <n v="6"/>
    <s v="Customer Not Found"/>
    <x v="7"/>
    <x v="24"/>
    <x v="5"/>
    <s v="Price Missing"/>
    <n v="0"/>
  </r>
  <r>
    <s v="ORD01023"/>
    <s v="CUST0108"/>
    <s v="PRD0188"/>
    <n v="4"/>
    <s v="Customer Not Found"/>
    <x v="7"/>
    <x v="24"/>
    <x v="5"/>
    <s v="Price Missing"/>
    <n v="0"/>
  </r>
  <r>
    <s v="ORD01024"/>
    <s v="CUST0397"/>
    <s v="PRD0418"/>
    <n v="7"/>
    <s v="Customer Not Found"/>
    <x v="7"/>
    <x v="24"/>
    <x v="5"/>
    <s v="Price Missing"/>
    <n v="0"/>
  </r>
  <r>
    <s v="ORD01025"/>
    <s v="CUST0983"/>
    <s v="PRD0475"/>
    <n v="4"/>
    <s v="Customer Not Found"/>
    <x v="7"/>
    <x v="24"/>
    <x v="5"/>
    <s v="Price Missing"/>
    <n v="0"/>
  </r>
  <r>
    <s v="ORD01026"/>
    <s v="CUST0087"/>
    <s v="PRD0320"/>
    <n v="9"/>
    <s v="Customer Not Found"/>
    <x v="7"/>
    <x v="24"/>
    <x v="5"/>
    <s v="Price Missing"/>
    <n v="0"/>
  </r>
  <r>
    <s v="ORD01027"/>
    <s v="CUST0595"/>
    <s v="PRD0068"/>
    <n v="9"/>
    <s v="Customer Not Found"/>
    <x v="7"/>
    <x v="24"/>
    <x v="5"/>
    <s v="Price Missing"/>
    <n v="0"/>
  </r>
  <r>
    <s v="ORD01028"/>
    <s v="CUST0104"/>
    <s v="PRD0006"/>
    <n v="1"/>
    <s v="Customer Not Found"/>
    <x v="7"/>
    <x v="24"/>
    <x v="5"/>
    <s v="Price Missing"/>
    <n v="0"/>
  </r>
  <r>
    <s v="ORD01029"/>
    <s v="CUST0999"/>
    <s v="PRD0225"/>
    <n v="4"/>
    <s v="Customer Not Found"/>
    <x v="7"/>
    <x v="24"/>
    <x v="5"/>
    <s v="Price Missing"/>
    <n v="0"/>
  </r>
  <r>
    <s v="ORD01030"/>
    <s v="CUST0127"/>
    <s v="PRD0175"/>
    <n v="5"/>
    <s v="Customer Not Found"/>
    <x v="7"/>
    <x v="24"/>
    <x v="5"/>
    <s v="Price Missing"/>
    <n v="0"/>
  </r>
  <r>
    <s v="ORD01031"/>
    <s v="CUST0754"/>
    <s v="PRD0447"/>
    <n v="6"/>
    <s v="Customer Not Found"/>
    <x v="7"/>
    <x v="24"/>
    <x v="5"/>
    <s v="Price Missing"/>
    <n v="0"/>
  </r>
  <r>
    <s v="ORD01032"/>
    <s v="CUST0408"/>
    <s v="PRD0366"/>
    <n v="3"/>
    <s v="Customer Not Found"/>
    <x v="7"/>
    <x v="24"/>
    <x v="5"/>
    <s v="Price Missing"/>
    <n v="0"/>
  </r>
  <r>
    <s v="ORD01033"/>
    <s v="CUST0552"/>
    <s v="PRD0453"/>
    <n v="5"/>
    <s v="Customer Not Found"/>
    <x v="7"/>
    <x v="24"/>
    <x v="5"/>
    <s v="Price Missing"/>
    <n v="0"/>
  </r>
  <r>
    <s v="ORD01034"/>
    <s v="CUST0189"/>
    <s v="PRD0340"/>
    <n v="3"/>
    <s v="Customer Not Found"/>
    <x v="7"/>
    <x v="24"/>
    <x v="5"/>
    <s v="Price Missing"/>
    <n v="0"/>
  </r>
  <r>
    <s v="ORD01035"/>
    <s v="CUST0229"/>
    <s v="PRD0075"/>
    <n v="2"/>
    <s v="Customer Not Found"/>
    <x v="7"/>
    <x v="24"/>
    <x v="5"/>
    <s v="Price Missing"/>
    <n v="0"/>
  </r>
  <r>
    <s v="ORD01036"/>
    <s v="CUST0686"/>
    <s v="PRD0262"/>
    <n v="6"/>
    <s v="Customer Not Found"/>
    <x v="7"/>
    <x v="24"/>
    <x v="5"/>
    <s v="Price Missing"/>
    <n v="0"/>
  </r>
  <r>
    <s v="ORD01037"/>
    <s v="CUST0497"/>
    <s v="PRD0494"/>
    <n v="1"/>
    <s v="Customer Not Found"/>
    <x v="7"/>
    <x v="24"/>
    <x v="5"/>
    <s v="Price Missing"/>
    <n v="0"/>
  </r>
  <r>
    <s v="ORD01038"/>
    <s v="CUST0701"/>
    <s v="PRD0322"/>
    <n v="10"/>
    <s v="Customer Not Found"/>
    <x v="7"/>
    <x v="24"/>
    <x v="5"/>
    <s v="Price Missing"/>
    <n v="0"/>
  </r>
  <r>
    <s v="ORD01039"/>
    <s v="CUST0870"/>
    <s v="PRD0321"/>
    <n v="3"/>
    <s v="Customer Not Found"/>
    <x v="7"/>
    <x v="24"/>
    <x v="5"/>
    <s v="Price Missing"/>
    <n v="0"/>
  </r>
  <r>
    <s v="ORD01040"/>
    <s v="CUST0428"/>
    <s v="PRD0122"/>
    <n v="3"/>
    <s v="Customer Not Found"/>
    <x v="7"/>
    <x v="24"/>
    <x v="5"/>
    <s v="Price Missing"/>
    <n v="0"/>
  </r>
  <r>
    <s v="ORD01041"/>
    <s v="CUST0718"/>
    <s v="PRD0480"/>
    <n v="8"/>
    <s v="Customer Not Found"/>
    <x v="7"/>
    <x v="24"/>
    <x v="5"/>
    <s v="Price Missing"/>
    <n v="0"/>
  </r>
  <r>
    <s v="ORD01042"/>
    <s v="CUST0103"/>
    <s v="PRD0190"/>
    <n v="7"/>
    <s v="Customer Not Found"/>
    <x v="7"/>
    <x v="24"/>
    <x v="5"/>
    <s v="Price Missing"/>
    <n v="0"/>
  </r>
  <r>
    <s v="ORD01043"/>
    <s v="CUST0380"/>
    <s v="PRD0479"/>
    <n v="1"/>
    <s v="Customer Not Found"/>
    <x v="7"/>
    <x v="24"/>
    <x v="5"/>
    <s v="Price Missing"/>
    <n v="0"/>
  </r>
  <r>
    <s v="ORD01044"/>
    <s v="CUST0910"/>
    <s v="PRD0077"/>
    <n v="4"/>
    <s v="Customer Not Found"/>
    <x v="7"/>
    <x v="24"/>
    <x v="5"/>
    <s v="Price Missing"/>
    <n v="0"/>
  </r>
  <r>
    <s v="ORD01045"/>
    <s v="CUST0043"/>
    <s v="PRD0376"/>
    <n v="5"/>
    <s v="Customer Not Found"/>
    <x v="7"/>
    <x v="24"/>
    <x v="5"/>
    <s v="Price Missing"/>
    <n v="0"/>
  </r>
  <r>
    <s v="ORD01046"/>
    <s v="CUST0512"/>
    <s v="PRD0475"/>
    <n v="8"/>
    <s v="Customer Not Found"/>
    <x v="7"/>
    <x v="24"/>
    <x v="5"/>
    <s v="Price Missing"/>
    <n v="0"/>
  </r>
  <r>
    <s v="ORD01047"/>
    <s v="CUST0500"/>
    <s v="PRD0192"/>
    <n v="10"/>
    <s v="Customer Not Found"/>
    <x v="7"/>
    <x v="24"/>
    <x v="5"/>
    <s v="Price Missing"/>
    <n v="0"/>
  </r>
  <r>
    <s v="ORD01048"/>
    <s v="CUST0553"/>
    <s v="PRD0028"/>
    <n v="6"/>
    <s v="Customer Not Found"/>
    <x v="7"/>
    <x v="24"/>
    <x v="5"/>
    <s v="Price Missing"/>
    <n v="0"/>
  </r>
  <r>
    <s v="ORD01049"/>
    <s v="CUST0468"/>
    <s v="PRD0500"/>
    <n v="4"/>
    <s v="Customer Not Found"/>
    <x v="7"/>
    <x v="24"/>
    <x v="5"/>
    <s v="Price Missing"/>
    <n v="0"/>
  </r>
  <r>
    <s v="ORD01050"/>
    <s v="CUST0660"/>
    <s v="PRD0428"/>
    <n v="3"/>
    <s v="Customer Not Found"/>
    <x v="7"/>
    <x v="24"/>
    <x v="5"/>
    <s v="Price Missing"/>
    <n v="0"/>
  </r>
  <r>
    <s v="ORD01051"/>
    <s v="CUST0964"/>
    <s v="PRD0362"/>
    <n v="9"/>
    <s v="Customer Not Found"/>
    <x v="7"/>
    <x v="24"/>
    <x v="5"/>
    <s v="Price Missing"/>
    <n v="0"/>
  </r>
  <r>
    <s v="ORD01052"/>
    <s v="CUST0371"/>
    <s v="PRD0472"/>
    <n v="6"/>
    <s v="Customer Not Found"/>
    <x v="7"/>
    <x v="24"/>
    <x v="5"/>
    <s v="Price Missing"/>
    <n v="0"/>
  </r>
  <r>
    <s v="ORD01053"/>
    <s v="CUST0297"/>
    <s v="PRD0034"/>
    <n v="6"/>
    <s v="Customer Not Found"/>
    <x v="7"/>
    <x v="24"/>
    <x v="5"/>
    <s v="Price Missing"/>
    <n v="0"/>
  </r>
  <r>
    <s v="ORD01054"/>
    <s v="CUST0878"/>
    <s v="PRD0213"/>
    <n v="2"/>
    <s v="Customer Not Found"/>
    <x v="7"/>
    <x v="24"/>
    <x v="5"/>
    <s v="Price Missing"/>
    <n v="0"/>
  </r>
  <r>
    <s v="ORD01055"/>
    <s v="CUST0267"/>
    <s v="PRD0215"/>
    <n v="4"/>
    <s v="Customer Not Found"/>
    <x v="7"/>
    <x v="24"/>
    <x v="5"/>
    <s v="Price Missing"/>
    <n v="0"/>
  </r>
  <r>
    <s v="ORD01056"/>
    <s v="CUST0538"/>
    <s v="PRD0136"/>
    <n v="9"/>
    <s v="Customer Not Found"/>
    <x v="7"/>
    <x v="24"/>
    <x v="5"/>
    <s v="Price Missing"/>
    <n v="0"/>
  </r>
  <r>
    <s v="ORD01057"/>
    <s v="CUST0845"/>
    <s v="PRD0240"/>
    <n v="3"/>
    <s v="Customer Not Found"/>
    <x v="7"/>
    <x v="24"/>
    <x v="5"/>
    <s v="Price Missing"/>
    <n v="0"/>
  </r>
  <r>
    <s v="ORD01058"/>
    <s v="CUST0889"/>
    <s v="PRD0115"/>
    <n v="5"/>
    <s v="Customer Not Found"/>
    <x v="7"/>
    <x v="24"/>
    <x v="5"/>
    <s v="Price Missing"/>
    <n v="0"/>
  </r>
  <r>
    <s v="ORD01059"/>
    <s v="CUST0805"/>
    <s v="PRD0231"/>
    <n v="1"/>
    <s v="Customer Not Found"/>
    <x v="7"/>
    <x v="24"/>
    <x v="5"/>
    <s v="Price Missing"/>
    <n v="0"/>
  </r>
  <r>
    <s v="ORD01060"/>
    <s v="CUST0947"/>
    <s v="PRD0309"/>
    <n v="5"/>
    <s v="Customer Not Found"/>
    <x v="7"/>
    <x v="24"/>
    <x v="5"/>
    <s v="Price Missing"/>
    <n v="0"/>
  </r>
  <r>
    <s v="ORD01061"/>
    <s v="CUST0575"/>
    <s v="PRD0343"/>
    <n v="10"/>
    <s v="Customer Not Found"/>
    <x v="7"/>
    <x v="24"/>
    <x v="5"/>
    <s v="Price Missing"/>
    <n v="0"/>
  </r>
  <r>
    <s v="ORD01062"/>
    <s v="CUST0813"/>
    <s v="PRD0369"/>
    <n v="9"/>
    <s v="Customer Not Found"/>
    <x v="7"/>
    <x v="24"/>
    <x v="5"/>
    <s v="Price Missing"/>
    <n v="0"/>
  </r>
  <r>
    <s v="ORD01063"/>
    <s v="CUST0276"/>
    <s v="PRD0368"/>
    <n v="1"/>
    <s v="Customer Not Found"/>
    <x v="7"/>
    <x v="24"/>
    <x v="5"/>
    <s v="Price Missing"/>
    <n v="0"/>
  </r>
  <r>
    <s v="ORD01064"/>
    <s v="CUST0487"/>
    <s v="PRD0141"/>
    <n v="2"/>
    <s v="Customer Not Found"/>
    <x v="7"/>
    <x v="24"/>
    <x v="5"/>
    <s v="Price Missing"/>
    <n v="0"/>
  </r>
  <r>
    <s v="ORD01065"/>
    <s v="CUST0585"/>
    <s v="PRD0248"/>
    <n v="5"/>
    <s v="Customer Not Found"/>
    <x v="7"/>
    <x v="24"/>
    <x v="5"/>
    <s v="Price Missing"/>
    <n v="0"/>
  </r>
  <r>
    <s v="ORD01066"/>
    <s v="CUST0137"/>
    <s v="PRD0298"/>
    <n v="9"/>
    <s v="Customer Not Found"/>
    <x v="7"/>
    <x v="24"/>
    <x v="5"/>
    <s v="Price Missing"/>
    <n v="0"/>
  </r>
  <r>
    <s v="ORD01067"/>
    <s v="CUST0655"/>
    <s v="PRD0112"/>
    <n v="5"/>
    <s v="Customer Not Found"/>
    <x v="7"/>
    <x v="24"/>
    <x v="5"/>
    <s v="Price Missing"/>
    <n v="0"/>
  </r>
  <r>
    <s v="ORD01068"/>
    <s v="CUST0325"/>
    <s v="PRD0339"/>
    <n v="3"/>
    <s v="Customer Not Found"/>
    <x v="7"/>
    <x v="24"/>
    <x v="5"/>
    <s v="Price Missing"/>
    <n v="0"/>
  </r>
  <r>
    <s v="ORD01069"/>
    <s v="CUST0143"/>
    <s v="PRD0211"/>
    <n v="1"/>
    <s v="Customer Not Found"/>
    <x v="7"/>
    <x v="24"/>
    <x v="5"/>
    <s v="Price Missing"/>
    <n v="0"/>
  </r>
  <r>
    <s v="ORD01070"/>
    <s v="CUST0739"/>
    <s v="PRD0494"/>
    <n v="6"/>
    <s v="Customer Not Found"/>
    <x v="7"/>
    <x v="24"/>
    <x v="5"/>
    <s v="Price Missing"/>
    <n v="0"/>
  </r>
  <r>
    <s v="ORD01071"/>
    <s v="CUST0366"/>
    <s v="PRD0364"/>
    <n v="7"/>
    <s v="Customer Not Found"/>
    <x v="7"/>
    <x v="24"/>
    <x v="5"/>
    <s v="Price Missing"/>
    <n v="0"/>
  </r>
  <r>
    <s v="ORD01072"/>
    <s v="CUST0080"/>
    <s v="PRD0315"/>
    <n v="4"/>
    <s v="Customer Not Found"/>
    <x v="7"/>
    <x v="24"/>
    <x v="5"/>
    <s v="Price Missing"/>
    <n v="0"/>
  </r>
  <r>
    <s v="ORD01073"/>
    <s v="CUST0233"/>
    <s v="PRD0388"/>
    <n v="2"/>
    <s v="Customer Not Found"/>
    <x v="7"/>
    <x v="24"/>
    <x v="5"/>
    <s v="Price Missing"/>
    <n v="0"/>
  </r>
  <r>
    <s v="ORD01074"/>
    <s v="CUST0819"/>
    <s v="PRD0276"/>
    <n v="9"/>
    <s v="Customer Not Found"/>
    <x v="7"/>
    <x v="24"/>
    <x v="5"/>
    <s v="Price Missing"/>
    <n v="0"/>
  </r>
  <r>
    <s v="ORD01075"/>
    <s v="CUST0624"/>
    <s v="PRD0359"/>
    <n v="5"/>
    <s v="Customer Not Found"/>
    <x v="7"/>
    <x v="24"/>
    <x v="5"/>
    <s v="Price Missing"/>
    <n v="0"/>
  </r>
  <r>
    <s v="ORD01076"/>
    <s v="CUST0194"/>
    <s v="PRD0190"/>
    <n v="10"/>
    <s v="Customer Not Found"/>
    <x v="7"/>
    <x v="24"/>
    <x v="5"/>
    <s v="Price Missing"/>
    <n v="0"/>
  </r>
  <r>
    <s v="ORD01077"/>
    <s v="CUST0536"/>
    <s v="PRD0128"/>
    <n v="5"/>
    <s v="Customer Not Found"/>
    <x v="7"/>
    <x v="24"/>
    <x v="5"/>
    <s v="Price Missing"/>
    <n v="0"/>
  </r>
  <r>
    <s v="ORD01078"/>
    <s v="CUST0856"/>
    <s v="PRD0379"/>
    <n v="8"/>
    <s v="Customer Not Found"/>
    <x v="7"/>
    <x v="24"/>
    <x v="5"/>
    <s v="Price Missing"/>
    <n v="0"/>
  </r>
  <r>
    <s v="ORD01079"/>
    <s v="CUST0143"/>
    <s v="PRD0407"/>
    <n v="8"/>
    <s v="Customer Not Found"/>
    <x v="7"/>
    <x v="24"/>
    <x v="5"/>
    <s v="Price Missing"/>
    <n v="0"/>
  </r>
  <r>
    <s v="ORD01080"/>
    <s v="CUST0131"/>
    <s v="PRD0374"/>
    <n v="7"/>
    <s v="Customer Not Found"/>
    <x v="7"/>
    <x v="24"/>
    <x v="5"/>
    <s v="Price Missing"/>
    <n v="0"/>
  </r>
  <r>
    <s v="ORD01081"/>
    <s v="CUST0692"/>
    <s v="PRD0259"/>
    <n v="3"/>
    <s v="Customer Not Found"/>
    <x v="7"/>
    <x v="24"/>
    <x v="5"/>
    <s v="Price Missing"/>
    <n v="0"/>
  </r>
  <r>
    <s v="ORD01082"/>
    <s v="CUST0247"/>
    <s v="PRD0264"/>
    <n v="3"/>
    <s v="Customer Not Found"/>
    <x v="7"/>
    <x v="24"/>
    <x v="5"/>
    <s v="Price Missing"/>
    <n v="0"/>
  </r>
  <r>
    <s v="ORD01083"/>
    <s v="CUST0247"/>
    <s v="PRD0190"/>
    <n v="10"/>
    <s v="Customer Not Found"/>
    <x v="7"/>
    <x v="24"/>
    <x v="5"/>
    <s v="Price Missing"/>
    <n v="0"/>
  </r>
  <r>
    <s v="ORD01084"/>
    <s v="CUST0034"/>
    <s v="PRD0466"/>
    <n v="4"/>
    <s v="Customer Not Found"/>
    <x v="7"/>
    <x v="24"/>
    <x v="5"/>
    <s v="Price Missing"/>
    <n v="0"/>
  </r>
  <r>
    <s v="ORD01085"/>
    <s v="CUST0282"/>
    <s v="PRD0107"/>
    <n v="2"/>
    <s v="Customer Not Found"/>
    <x v="7"/>
    <x v="24"/>
    <x v="5"/>
    <s v="Price Missing"/>
    <n v="0"/>
  </r>
  <r>
    <s v="ORD01086"/>
    <s v="CUST0728"/>
    <s v="PRD0330"/>
    <n v="7"/>
    <s v="Customer Not Found"/>
    <x v="7"/>
    <x v="24"/>
    <x v="5"/>
    <s v="Price Missing"/>
    <n v="0"/>
  </r>
  <r>
    <s v="ORD01087"/>
    <s v="CUST0176"/>
    <s v="PRD0191"/>
    <n v="7"/>
    <s v="Customer Not Found"/>
    <x v="7"/>
    <x v="24"/>
    <x v="5"/>
    <s v="Price Missing"/>
    <n v="0"/>
  </r>
  <r>
    <s v="ORD01088"/>
    <s v="CUST0635"/>
    <s v="PRD0039"/>
    <n v="1"/>
    <s v="Customer Not Found"/>
    <x v="7"/>
    <x v="24"/>
    <x v="5"/>
    <s v="Price Missing"/>
    <n v="0"/>
  </r>
  <r>
    <s v="ORD01089"/>
    <s v="CUST0223"/>
    <s v="PRD0048"/>
    <n v="4"/>
    <s v="Customer Not Found"/>
    <x v="7"/>
    <x v="24"/>
    <x v="5"/>
    <s v="Price Missing"/>
    <n v="0"/>
  </r>
  <r>
    <s v="ORD01090"/>
    <s v="CUST0062"/>
    <s v="PRD0120"/>
    <n v="4"/>
    <s v="Customer Not Found"/>
    <x v="7"/>
    <x v="24"/>
    <x v="5"/>
    <s v="Price Missing"/>
    <n v="0"/>
  </r>
  <r>
    <s v="ORD01091"/>
    <s v="CUST0212"/>
    <s v="PRD0043"/>
    <n v="1"/>
    <s v="Customer Not Found"/>
    <x v="7"/>
    <x v="24"/>
    <x v="5"/>
    <s v="Price Missing"/>
    <n v="0"/>
  </r>
  <r>
    <s v="ORD01092"/>
    <s v="CUST0931"/>
    <s v="PRD0092"/>
    <n v="3"/>
    <s v="Customer Not Found"/>
    <x v="7"/>
    <x v="24"/>
    <x v="5"/>
    <s v="Price Missing"/>
    <n v="0"/>
  </r>
  <r>
    <s v="ORD01093"/>
    <s v="CUST0966"/>
    <s v="PRD0432"/>
    <n v="4"/>
    <s v="Customer Not Found"/>
    <x v="7"/>
    <x v="24"/>
    <x v="5"/>
    <s v="Price Missing"/>
    <n v="0"/>
  </r>
  <r>
    <s v="ORD01094"/>
    <s v="CUST0319"/>
    <s v="PRD0071"/>
    <n v="9"/>
    <s v="Customer Not Found"/>
    <x v="7"/>
    <x v="24"/>
    <x v="5"/>
    <s v="Price Missing"/>
    <n v="0"/>
  </r>
  <r>
    <s v="ORD01095"/>
    <s v="CUST0633"/>
    <s v="PRD0484"/>
    <n v="8"/>
    <s v="Customer Not Found"/>
    <x v="7"/>
    <x v="24"/>
    <x v="5"/>
    <s v="Price Missing"/>
    <n v="0"/>
  </r>
  <r>
    <s v="ORD01096"/>
    <s v="CUST0500"/>
    <s v="PRD0300"/>
    <n v="6"/>
    <s v="Customer Not Found"/>
    <x v="7"/>
    <x v="24"/>
    <x v="5"/>
    <s v="Price Missing"/>
    <n v="0"/>
  </r>
  <r>
    <s v="ORD01097"/>
    <s v="CUST0986"/>
    <s v="PRD0103"/>
    <n v="6"/>
    <s v="Customer Not Found"/>
    <x v="7"/>
    <x v="24"/>
    <x v="5"/>
    <s v="Price Missing"/>
    <n v="0"/>
  </r>
  <r>
    <s v="ORD01098"/>
    <s v="CUST0001"/>
    <s v="PRD0444"/>
    <n v="9"/>
    <s v="Customer Not Found"/>
    <x v="7"/>
    <x v="24"/>
    <x v="5"/>
    <s v="Price Missing"/>
    <n v="0"/>
  </r>
  <r>
    <s v="ORD01099"/>
    <s v="CUST0361"/>
    <s v="PRD0148"/>
    <n v="4"/>
    <s v="Customer Not Found"/>
    <x v="7"/>
    <x v="24"/>
    <x v="5"/>
    <s v="Price Missing"/>
    <n v="0"/>
  </r>
  <r>
    <s v="ORD01100"/>
    <s v="CUST0980"/>
    <s v="PRD0234"/>
    <n v="3"/>
    <s v="Customer Not Found"/>
    <x v="7"/>
    <x v="24"/>
    <x v="5"/>
    <s v="Price Missing"/>
    <n v="0"/>
  </r>
  <r>
    <s v="ORD01101"/>
    <s v="CUST0187"/>
    <s v="PRD0291"/>
    <n v="8"/>
    <s v="Customer Not Found"/>
    <x v="7"/>
    <x v="24"/>
    <x v="5"/>
    <s v="Price Missing"/>
    <n v="0"/>
  </r>
  <r>
    <s v="ORD01102"/>
    <s v="CUST0599"/>
    <s v="PRD0048"/>
    <n v="4"/>
    <s v="Customer Not Found"/>
    <x v="7"/>
    <x v="24"/>
    <x v="5"/>
    <s v="Price Missing"/>
    <n v="0"/>
  </r>
  <r>
    <s v="ORD01103"/>
    <s v="CUST0950"/>
    <s v="PRD0411"/>
    <n v="1"/>
    <s v="Customer Not Found"/>
    <x v="7"/>
    <x v="24"/>
    <x v="5"/>
    <s v="Price Missing"/>
    <n v="0"/>
  </r>
  <r>
    <s v="ORD01104"/>
    <s v="CUST0383"/>
    <s v="PRD0377"/>
    <n v="2"/>
    <s v="Customer Not Found"/>
    <x v="7"/>
    <x v="24"/>
    <x v="5"/>
    <s v="Price Missing"/>
    <n v="0"/>
  </r>
  <r>
    <s v="ORD01105"/>
    <s v="CUST0719"/>
    <s v="PRD0202"/>
    <n v="9"/>
    <s v="Customer Not Found"/>
    <x v="7"/>
    <x v="24"/>
    <x v="5"/>
    <s v="Price Missing"/>
    <n v="0"/>
  </r>
  <r>
    <s v="ORD01106"/>
    <s v="CUST0694"/>
    <s v="PRD0300"/>
    <n v="4"/>
    <s v="Customer Not Found"/>
    <x v="7"/>
    <x v="24"/>
    <x v="5"/>
    <s v="Price Missing"/>
    <n v="0"/>
  </r>
  <r>
    <s v="ORD01107"/>
    <s v="CUST0930"/>
    <s v="PRD0435"/>
    <n v="2"/>
    <s v="Customer Not Found"/>
    <x v="7"/>
    <x v="24"/>
    <x v="5"/>
    <s v="Price Missing"/>
    <n v="0"/>
  </r>
  <r>
    <s v="ORD01108"/>
    <s v="CUST0199"/>
    <s v="PRD0237"/>
    <n v="4"/>
    <s v="Customer Not Found"/>
    <x v="7"/>
    <x v="24"/>
    <x v="5"/>
    <s v="Price Missing"/>
    <n v="0"/>
  </r>
  <r>
    <s v="ORD01109"/>
    <s v="CUST0203"/>
    <s v="PRD0162"/>
    <n v="1"/>
    <s v="Customer Not Found"/>
    <x v="7"/>
    <x v="24"/>
    <x v="5"/>
    <s v="Price Missing"/>
    <n v="0"/>
  </r>
  <r>
    <s v="ORD01110"/>
    <s v="CUST0026"/>
    <s v="PRD0210"/>
    <n v="4"/>
    <s v="Customer Not Found"/>
    <x v="7"/>
    <x v="24"/>
    <x v="5"/>
    <s v="Price Missing"/>
    <n v="0"/>
  </r>
  <r>
    <s v="ORD01111"/>
    <s v="CUST0127"/>
    <s v="PRD0493"/>
    <n v="5"/>
    <s v="Customer Not Found"/>
    <x v="7"/>
    <x v="24"/>
    <x v="5"/>
    <s v="Price Missing"/>
    <n v="0"/>
  </r>
  <r>
    <s v="ORD01112"/>
    <s v="CUST0758"/>
    <s v="PRD0297"/>
    <n v="8"/>
    <s v="Customer Not Found"/>
    <x v="7"/>
    <x v="24"/>
    <x v="5"/>
    <s v="Price Missing"/>
    <n v="0"/>
  </r>
  <r>
    <s v="ORD01113"/>
    <s v="CUST0851"/>
    <s v="PRD0222"/>
    <n v="7"/>
    <s v="Customer Not Found"/>
    <x v="7"/>
    <x v="24"/>
    <x v="5"/>
    <s v="Price Missing"/>
    <n v="0"/>
  </r>
  <r>
    <s v="ORD01114"/>
    <s v="CUST0156"/>
    <s v="PRD0099"/>
    <n v="1"/>
    <s v="Customer Not Found"/>
    <x v="7"/>
    <x v="24"/>
    <x v="5"/>
    <s v="Price Missing"/>
    <n v="0"/>
  </r>
  <r>
    <s v="ORD01115"/>
    <s v="CUST0192"/>
    <s v="PRD0357"/>
    <n v="9"/>
    <s v="Customer Not Found"/>
    <x v="7"/>
    <x v="24"/>
    <x v="5"/>
    <s v="Price Missing"/>
    <n v="0"/>
  </r>
  <r>
    <s v="ORD01116"/>
    <s v="CUST0166"/>
    <s v="PRD0428"/>
    <n v="10"/>
    <s v="Customer Not Found"/>
    <x v="7"/>
    <x v="24"/>
    <x v="5"/>
    <s v="Price Missing"/>
    <n v="0"/>
  </r>
  <r>
    <s v="ORD01117"/>
    <s v="CUST0870"/>
    <s v="PRD0351"/>
    <n v="8"/>
    <s v="Customer Not Found"/>
    <x v="7"/>
    <x v="24"/>
    <x v="5"/>
    <s v="Price Missing"/>
    <n v="0"/>
  </r>
  <r>
    <s v="ORD01118"/>
    <s v="CUST0954"/>
    <s v="PRD0228"/>
    <n v="4"/>
    <s v="Customer Not Found"/>
    <x v="7"/>
    <x v="24"/>
    <x v="5"/>
    <s v="Price Missing"/>
    <n v="0"/>
  </r>
  <r>
    <s v="ORD01119"/>
    <s v="CUST0815"/>
    <s v="PRD0222"/>
    <n v="1"/>
    <s v="Customer Not Found"/>
    <x v="7"/>
    <x v="24"/>
    <x v="5"/>
    <s v="Price Missing"/>
    <n v="0"/>
  </r>
  <r>
    <s v="ORD01120"/>
    <s v="CUST0570"/>
    <s v="PRD0365"/>
    <n v="1"/>
    <s v="Customer Not Found"/>
    <x v="7"/>
    <x v="24"/>
    <x v="5"/>
    <s v="Price Missing"/>
    <n v="0"/>
  </r>
  <r>
    <s v="ORD01121"/>
    <s v="CUST0221"/>
    <s v="PRD0089"/>
    <n v="3"/>
    <s v="Customer Not Found"/>
    <x v="7"/>
    <x v="24"/>
    <x v="5"/>
    <s v="Price Missing"/>
    <n v="0"/>
  </r>
  <r>
    <s v="ORD01122"/>
    <s v="CUST0399"/>
    <s v="PRD0337"/>
    <n v="7"/>
    <s v="Customer Not Found"/>
    <x v="7"/>
    <x v="24"/>
    <x v="5"/>
    <s v="Price Missing"/>
    <n v="0"/>
  </r>
  <r>
    <s v="ORD01123"/>
    <s v="CUST0257"/>
    <s v="PRD0011"/>
    <n v="9"/>
    <s v="Customer Not Found"/>
    <x v="7"/>
    <x v="24"/>
    <x v="5"/>
    <s v="Price Missing"/>
    <n v="0"/>
  </r>
  <r>
    <s v="ORD01124"/>
    <s v="CUST0591"/>
    <s v="PRD0451"/>
    <n v="8"/>
    <s v="Customer Not Found"/>
    <x v="7"/>
    <x v="24"/>
    <x v="5"/>
    <s v="Price Missing"/>
    <n v="0"/>
  </r>
  <r>
    <s v="ORD01125"/>
    <s v="CUST0180"/>
    <s v="PRD0030"/>
    <n v="3"/>
    <s v="Customer Not Found"/>
    <x v="7"/>
    <x v="24"/>
    <x v="5"/>
    <s v="Price Missing"/>
    <n v="0"/>
  </r>
  <r>
    <s v="ORD01126"/>
    <s v="CUST0762"/>
    <s v="PRD0131"/>
    <n v="3"/>
    <s v="Customer Not Found"/>
    <x v="7"/>
    <x v="24"/>
    <x v="5"/>
    <s v="Price Missing"/>
    <n v="0"/>
  </r>
  <r>
    <s v="ORD01127"/>
    <s v="CUST0897"/>
    <s v="PRD0198"/>
    <n v="6"/>
    <s v="Customer Not Found"/>
    <x v="7"/>
    <x v="24"/>
    <x v="5"/>
    <s v="Price Missing"/>
    <n v="0"/>
  </r>
  <r>
    <s v="ORD01128"/>
    <s v="CUST0859"/>
    <s v="PRD0147"/>
    <n v="9"/>
    <s v="Customer Not Found"/>
    <x v="7"/>
    <x v="24"/>
    <x v="5"/>
    <s v="Price Missing"/>
    <n v="0"/>
  </r>
  <r>
    <s v="ORD01129"/>
    <s v="CUST0931"/>
    <s v="PRD0182"/>
    <n v="6"/>
    <s v="Customer Not Found"/>
    <x v="7"/>
    <x v="24"/>
    <x v="5"/>
    <s v="Price Missing"/>
    <n v="0"/>
  </r>
  <r>
    <s v="ORD01130"/>
    <s v="CUST0780"/>
    <s v="PRD0308"/>
    <n v="3"/>
    <s v="Customer Not Found"/>
    <x v="7"/>
    <x v="24"/>
    <x v="5"/>
    <s v="Price Missing"/>
    <n v="0"/>
  </r>
  <r>
    <s v="ORD01131"/>
    <s v="CUST0361"/>
    <s v="PRD0056"/>
    <n v="9"/>
    <s v="Customer Not Found"/>
    <x v="7"/>
    <x v="24"/>
    <x v="5"/>
    <s v="Price Missing"/>
    <n v="0"/>
  </r>
  <r>
    <s v="ORD01132"/>
    <s v="CUST0084"/>
    <s v="PRD0085"/>
    <n v="4"/>
    <s v="Customer Not Found"/>
    <x v="7"/>
    <x v="24"/>
    <x v="5"/>
    <s v="Price Missing"/>
    <n v="0"/>
  </r>
  <r>
    <s v="ORD01133"/>
    <s v="CUST0724"/>
    <s v="PRD0272"/>
    <n v="7"/>
    <s v="Customer Not Found"/>
    <x v="7"/>
    <x v="24"/>
    <x v="5"/>
    <s v="Price Missing"/>
    <n v="0"/>
  </r>
  <r>
    <s v="ORD01134"/>
    <s v="CUST0620"/>
    <s v="PRD0319"/>
    <n v="9"/>
    <s v="Customer Not Found"/>
    <x v="7"/>
    <x v="24"/>
    <x v="5"/>
    <s v="Price Missing"/>
    <n v="0"/>
  </r>
  <r>
    <s v="ORD01135"/>
    <s v="CUST0429"/>
    <s v="PRD0079"/>
    <n v="1"/>
    <s v="Customer Not Found"/>
    <x v="7"/>
    <x v="24"/>
    <x v="5"/>
    <s v="Price Missing"/>
    <n v="0"/>
  </r>
  <r>
    <s v="ORD01136"/>
    <s v="CUST0299"/>
    <s v="PRD0238"/>
    <n v="5"/>
    <s v="Customer Not Found"/>
    <x v="7"/>
    <x v="24"/>
    <x v="5"/>
    <s v="Price Missing"/>
    <n v="0"/>
  </r>
  <r>
    <s v="ORD01137"/>
    <s v="CUST0945"/>
    <s v="PRD0405"/>
    <n v="8"/>
    <s v="Customer Not Found"/>
    <x v="7"/>
    <x v="24"/>
    <x v="5"/>
    <s v="Price Missing"/>
    <n v="0"/>
  </r>
  <r>
    <s v="ORD01138"/>
    <s v="CUST0968"/>
    <s v="PRD0125"/>
    <n v="9"/>
    <s v="Customer Not Found"/>
    <x v="7"/>
    <x v="24"/>
    <x v="5"/>
    <s v="Price Missing"/>
    <n v="0"/>
  </r>
  <r>
    <s v="ORD01139"/>
    <s v="CUST0431"/>
    <s v="PRD0319"/>
    <n v="10"/>
    <s v="Customer Not Found"/>
    <x v="7"/>
    <x v="24"/>
    <x v="5"/>
    <s v="Price Missing"/>
    <n v="0"/>
  </r>
  <r>
    <s v="ORD01140"/>
    <s v="CUST0597"/>
    <s v="PRD0034"/>
    <n v="3"/>
    <s v="Customer Not Found"/>
    <x v="7"/>
    <x v="24"/>
    <x v="5"/>
    <s v="Price Missing"/>
    <n v="0"/>
  </r>
  <r>
    <s v="ORD01141"/>
    <s v="CUST0751"/>
    <s v="PRD0144"/>
    <n v="2"/>
    <s v="Customer Not Found"/>
    <x v="7"/>
    <x v="24"/>
    <x v="5"/>
    <s v="Price Missing"/>
    <n v="0"/>
  </r>
  <r>
    <s v="ORD01142"/>
    <s v="CUST0697"/>
    <s v="PRD0364"/>
    <n v="2"/>
    <s v="Customer Not Found"/>
    <x v="7"/>
    <x v="24"/>
    <x v="5"/>
    <s v="Price Missing"/>
    <n v="0"/>
  </r>
  <r>
    <s v="ORD01143"/>
    <s v="CUST0233"/>
    <s v="PRD0085"/>
    <n v="5"/>
    <s v="Customer Not Found"/>
    <x v="7"/>
    <x v="24"/>
    <x v="5"/>
    <s v="Price Missing"/>
    <n v="0"/>
  </r>
  <r>
    <s v="ORD01144"/>
    <s v="CUST0441"/>
    <s v="PRD0226"/>
    <n v="1"/>
    <s v="Customer Not Found"/>
    <x v="7"/>
    <x v="24"/>
    <x v="5"/>
    <s v="Price Missing"/>
    <n v="0"/>
  </r>
  <r>
    <s v="ORD01145"/>
    <s v="CUST0784"/>
    <s v="PRD0208"/>
    <n v="6"/>
    <s v="Customer Not Found"/>
    <x v="7"/>
    <x v="24"/>
    <x v="5"/>
    <s v="Price Missing"/>
    <n v="0"/>
  </r>
  <r>
    <s v="ORD01146"/>
    <s v="CUST0255"/>
    <s v="PRD0155"/>
    <n v="9"/>
    <s v="Customer Not Found"/>
    <x v="7"/>
    <x v="24"/>
    <x v="5"/>
    <s v="Price Missing"/>
    <n v="0"/>
  </r>
  <r>
    <s v="ORD01147"/>
    <s v="CUST0900"/>
    <s v="PRD0140"/>
    <n v="6"/>
    <s v="Customer Not Found"/>
    <x v="7"/>
    <x v="24"/>
    <x v="5"/>
    <s v="Price Missing"/>
    <n v="0"/>
  </r>
  <r>
    <s v="ORD01148"/>
    <s v="CUST0339"/>
    <s v="PRD0124"/>
    <n v="5"/>
    <s v="Customer Not Found"/>
    <x v="7"/>
    <x v="24"/>
    <x v="5"/>
    <s v="Price Missing"/>
    <n v="0"/>
  </r>
  <r>
    <s v="ORD01149"/>
    <s v="CUST0695"/>
    <s v="PRD0499"/>
    <n v="6"/>
    <s v="Customer Not Found"/>
    <x v="7"/>
    <x v="24"/>
    <x v="5"/>
    <s v="Price Missing"/>
    <n v="0"/>
  </r>
  <r>
    <s v="ORD01150"/>
    <s v="CUST0084"/>
    <s v="PRD0212"/>
    <n v="4"/>
    <s v="Customer Not Found"/>
    <x v="7"/>
    <x v="24"/>
    <x v="5"/>
    <s v="Price Missing"/>
    <n v="0"/>
  </r>
  <r>
    <s v="ORD01151"/>
    <s v="CUST0281"/>
    <s v="PRD0172"/>
    <n v="3"/>
    <s v="Customer Not Found"/>
    <x v="7"/>
    <x v="24"/>
    <x v="5"/>
    <s v="Price Missing"/>
    <n v="0"/>
  </r>
  <r>
    <s v="ORD01152"/>
    <s v="CUST0211"/>
    <s v="PRD0480"/>
    <n v="6"/>
    <s v="Customer Not Found"/>
    <x v="7"/>
    <x v="24"/>
    <x v="5"/>
    <s v="Price Missing"/>
    <n v="0"/>
  </r>
  <r>
    <s v="ORD01153"/>
    <s v="CUST0122"/>
    <s v="PRD0320"/>
    <n v="3"/>
    <s v="Customer Not Found"/>
    <x v="7"/>
    <x v="24"/>
    <x v="5"/>
    <s v="Price Missing"/>
    <n v="0"/>
  </r>
  <r>
    <s v="ORD01154"/>
    <s v="CUST0269"/>
    <s v="PRD0185"/>
    <n v="10"/>
    <s v="Customer Not Found"/>
    <x v="7"/>
    <x v="24"/>
    <x v="5"/>
    <s v="Price Missing"/>
    <n v="0"/>
  </r>
  <r>
    <s v="ORD01155"/>
    <s v="CUST0819"/>
    <s v="PRD0335"/>
    <n v="2"/>
    <s v="Customer Not Found"/>
    <x v="7"/>
    <x v="24"/>
    <x v="5"/>
    <s v="Price Missing"/>
    <n v="0"/>
  </r>
  <r>
    <s v="ORD01156"/>
    <s v="CUST0910"/>
    <s v="PRD0349"/>
    <n v="6"/>
    <s v="Customer Not Found"/>
    <x v="7"/>
    <x v="24"/>
    <x v="5"/>
    <s v="Price Missing"/>
    <n v="0"/>
  </r>
  <r>
    <s v="ORD01157"/>
    <s v="CUST0106"/>
    <s v="PRD0012"/>
    <n v="9"/>
    <s v="Customer Not Found"/>
    <x v="7"/>
    <x v="24"/>
    <x v="5"/>
    <s v="Price Missing"/>
    <n v="0"/>
  </r>
  <r>
    <s v="ORD01158"/>
    <s v="CUST0228"/>
    <s v="PRD0024"/>
    <n v="2"/>
    <s v="Customer Not Found"/>
    <x v="7"/>
    <x v="24"/>
    <x v="5"/>
    <s v="Price Missing"/>
    <n v="0"/>
  </r>
  <r>
    <s v="ORD01159"/>
    <s v="CUST0132"/>
    <s v="PRD0247"/>
    <n v="7"/>
    <s v="Customer Not Found"/>
    <x v="7"/>
    <x v="24"/>
    <x v="5"/>
    <s v="Price Missing"/>
    <n v="0"/>
  </r>
  <r>
    <s v="ORD01160"/>
    <s v="CUST0218"/>
    <s v="PRD0092"/>
    <n v="2"/>
    <s v="Customer Not Found"/>
    <x v="7"/>
    <x v="24"/>
    <x v="5"/>
    <s v="Price Missing"/>
    <n v="0"/>
  </r>
  <r>
    <s v="ORD01161"/>
    <s v="CUST0582"/>
    <s v="PRD0001"/>
    <n v="10"/>
    <s v="Customer Not Found"/>
    <x v="7"/>
    <x v="24"/>
    <x v="5"/>
    <s v="Price Missing"/>
    <n v="0"/>
  </r>
  <r>
    <s v="ORD01162"/>
    <s v="CUST0741"/>
    <s v="PRD0331"/>
    <n v="2"/>
    <s v="Customer Not Found"/>
    <x v="7"/>
    <x v="24"/>
    <x v="5"/>
    <s v="Price Missing"/>
    <n v="0"/>
  </r>
  <r>
    <s v="ORD01163"/>
    <s v="CUST0811"/>
    <s v="PRD0330"/>
    <n v="10"/>
    <s v="Customer Not Found"/>
    <x v="7"/>
    <x v="24"/>
    <x v="5"/>
    <s v="Price Missing"/>
    <n v="0"/>
  </r>
  <r>
    <s v="ORD01164"/>
    <s v="CUST0998"/>
    <s v="PRD0226"/>
    <n v="4"/>
    <s v="Customer Not Found"/>
    <x v="7"/>
    <x v="24"/>
    <x v="5"/>
    <s v="Price Missing"/>
    <n v="0"/>
  </r>
  <r>
    <s v="ORD01165"/>
    <s v="CUST0514"/>
    <s v="PRD0435"/>
    <n v="7"/>
    <s v="Customer Not Found"/>
    <x v="7"/>
    <x v="24"/>
    <x v="5"/>
    <s v="Price Missing"/>
    <n v="0"/>
  </r>
  <r>
    <s v="ORD01166"/>
    <s v="CUST0628"/>
    <s v="PRD0416"/>
    <n v="3"/>
    <s v="Customer Not Found"/>
    <x v="7"/>
    <x v="24"/>
    <x v="5"/>
    <s v="Price Missing"/>
    <n v="0"/>
  </r>
  <r>
    <s v="ORD01167"/>
    <s v="CUST0054"/>
    <s v="PRD0020"/>
    <n v="3"/>
    <s v="Customer Not Found"/>
    <x v="7"/>
    <x v="24"/>
    <x v="5"/>
    <s v="Price Missing"/>
    <n v="0"/>
  </r>
  <r>
    <s v="ORD01168"/>
    <s v="CUST0332"/>
    <s v="PRD0397"/>
    <n v="1"/>
    <s v="Customer Not Found"/>
    <x v="7"/>
    <x v="24"/>
    <x v="5"/>
    <s v="Price Missing"/>
    <n v="0"/>
  </r>
  <r>
    <s v="ORD01169"/>
    <s v="CUST0089"/>
    <s v="PRD0364"/>
    <n v="4"/>
    <s v="Customer Not Found"/>
    <x v="7"/>
    <x v="24"/>
    <x v="5"/>
    <s v="Price Missing"/>
    <n v="0"/>
  </r>
  <r>
    <s v="ORD01170"/>
    <s v="CUST0216"/>
    <s v="PRD0433"/>
    <n v="10"/>
    <s v="Customer Not Found"/>
    <x v="7"/>
    <x v="24"/>
    <x v="5"/>
    <s v="Price Missing"/>
    <n v="0"/>
  </r>
  <r>
    <s v="ORD01171"/>
    <s v="CUST0804"/>
    <s v="PRD0284"/>
    <n v="4"/>
    <s v="Customer Not Found"/>
    <x v="7"/>
    <x v="24"/>
    <x v="5"/>
    <s v="Price Missing"/>
    <n v="0"/>
  </r>
  <r>
    <s v="ORD01172"/>
    <s v="CUST0885"/>
    <s v="PRD0023"/>
    <n v="4"/>
    <s v="Customer Not Found"/>
    <x v="7"/>
    <x v="24"/>
    <x v="5"/>
    <s v="Price Missing"/>
    <n v="0"/>
  </r>
  <r>
    <s v="ORD01173"/>
    <s v="CUST0608"/>
    <s v="PRD0492"/>
    <n v="6"/>
    <s v="Customer Not Found"/>
    <x v="7"/>
    <x v="24"/>
    <x v="5"/>
    <s v="Price Missing"/>
    <n v="0"/>
  </r>
  <r>
    <s v="ORD01174"/>
    <s v="CUST0224"/>
    <s v="PRD0238"/>
    <n v="3"/>
    <s v="Customer Not Found"/>
    <x v="7"/>
    <x v="24"/>
    <x v="5"/>
    <s v="Price Missing"/>
    <n v="0"/>
  </r>
  <r>
    <s v="ORD01175"/>
    <s v="CUST0757"/>
    <s v="PRD0350"/>
    <n v="2"/>
    <s v="Customer Not Found"/>
    <x v="7"/>
    <x v="24"/>
    <x v="5"/>
    <s v="Price Missing"/>
    <n v="0"/>
  </r>
  <r>
    <s v="ORD01176"/>
    <s v="CUST0143"/>
    <s v="PRD0191"/>
    <n v="2"/>
    <s v="Customer Not Found"/>
    <x v="7"/>
    <x v="24"/>
    <x v="5"/>
    <s v="Price Missing"/>
    <n v="0"/>
  </r>
  <r>
    <s v="ORD01177"/>
    <s v="CUST0113"/>
    <s v="PRD0410"/>
    <n v="4"/>
    <s v="Customer Not Found"/>
    <x v="7"/>
    <x v="24"/>
    <x v="5"/>
    <s v="Price Missing"/>
    <n v="0"/>
  </r>
  <r>
    <s v="ORD01178"/>
    <s v="CUST0523"/>
    <s v="PRD0210"/>
    <n v="3"/>
    <s v="Customer Not Found"/>
    <x v="7"/>
    <x v="24"/>
    <x v="5"/>
    <s v="Price Missing"/>
    <n v="0"/>
  </r>
  <r>
    <s v="ORD01179"/>
    <s v="CUST0120"/>
    <s v="PRD0166"/>
    <n v="1"/>
    <s v="Customer Not Found"/>
    <x v="7"/>
    <x v="24"/>
    <x v="5"/>
    <s v="Price Missing"/>
    <n v="0"/>
  </r>
  <r>
    <s v="ORD01180"/>
    <s v="CUST0892"/>
    <s v="PRD0260"/>
    <n v="9"/>
    <s v="Customer Not Found"/>
    <x v="7"/>
    <x v="24"/>
    <x v="5"/>
    <s v="Price Missing"/>
    <n v="0"/>
  </r>
  <r>
    <s v="ORD01181"/>
    <s v="CUST0983"/>
    <s v="PRD0152"/>
    <n v="7"/>
    <s v="Customer Not Found"/>
    <x v="7"/>
    <x v="24"/>
    <x v="5"/>
    <s v="Price Missing"/>
    <n v="0"/>
  </r>
  <r>
    <s v="ORD01182"/>
    <s v="CUST0835"/>
    <s v="PRD0378"/>
    <n v="9"/>
    <s v="Customer Not Found"/>
    <x v="7"/>
    <x v="24"/>
    <x v="5"/>
    <s v="Price Missing"/>
    <n v="0"/>
  </r>
  <r>
    <s v="ORD01183"/>
    <s v="CUST0386"/>
    <s v="PRD0177"/>
    <n v="7"/>
    <s v="Customer Not Found"/>
    <x v="7"/>
    <x v="24"/>
    <x v="5"/>
    <s v="Price Missing"/>
    <n v="0"/>
  </r>
  <r>
    <s v="ORD01184"/>
    <s v="CUST0996"/>
    <s v="PRD0026"/>
    <n v="7"/>
    <s v="Customer Not Found"/>
    <x v="7"/>
    <x v="24"/>
    <x v="5"/>
    <s v="Price Missing"/>
    <n v="0"/>
  </r>
  <r>
    <s v="ORD01185"/>
    <s v="CUST0725"/>
    <s v="PRD0121"/>
    <n v="7"/>
    <s v="Customer Not Found"/>
    <x v="7"/>
    <x v="24"/>
    <x v="5"/>
    <s v="Price Missing"/>
    <n v="0"/>
  </r>
  <r>
    <s v="ORD01186"/>
    <s v="CUST0169"/>
    <s v="PRD0039"/>
    <n v="9"/>
    <s v="Customer Not Found"/>
    <x v="7"/>
    <x v="24"/>
    <x v="5"/>
    <s v="Price Missing"/>
    <n v="0"/>
  </r>
  <r>
    <s v="ORD01187"/>
    <s v="CUST0453"/>
    <s v="PRD0116"/>
    <n v="5"/>
    <s v="Customer Not Found"/>
    <x v="7"/>
    <x v="24"/>
    <x v="5"/>
    <s v="Price Missing"/>
    <n v="0"/>
  </r>
  <r>
    <s v="ORD01188"/>
    <s v="CUST0162"/>
    <s v="PRD0121"/>
    <n v="4"/>
    <s v="Customer Not Found"/>
    <x v="7"/>
    <x v="24"/>
    <x v="5"/>
    <s v="Price Missing"/>
    <n v="0"/>
  </r>
  <r>
    <s v="ORD01189"/>
    <s v="CUST0799"/>
    <s v="PRD0473"/>
    <n v="3"/>
    <s v="Customer Not Found"/>
    <x v="7"/>
    <x v="24"/>
    <x v="5"/>
    <s v="Price Missing"/>
    <n v="0"/>
  </r>
  <r>
    <s v="ORD01190"/>
    <s v="CUST0774"/>
    <s v="PRD0134"/>
    <n v="4"/>
    <s v="Customer Not Found"/>
    <x v="7"/>
    <x v="24"/>
    <x v="5"/>
    <s v="Price Missing"/>
    <n v="0"/>
  </r>
  <r>
    <s v="ORD01191"/>
    <s v="CUST0614"/>
    <s v="PRD0255"/>
    <n v="5"/>
    <s v="Customer Not Found"/>
    <x v="7"/>
    <x v="24"/>
    <x v="5"/>
    <s v="Price Missing"/>
    <n v="0"/>
  </r>
  <r>
    <s v="ORD01192"/>
    <s v="CUST0423"/>
    <s v="PRD0194"/>
    <n v="9"/>
    <s v="Customer Not Found"/>
    <x v="7"/>
    <x v="24"/>
    <x v="5"/>
    <s v="Price Missing"/>
    <n v="0"/>
  </r>
  <r>
    <s v="ORD01193"/>
    <s v="CUST0321"/>
    <s v="PRD0445"/>
    <n v="3"/>
    <s v="Customer Not Found"/>
    <x v="7"/>
    <x v="24"/>
    <x v="5"/>
    <s v="Price Missing"/>
    <n v="0"/>
  </r>
  <r>
    <s v="ORD01194"/>
    <s v="CUST0119"/>
    <s v="PRD0076"/>
    <n v="5"/>
    <s v="Customer Not Found"/>
    <x v="7"/>
    <x v="24"/>
    <x v="5"/>
    <s v="Price Missing"/>
    <n v="0"/>
  </r>
  <r>
    <s v="ORD01195"/>
    <s v="CUST0368"/>
    <s v="PRD0259"/>
    <n v="8"/>
    <s v="Customer Not Found"/>
    <x v="7"/>
    <x v="24"/>
    <x v="5"/>
    <s v="Price Missing"/>
    <n v="0"/>
  </r>
  <r>
    <s v="ORD01196"/>
    <s v="CUST0040"/>
    <s v="PRD0232"/>
    <n v="7"/>
    <s v="Customer Not Found"/>
    <x v="7"/>
    <x v="24"/>
    <x v="5"/>
    <s v="Price Missing"/>
    <n v="0"/>
  </r>
  <r>
    <s v="ORD01197"/>
    <s v="CUST0932"/>
    <s v="PRD0267"/>
    <n v="6"/>
    <s v="Customer Not Found"/>
    <x v="7"/>
    <x v="24"/>
    <x v="5"/>
    <s v="Price Missing"/>
    <n v="0"/>
  </r>
  <r>
    <s v="ORD01198"/>
    <s v="CUST0068"/>
    <s v="PRD0326"/>
    <n v="4"/>
    <s v="Customer Not Found"/>
    <x v="7"/>
    <x v="24"/>
    <x v="5"/>
    <s v="Price Missing"/>
    <n v="0"/>
  </r>
  <r>
    <s v="ORD01199"/>
    <s v="CUST0257"/>
    <s v="PRD0489"/>
    <n v="3"/>
    <s v="Customer Not Found"/>
    <x v="7"/>
    <x v="24"/>
    <x v="5"/>
    <s v="Price Missing"/>
    <n v="0"/>
  </r>
  <r>
    <s v="ORD01200"/>
    <s v="CUST0371"/>
    <s v="PRD0302"/>
    <n v="2"/>
    <s v="Customer Not Found"/>
    <x v="7"/>
    <x v="24"/>
    <x v="5"/>
    <s v="Price Missing"/>
    <n v="0"/>
  </r>
  <r>
    <s v="ORD01201"/>
    <s v="CUST0206"/>
    <s v="PRD0058"/>
    <n v="10"/>
    <s v="Customer Not Found"/>
    <x v="7"/>
    <x v="24"/>
    <x v="5"/>
    <s v="Price Missing"/>
    <n v="0"/>
  </r>
  <r>
    <s v="ORD01202"/>
    <s v="CUST0493"/>
    <s v="PRD0202"/>
    <n v="1"/>
    <s v="Customer Not Found"/>
    <x v="7"/>
    <x v="24"/>
    <x v="5"/>
    <s v="Price Missing"/>
    <n v="0"/>
  </r>
  <r>
    <s v="ORD01203"/>
    <s v="CUST0451"/>
    <s v="PRD0400"/>
    <n v="6"/>
    <s v="Customer Not Found"/>
    <x v="7"/>
    <x v="24"/>
    <x v="5"/>
    <s v="Price Missing"/>
    <n v="0"/>
  </r>
  <r>
    <s v="ORD01204"/>
    <s v="CUST0879"/>
    <s v="PRD0211"/>
    <n v="8"/>
    <s v="Customer Not Found"/>
    <x v="7"/>
    <x v="24"/>
    <x v="5"/>
    <s v="Price Missing"/>
    <n v="0"/>
  </r>
  <r>
    <s v="ORD01205"/>
    <s v="CUST0979"/>
    <s v="PRD0370"/>
    <n v="6"/>
    <s v="Customer Not Found"/>
    <x v="7"/>
    <x v="24"/>
    <x v="5"/>
    <s v="Price Missing"/>
    <n v="0"/>
  </r>
  <r>
    <s v="ORD01206"/>
    <s v="CUST0405"/>
    <s v="PRD0313"/>
    <n v="6"/>
    <s v="Customer Not Found"/>
    <x v="7"/>
    <x v="24"/>
    <x v="5"/>
    <s v="Price Missing"/>
    <n v="0"/>
  </r>
  <r>
    <s v="ORD01207"/>
    <s v="CUST0102"/>
    <s v="PRD0228"/>
    <n v="9"/>
    <s v="Customer Not Found"/>
    <x v="7"/>
    <x v="24"/>
    <x v="5"/>
    <s v="Price Missing"/>
    <n v="0"/>
  </r>
  <r>
    <s v="ORD01208"/>
    <s v="CUST0281"/>
    <s v="PRD0098"/>
    <n v="9"/>
    <s v="Customer Not Found"/>
    <x v="7"/>
    <x v="24"/>
    <x v="5"/>
    <s v="Price Missing"/>
    <n v="0"/>
  </r>
  <r>
    <s v="ORD01209"/>
    <s v="CUST0735"/>
    <s v="PRD0313"/>
    <n v="3"/>
    <s v="Customer Not Found"/>
    <x v="7"/>
    <x v="24"/>
    <x v="5"/>
    <s v="Price Missing"/>
    <n v="0"/>
  </r>
  <r>
    <s v="ORD01210"/>
    <s v="CUST0991"/>
    <s v="PRD0112"/>
    <n v="2"/>
    <s v="Customer Not Found"/>
    <x v="7"/>
    <x v="24"/>
    <x v="5"/>
    <s v="Price Missing"/>
    <n v="0"/>
  </r>
  <r>
    <s v="ORD01211"/>
    <s v="CUST0625"/>
    <s v="PRD0349"/>
    <n v="7"/>
    <s v="Customer Not Found"/>
    <x v="7"/>
    <x v="24"/>
    <x v="5"/>
    <s v="Price Missing"/>
    <n v="0"/>
  </r>
  <r>
    <s v="ORD01212"/>
    <s v="CUST0646"/>
    <s v="PRD0351"/>
    <n v="1"/>
    <s v="Customer Not Found"/>
    <x v="7"/>
    <x v="24"/>
    <x v="5"/>
    <s v="Price Missing"/>
    <n v="0"/>
  </r>
  <r>
    <s v="ORD01213"/>
    <s v="CUST0037"/>
    <s v="PRD0338"/>
    <n v="8"/>
    <s v="Customer Not Found"/>
    <x v="7"/>
    <x v="24"/>
    <x v="5"/>
    <s v="Price Missing"/>
    <n v="0"/>
  </r>
  <r>
    <s v="ORD01214"/>
    <s v="CUST0598"/>
    <s v="PRD0457"/>
    <n v="8"/>
    <s v="Customer Not Found"/>
    <x v="7"/>
    <x v="24"/>
    <x v="5"/>
    <s v="Price Missing"/>
    <n v="0"/>
  </r>
  <r>
    <s v="ORD01215"/>
    <s v="CUST0753"/>
    <s v="PRD0469"/>
    <n v="1"/>
    <s v="Customer Not Found"/>
    <x v="7"/>
    <x v="24"/>
    <x v="5"/>
    <s v="Price Missing"/>
    <n v="0"/>
  </r>
  <r>
    <s v="ORD01216"/>
    <s v="CUST0320"/>
    <s v="PRD0270"/>
    <n v="8"/>
    <s v="Customer Not Found"/>
    <x v="7"/>
    <x v="24"/>
    <x v="5"/>
    <s v="Price Missing"/>
    <n v="0"/>
  </r>
  <r>
    <s v="ORD01217"/>
    <s v="CUST0203"/>
    <s v="PRD0406"/>
    <n v="7"/>
    <s v="Customer Not Found"/>
    <x v="7"/>
    <x v="24"/>
    <x v="5"/>
    <s v="Price Missing"/>
    <n v="0"/>
  </r>
  <r>
    <s v="ORD01218"/>
    <s v="CUST0809"/>
    <s v="PRD0070"/>
    <n v="5"/>
    <s v="Customer Not Found"/>
    <x v="7"/>
    <x v="24"/>
    <x v="5"/>
    <s v="Price Missing"/>
    <n v="0"/>
  </r>
  <r>
    <s v="ORD01219"/>
    <s v="CUST0854"/>
    <s v="PRD0292"/>
    <n v="5"/>
    <s v="Customer Not Found"/>
    <x v="7"/>
    <x v="24"/>
    <x v="5"/>
    <s v="Price Missing"/>
    <n v="0"/>
  </r>
  <r>
    <s v="ORD01220"/>
    <s v="CUST0972"/>
    <s v="PRD0097"/>
    <n v="6"/>
    <s v="Customer Not Found"/>
    <x v="7"/>
    <x v="24"/>
    <x v="5"/>
    <s v="Price Missing"/>
    <n v="0"/>
  </r>
  <r>
    <s v="ORD01221"/>
    <s v="CUST0699"/>
    <s v="PRD0180"/>
    <n v="5"/>
    <s v="Customer Not Found"/>
    <x v="7"/>
    <x v="24"/>
    <x v="5"/>
    <s v="Price Missing"/>
    <n v="0"/>
  </r>
  <r>
    <s v="ORD01222"/>
    <s v="CUST0151"/>
    <s v="PRD0097"/>
    <n v="5"/>
    <s v="Customer Not Found"/>
    <x v="7"/>
    <x v="24"/>
    <x v="5"/>
    <s v="Price Missing"/>
    <n v="0"/>
  </r>
  <r>
    <s v="ORD01223"/>
    <s v="CUST0680"/>
    <s v="PRD0332"/>
    <n v="6"/>
    <s v="Customer Not Found"/>
    <x v="7"/>
    <x v="24"/>
    <x v="5"/>
    <s v="Price Missing"/>
    <n v="0"/>
  </r>
  <r>
    <s v="ORD01224"/>
    <s v="CUST0581"/>
    <s v="PRD0260"/>
    <n v="2"/>
    <s v="Customer Not Found"/>
    <x v="7"/>
    <x v="24"/>
    <x v="5"/>
    <s v="Price Missing"/>
    <n v="0"/>
  </r>
  <r>
    <s v="ORD01225"/>
    <s v="CUST0868"/>
    <s v="PRD0220"/>
    <n v="3"/>
    <s v="Customer Not Found"/>
    <x v="7"/>
    <x v="24"/>
    <x v="5"/>
    <s v="Price Missing"/>
    <n v="0"/>
  </r>
  <r>
    <s v="ORD01226"/>
    <s v="CUST0049"/>
    <s v="PRD0307"/>
    <n v="1"/>
    <s v="Customer Not Found"/>
    <x v="7"/>
    <x v="24"/>
    <x v="5"/>
    <s v="Price Missing"/>
    <n v="0"/>
  </r>
  <r>
    <s v="ORD01227"/>
    <s v="CUST0127"/>
    <s v="PRD0446"/>
    <n v="5"/>
    <s v="Customer Not Found"/>
    <x v="7"/>
    <x v="24"/>
    <x v="5"/>
    <s v="Price Missing"/>
    <n v="0"/>
  </r>
  <r>
    <s v="ORD01228"/>
    <s v="CUST0291"/>
    <s v="PRD0393"/>
    <n v="5"/>
    <s v="Customer Not Found"/>
    <x v="7"/>
    <x v="24"/>
    <x v="5"/>
    <s v="Price Missing"/>
    <n v="0"/>
  </r>
  <r>
    <s v="ORD01229"/>
    <s v="CUST0237"/>
    <s v="PRD0306"/>
    <n v="10"/>
    <s v="Customer Not Found"/>
    <x v="7"/>
    <x v="24"/>
    <x v="5"/>
    <s v="Price Missing"/>
    <n v="0"/>
  </r>
  <r>
    <s v="ORD01230"/>
    <s v="CUST0193"/>
    <s v="PRD0165"/>
    <n v="10"/>
    <s v="Customer Not Found"/>
    <x v="7"/>
    <x v="24"/>
    <x v="5"/>
    <s v="Price Missing"/>
    <n v="0"/>
  </r>
  <r>
    <s v="ORD01231"/>
    <s v="CUST0010"/>
    <s v="PRD0490"/>
    <n v="6"/>
    <s v="Customer Not Found"/>
    <x v="7"/>
    <x v="24"/>
    <x v="5"/>
    <s v="Price Missing"/>
    <n v="0"/>
  </r>
  <r>
    <s v="ORD01232"/>
    <s v="CUST0838"/>
    <s v="PRD0151"/>
    <n v="8"/>
    <s v="Customer Not Found"/>
    <x v="7"/>
    <x v="24"/>
    <x v="5"/>
    <s v="Price Missing"/>
    <n v="0"/>
  </r>
  <r>
    <s v="ORD01233"/>
    <s v="CUST0469"/>
    <s v="PRD0171"/>
    <n v="3"/>
    <s v="Customer Not Found"/>
    <x v="7"/>
    <x v="24"/>
    <x v="5"/>
    <s v="Price Missing"/>
    <n v="0"/>
  </r>
  <r>
    <s v="ORD01234"/>
    <s v="CUST0605"/>
    <s v="PRD0367"/>
    <n v="7"/>
    <s v="Customer Not Found"/>
    <x v="7"/>
    <x v="24"/>
    <x v="5"/>
    <s v="Price Missing"/>
    <n v="0"/>
  </r>
  <r>
    <s v="ORD01235"/>
    <s v="CUST0375"/>
    <s v="PRD0123"/>
    <n v="10"/>
    <s v="Customer Not Found"/>
    <x v="7"/>
    <x v="24"/>
    <x v="5"/>
    <s v="Price Missing"/>
    <n v="0"/>
  </r>
  <r>
    <s v="ORD01236"/>
    <s v="CUST0506"/>
    <s v="PRD0247"/>
    <n v="10"/>
    <s v="Customer Not Found"/>
    <x v="7"/>
    <x v="24"/>
    <x v="5"/>
    <s v="Price Missing"/>
    <n v="0"/>
  </r>
  <r>
    <s v="ORD01237"/>
    <s v="CUST0618"/>
    <s v="PRD0128"/>
    <n v="8"/>
    <s v="Customer Not Found"/>
    <x v="7"/>
    <x v="24"/>
    <x v="5"/>
    <s v="Price Missing"/>
    <n v="0"/>
  </r>
  <r>
    <s v="ORD01238"/>
    <s v="CUST0388"/>
    <s v="PRD0488"/>
    <n v="9"/>
    <s v="Customer Not Found"/>
    <x v="7"/>
    <x v="24"/>
    <x v="5"/>
    <s v="Price Missing"/>
    <n v="0"/>
  </r>
  <r>
    <s v="ORD01239"/>
    <s v="CUST0592"/>
    <s v="PRD0388"/>
    <n v="7"/>
    <s v="Customer Not Found"/>
    <x v="7"/>
    <x v="24"/>
    <x v="5"/>
    <s v="Price Missing"/>
    <n v="0"/>
  </r>
  <r>
    <s v="ORD01240"/>
    <s v="CUST0070"/>
    <s v="PRD0493"/>
    <n v="1"/>
    <s v="Customer Not Found"/>
    <x v="7"/>
    <x v="24"/>
    <x v="5"/>
    <s v="Price Missing"/>
    <n v="0"/>
  </r>
  <r>
    <s v="ORD01241"/>
    <s v="CUST0902"/>
    <s v="PRD0404"/>
    <n v="4"/>
    <s v="Customer Not Found"/>
    <x v="7"/>
    <x v="24"/>
    <x v="5"/>
    <s v="Price Missing"/>
    <n v="0"/>
  </r>
  <r>
    <s v="ORD01242"/>
    <s v="CUST0291"/>
    <s v="PRD0374"/>
    <n v="10"/>
    <s v="Customer Not Found"/>
    <x v="7"/>
    <x v="24"/>
    <x v="5"/>
    <s v="Price Missing"/>
    <n v="0"/>
  </r>
  <r>
    <s v="ORD01243"/>
    <s v="CUST0765"/>
    <s v="PRD0475"/>
    <n v="5"/>
    <s v="Customer Not Found"/>
    <x v="7"/>
    <x v="24"/>
    <x v="5"/>
    <s v="Price Missing"/>
    <n v="0"/>
  </r>
  <r>
    <s v="ORD01244"/>
    <s v="CUST0168"/>
    <s v="PRD0262"/>
    <n v="4"/>
    <s v="Customer Not Found"/>
    <x v="7"/>
    <x v="24"/>
    <x v="5"/>
    <s v="Price Missing"/>
    <n v="0"/>
  </r>
  <r>
    <s v="ORD01245"/>
    <s v="CUST0822"/>
    <s v="PRD0472"/>
    <n v="7"/>
    <s v="Customer Not Found"/>
    <x v="7"/>
    <x v="24"/>
    <x v="5"/>
    <s v="Price Missing"/>
    <n v="0"/>
  </r>
  <r>
    <s v="ORD01246"/>
    <s v="CUST0759"/>
    <s v="PRD0266"/>
    <n v="4"/>
    <s v="Customer Not Found"/>
    <x v="7"/>
    <x v="24"/>
    <x v="5"/>
    <s v="Price Missing"/>
    <n v="0"/>
  </r>
  <r>
    <s v="ORD01247"/>
    <s v="CUST0490"/>
    <s v="PRD0033"/>
    <n v="8"/>
    <s v="Customer Not Found"/>
    <x v="7"/>
    <x v="24"/>
    <x v="5"/>
    <s v="Price Missing"/>
    <n v="0"/>
  </r>
  <r>
    <s v="ORD01248"/>
    <s v="CUST0019"/>
    <s v="PRD0007"/>
    <n v="10"/>
    <s v="Customer Not Found"/>
    <x v="7"/>
    <x v="24"/>
    <x v="5"/>
    <s v="Price Missing"/>
    <n v="0"/>
  </r>
  <r>
    <s v="ORD01249"/>
    <s v="CUST0681"/>
    <s v="PRD0206"/>
    <n v="10"/>
    <s v="Customer Not Found"/>
    <x v="7"/>
    <x v="24"/>
    <x v="5"/>
    <s v="Price Missing"/>
    <n v="0"/>
  </r>
  <r>
    <s v="ORD01250"/>
    <s v="CUST0963"/>
    <s v="PRD0306"/>
    <n v="7"/>
    <s v="Customer Not Found"/>
    <x v="7"/>
    <x v="24"/>
    <x v="5"/>
    <s v="Price Missing"/>
    <n v="0"/>
  </r>
  <r>
    <s v="ORD01251"/>
    <s v="CUST0777"/>
    <s v="PRD0184"/>
    <n v="6"/>
    <s v="Customer Not Found"/>
    <x v="7"/>
    <x v="24"/>
    <x v="5"/>
    <s v="Price Missing"/>
    <n v="0"/>
  </r>
  <r>
    <s v="ORD01252"/>
    <s v="CUST0681"/>
    <s v="PRD0021"/>
    <n v="2"/>
    <s v="Customer Not Found"/>
    <x v="7"/>
    <x v="24"/>
    <x v="5"/>
    <s v="Price Missing"/>
    <n v="0"/>
  </r>
  <r>
    <s v="ORD01253"/>
    <s v="CUST0962"/>
    <s v="PRD0443"/>
    <n v="8"/>
    <s v="Customer Not Found"/>
    <x v="7"/>
    <x v="24"/>
    <x v="5"/>
    <s v="Price Missing"/>
    <n v="0"/>
  </r>
  <r>
    <s v="ORD01254"/>
    <s v="CUST0767"/>
    <s v="PRD0299"/>
    <n v="3"/>
    <s v="Customer Not Found"/>
    <x v="7"/>
    <x v="24"/>
    <x v="5"/>
    <s v="Price Missing"/>
    <n v="0"/>
  </r>
  <r>
    <s v="ORD01255"/>
    <s v="CUST0584"/>
    <s v="PRD0243"/>
    <n v="9"/>
    <s v="Customer Not Found"/>
    <x v="7"/>
    <x v="24"/>
    <x v="5"/>
    <s v="Price Missing"/>
    <n v="0"/>
  </r>
  <r>
    <s v="ORD01256"/>
    <s v="CUST0705"/>
    <s v="PRD0009"/>
    <n v="2"/>
    <s v="Customer Not Found"/>
    <x v="7"/>
    <x v="24"/>
    <x v="5"/>
    <s v="Price Missing"/>
    <n v="0"/>
  </r>
  <r>
    <s v="ORD01257"/>
    <s v="CUST0735"/>
    <s v="PRD0280"/>
    <n v="2"/>
    <s v="Customer Not Found"/>
    <x v="7"/>
    <x v="24"/>
    <x v="5"/>
    <s v="Price Missing"/>
    <n v="0"/>
  </r>
  <r>
    <s v="ORD01258"/>
    <s v="CUST0065"/>
    <s v="PRD0203"/>
    <n v="6"/>
    <s v="Customer Not Found"/>
    <x v="7"/>
    <x v="24"/>
    <x v="5"/>
    <s v="Price Missing"/>
    <n v="0"/>
  </r>
  <r>
    <s v="ORD01259"/>
    <s v="CUST0850"/>
    <s v="PRD0443"/>
    <n v="4"/>
    <s v="Customer Not Found"/>
    <x v="7"/>
    <x v="24"/>
    <x v="5"/>
    <s v="Price Missing"/>
    <n v="0"/>
  </r>
  <r>
    <s v="ORD01260"/>
    <s v="CUST0203"/>
    <s v="PRD0426"/>
    <n v="3"/>
    <s v="Customer Not Found"/>
    <x v="7"/>
    <x v="24"/>
    <x v="5"/>
    <s v="Price Missing"/>
    <n v="0"/>
  </r>
  <r>
    <s v="ORD01261"/>
    <s v="CUST0537"/>
    <s v="PRD0028"/>
    <n v="2"/>
    <s v="Customer Not Found"/>
    <x v="7"/>
    <x v="24"/>
    <x v="5"/>
    <s v="Price Missing"/>
    <n v="0"/>
  </r>
  <r>
    <s v="ORD01262"/>
    <s v="CUST0587"/>
    <s v="PRD0266"/>
    <n v="8"/>
    <s v="Customer Not Found"/>
    <x v="7"/>
    <x v="24"/>
    <x v="5"/>
    <s v="Price Missing"/>
    <n v="0"/>
  </r>
  <r>
    <s v="ORD01263"/>
    <s v="CUST0867"/>
    <s v="PRD0129"/>
    <n v="9"/>
    <s v="Customer Not Found"/>
    <x v="7"/>
    <x v="24"/>
    <x v="5"/>
    <s v="Price Missing"/>
    <n v="0"/>
  </r>
  <r>
    <s v="ORD01264"/>
    <s v="CUST0955"/>
    <s v="PRD0359"/>
    <n v="6"/>
    <s v="Customer Not Found"/>
    <x v="7"/>
    <x v="24"/>
    <x v="5"/>
    <s v="Price Missing"/>
    <n v="0"/>
  </r>
  <r>
    <s v="ORD01265"/>
    <s v="CUST0484"/>
    <s v="PRD0283"/>
    <n v="5"/>
    <s v="Customer Not Found"/>
    <x v="7"/>
    <x v="24"/>
    <x v="5"/>
    <s v="Price Missing"/>
    <n v="0"/>
  </r>
  <r>
    <s v="ORD01266"/>
    <s v="CUST0932"/>
    <s v="PRD0439"/>
    <n v="2"/>
    <s v="Customer Not Found"/>
    <x v="7"/>
    <x v="24"/>
    <x v="5"/>
    <s v="Price Missing"/>
    <n v="0"/>
  </r>
  <r>
    <s v="ORD01267"/>
    <s v="CUST0276"/>
    <s v="PRD0061"/>
    <n v="8"/>
    <s v="Customer Not Found"/>
    <x v="7"/>
    <x v="24"/>
    <x v="5"/>
    <s v="Price Missing"/>
    <n v="0"/>
  </r>
  <r>
    <s v="ORD01268"/>
    <s v="CUST0888"/>
    <s v="PRD0085"/>
    <n v="4"/>
    <s v="Customer Not Found"/>
    <x v="7"/>
    <x v="24"/>
    <x v="5"/>
    <s v="Price Missing"/>
    <n v="0"/>
  </r>
  <r>
    <s v="ORD01269"/>
    <s v="CUST0219"/>
    <s v="PRD0055"/>
    <n v="7"/>
    <s v="Customer Not Found"/>
    <x v="7"/>
    <x v="24"/>
    <x v="5"/>
    <s v="Price Missing"/>
    <n v="0"/>
  </r>
  <r>
    <s v="ORD01270"/>
    <s v="CUST0021"/>
    <s v="PRD0091"/>
    <n v="3"/>
    <s v="Customer Not Found"/>
    <x v="7"/>
    <x v="24"/>
    <x v="5"/>
    <s v="Price Missing"/>
    <n v="0"/>
  </r>
  <r>
    <s v="ORD01271"/>
    <s v="CUST0296"/>
    <s v="PRD0093"/>
    <n v="8"/>
    <s v="Customer Not Found"/>
    <x v="7"/>
    <x v="24"/>
    <x v="5"/>
    <s v="Price Missing"/>
    <n v="0"/>
  </r>
  <r>
    <s v="ORD01272"/>
    <s v="CUST0520"/>
    <s v="PRD0075"/>
    <n v="9"/>
    <s v="Customer Not Found"/>
    <x v="7"/>
    <x v="24"/>
    <x v="5"/>
    <s v="Price Missing"/>
    <n v="0"/>
  </r>
  <r>
    <s v="ORD01273"/>
    <s v="CUST0317"/>
    <s v="PRD0033"/>
    <n v="2"/>
    <s v="Customer Not Found"/>
    <x v="7"/>
    <x v="24"/>
    <x v="5"/>
    <s v="Price Missing"/>
    <n v="0"/>
  </r>
  <r>
    <s v="ORD01274"/>
    <s v="CUST0588"/>
    <s v="PRD0141"/>
    <n v="6"/>
    <s v="Customer Not Found"/>
    <x v="7"/>
    <x v="24"/>
    <x v="5"/>
    <s v="Price Missing"/>
    <n v="0"/>
  </r>
  <r>
    <s v="ORD01275"/>
    <s v="CUST0662"/>
    <s v="PRD0319"/>
    <n v="2"/>
    <s v="Customer Not Found"/>
    <x v="7"/>
    <x v="24"/>
    <x v="5"/>
    <s v="Price Missing"/>
    <n v="0"/>
  </r>
  <r>
    <s v="ORD01276"/>
    <s v="CUST0798"/>
    <s v="PRD0010"/>
    <n v="1"/>
    <s v="Customer Not Found"/>
    <x v="7"/>
    <x v="24"/>
    <x v="5"/>
    <s v="Price Missing"/>
    <n v="0"/>
  </r>
  <r>
    <s v="ORD01277"/>
    <s v="CUST0178"/>
    <s v="PRD0091"/>
    <n v="10"/>
    <s v="Customer Not Found"/>
    <x v="7"/>
    <x v="24"/>
    <x v="5"/>
    <s v="Price Missing"/>
    <n v="0"/>
  </r>
  <r>
    <s v="ORD01278"/>
    <s v="CUST0372"/>
    <s v="PRD0380"/>
    <n v="9"/>
    <s v="Customer Not Found"/>
    <x v="7"/>
    <x v="24"/>
    <x v="5"/>
    <s v="Price Missing"/>
    <n v="0"/>
  </r>
  <r>
    <s v="ORD01279"/>
    <s v="CUST0053"/>
    <s v="PRD0235"/>
    <n v="6"/>
    <s v="Customer Not Found"/>
    <x v="7"/>
    <x v="24"/>
    <x v="5"/>
    <s v="Price Missing"/>
    <n v="0"/>
  </r>
  <r>
    <s v="ORD01280"/>
    <s v="CUST0251"/>
    <s v="PRD0337"/>
    <n v="2"/>
    <s v="Customer Not Found"/>
    <x v="7"/>
    <x v="24"/>
    <x v="5"/>
    <s v="Price Missing"/>
    <n v="0"/>
  </r>
  <r>
    <s v="ORD01281"/>
    <s v="CUST0474"/>
    <s v="PRD0333"/>
    <n v="6"/>
    <s v="Customer Not Found"/>
    <x v="7"/>
    <x v="24"/>
    <x v="5"/>
    <s v="Price Missing"/>
    <n v="0"/>
  </r>
  <r>
    <s v="ORD01282"/>
    <s v="CUST0237"/>
    <s v="PRD0470"/>
    <n v="2"/>
    <s v="Customer Not Found"/>
    <x v="7"/>
    <x v="24"/>
    <x v="5"/>
    <s v="Price Missing"/>
    <n v="0"/>
  </r>
  <r>
    <s v="ORD01283"/>
    <s v="CUST0974"/>
    <s v="PRD0399"/>
    <n v="1"/>
    <s v="Customer Not Found"/>
    <x v="7"/>
    <x v="24"/>
    <x v="5"/>
    <s v="Price Missing"/>
    <n v="0"/>
  </r>
  <r>
    <s v="ORD01284"/>
    <s v="CUST0741"/>
    <s v="PRD0241"/>
    <n v="9"/>
    <s v="Customer Not Found"/>
    <x v="7"/>
    <x v="24"/>
    <x v="5"/>
    <s v="Price Missing"/>
    <n v="0"/>
  </r>
  <r>
    <s v="ORD01285"/>
    <s v="CUST0111"/>
    <s v="PRD0217"/>
    <n v="2"/>
    <s v="Customer Not Found"/>
    <x v="7"/>
    <x v="24"/>
    <x v="5"/>
    <s v="Price Missing"/>
    <n v="0"/>
  </r>
  <r>
    <s v="ORD01286"/>
    <s v="CUST0500"/>
    <s v="PRD0484"/>
    <n v="1"/>
    <s v="Customer Not Found"/>
    <x v="7"/>
    <x v="24"/>
    <x v="5"/>
    <s v="Price Missing"/>
    <n v="0"/>
  </r>
  <r>
    <s v="ORD01287"/>
    <s v="CUST0660"/>
    <s v="PRD0112"/>
    <n v="9"/>
    <s v="Customer Not Found"/>
    <x v="7"/>
    <x v="24"/>
    <x v="5"/>
    <s v="Price Missing"/>
    <n v="0"/>
  </r>
  <r>
    <s v="ORD01288"/>
    <s v="CUST0454"/>
    <s v="PRD0255"/>
    <n v="9"/>
    <s v="Customer Not Found"/>
    <x v="7"/>
    <x v="24"/>
    <x v="5"/>
    <s v="Price Missing"/>
    <n v="0"/>
  </r>
  <r>
    <s v="ORD01289"/>
    <s v="CUST0132"/>
    <s v="PRD0120"/>
    <n v="6"/>
    <s v="Customer Not Found"/>
    <x v="7"/>
    <x v="24"/>
    <x v="5"/>
    <s v="Price Missing"/>
    <n v="0"/>
  </r>
  <r>
    <s v="ORD01290"/>
    <s v="CUST0102"/>
    <s v="PRD0460"/>
    <n v="3"/>
    <s v="Customer Not Found"/>
    <x v="7"/>
    <x v="24"/>
    <x v="5"/>
    <s v="Price Missing"/>
    <n v="0"/>
  </r>
  <r>
    <s v="ORD01291"/>
    <s v="CUST0872"/>
    <s v="PRD0197"/>
    <n v="1"/>
    <s v="Customer Not Found"/>
    <x v="7"/>
    <x v="24"/>
    <x v="5"/>
    <s v="Price Missing"/>
    <n v="0"/>
  </r>
  <r>
    <s v="ORD01292"/>
    <s v="CUST0867"/>
    <s v="PRD0487"/>
    <n v="7"/>
    <s v="Customer Not Found"/>
    <x v="7"/>
    <x v="24"/>
    <x v="5"/>
    <s v="Price Missing"/>
    <n v="0"/>
  </r>
  <r>
    <s v="ORD01293"/>
    <s v="CUST0998"/>
    <s v="PRD0089"/>
    <n v="10"/>
    <s v="Customer Not Found"/>
    <x v="7"/>
    <x v="24"/>
    <x v="5"/>
    <s v="Price Missing"/>
    <n v="0"/>
  </r>
  <r>
    <s v="ORD01294"/>
    <s v="CUST0112"/>
    <s v="PRD0095"/>
    <n v="3"/>
    <s v="Customer Not Found"/>
    <x v="7"/>
    <x v="24"/>
    <x v="5"/>
    <s v="Price Missing"/>
    <n v="0"/>
  </r>
  <r>
    <s v="ORD01295"/>
    <s v="CUST0717"/>
    <s v="PRD0125"/>
    <n v="3"/>
    <s v="Customer Not Found"/>
    <x v="7"/>
    <x v="24"/>
    <x v="5"/>
    <s v="Price Missing"/>
    <n v="0"/>
  </r>
  <r>
    <s v="ORD01296"/>
    <s v="CUST0169"/>
    <s v="PRD0388"/>
    <n v="4"/>
    <s v="Customer Not Found"/>
    <x v="7"/>
    <x v="24"/>
    <x v="5"/>
    <s v="Price Missing"/>
    <n v="0"/>
  </r>
  <r>
    <s v="ORD01297"/>
    <s v="CUST0234"/>
    <s v="PRD0462"/>
    <n v="1"/>
    <s v="Customer Not Found"/>
    <x v="7"/>
    <x v="24"/>
    <x v="5"/>
    <s v="Price Missing"/>
    <n v="0"/>
  </r>
  <r>
    <s v="ORD01298"/>
    <s v="CUST0119"/>
    <s v="PRD0303"/>
    <n v="5"/>
    <s v="Customer Not Found"/>
    <x v="7"/>
    <x v="24"/>
    <x v="5"/>
    <s v="Price Missing"/>
    <n v="0"/>
  </r>
  <r>
    <s v="ORD01299"/>
    <s v="CUST0565"/>
    <s v="PRD0399"/>
    <n v="10"/>
    <s v="Customer Not Found"/>
    <x v="7"/>
    <x v="24"/>
    <x v="5"/>
    <s v="Price Missing"/>
    <n v="0"/>
  </r>
  <r>
    <s v="ORD01300"/>
    <s v="CUST0251"/>
    <s v="PRD0344"/>
    <n v="1"/>
    <s v="Customer Not Found"/>
    <x v="7"/>
    <x v="24"/>
    <x v="5"/>
    <s v="Price Missing"/>
    <n v="0"/>
  </r>
  <r>
    <s v="ORD01301"/>
    <s v="CUST0988"/>
    <s v="PRD0181"/>
    <n v="8"/>
    <s v="Customer Not Found"/>
    <x v="7"/>
    <x v="24"/>
    <x v="5"/>
    <s v="Price Missing"/>
    <n v="0"/>
  </r>
  <r>
    <s v="ORD01302"/>
    <s v="CUST0167"/>
    <s v="PRD0445"/>
    <n v="4"/>
    <s v="Customer Not Found"/>
    <x v="7"/>
    <x v="24"/>
    <x v="5"/>
    <s v="Price Missing"/>
    <n v="0"/>
  </r>
  <r>
    <s v="ORD01303"/>
    <s v="CUST0974"/>
    <s v="PRD0052"/>
    <n v="8"/>
    <s v="Customer Not Found"/>
    <x v="7"/>
    <x v="24"/>
    <x v="5"/>
    <s v="Price Missing"/>
    <n v="0"/>
  </r>
  <r>
    <s v="ORD01304"/>
    <s v="CUST0882"/>
    <s v="PRD0480"/>
    <n v="5"/>
    <s v="Customer Not Found"/>
    <x v="7"/>
    <x v="24"/>
    <x v="5"/>
    <s v="Price Missing"/>
    <n v="0"/>
  </r>
  <r>
    <s v="ORD01305"/>
    <s v="CUST0452"/>
    <s v="PRD0255"/>
    <n v="3"/>
    <s v="Customer Not Found"/>
    <x v="7"/>
    <x v="24"/>
    <x v="5"/>
    <s v="Price Missing"/>
    <n v="0"/>
  </r>
  <r>
    <s v="ORD01306"/>
    <s v="CUST0371"/>
    <s v="PRD0498"/>
    <n v="10"/>
    <s v="Customer Not Found"/>
    <x v="7"/>
    <x v="24"/>
    <x v="5"/>
    <s v="Price Missing"/>
    <n v="0"/>
  </r>
  <r>
    <s v="ORD01307"/>
    <s v="CUST0660"/>
    <s v="PRD0318"/>
    <n v="4"/>
    <s v="Customer Not Found"/>
    <x v="7"/>
    <x v="24"/>
    <x v="5"/>
    <s v="Price Missing"/>
    <n v="0"/>
  </r>
  <r>
    <s v="ORD01308"/>
    <s v="CUST0152"/>
    <s v="PRD0228"/>
    <n v="1"/>
    <s v="Customer Not Found"/>
    <x v="7"/>
    <x v="24"/>
    <x v="5"/>
    <s v="Price Missing"/>
    <n v="0"/>
  </r>
  <r>
    <s v="ORD01309"/>
    <s v="CUST0988"/>
    <s v="PRD0390"/>
    <n v="8"/>
    <s v="Customer Not Found"/>
    <x v="7"/>
    <x v="24"/>
    <x v="5"/>
    <s v="Price Missing"/>
    <n v="0"/>
  </r>
  <r>
    <s v="ORD01310"/>
    <s v="CUST0174"/>
    <s v="PRD0330"/>
    <n v="1"/>
    <s v="Customer Not Found"/>
    <x v="7"/>
    <x v="24"/>
    <x v="5"/>
    <s v="Price Missing"/>
    <n v="0"/>
  </r>
  <r>
    <s v="ORD01311"/>
    <s v="CUST0126"/>
    <s v="PRD0044"/>
    <n v="7"/>
    <s v="Customer Not Found"/>
    <x v="7"/>
    <x v="24"/>
    <x v="5"/>
    <s v="Price Missing"/>
    <n v="0"/>
  </r>
  <r>
    <s v="ORD01312"/>
    <s v="CUST0686"/>
    <s v="PRD0285"/>
    <n v="1"/>
    <s v="Customer Not Found"/>
    <x v="7"/>
    <x v="24"/>
    <x v="5"/>
    <s v="Price Missing"/>
    <n v="0"/>
  </r>
  <r>
    <s v="ORD01313"/>
    <s v="CUST0853"/>
    <s v="PRD0216"/>
    <n v="5"/>
    <s v="Customer Not Found"/>
    <x v="7"/>
    <x v="24"/>
    <x v="5"/>
    <s v="Price Missing"/>
    <n v="0"/>
  </r>
  <r>
    <s v="ORD01314"/>
    <s v="CUST0839"/>
    <s v="PRD0161"/>
    <n v="6"/>
    <s v="Customer Not Found"/>
    <x v="7"/>
    <x v="24"/>
    <x v="5"/>
    <s v="Price Missing"/>
    <n v="0"/>
  </r>
  <r>
    <s v="ORD01315"/>
    <s v="CUST0475"/>
    <s v="PRD0209"/>
    <n v="5"/>
    <s v="Customer Not Found"/>
    <x v="7"/>
    <x v="24"/>
    <x v="5"/>
    <s v="Price Missing"/>
    <n v="0"/>
  </r>
  <r>
    <s v="ORD01316"/>
    <s v="CUST0697"/>
    <s v="PRD0106"/>
    <n v="4"/>
    <s v="Customer Not Found"/>
    <x v="7"/>
    <x v="24"/>
    <x v="5"/>
    <s v="Price Missing"/>
    <n v="0"/>
  </r>
  <r>
    <s v="ORD01317"/>
    <s v="CUST0419"/>
    <s v="PRD0375"/>
    <n v="1"/>
    <s v="Customer Not Found"/>
    <x v="7"/>
    <x v="24"/>
    <x v="5"/>
    <s v="Price Missing"/>
    <n v="0"/>
  </r>
  <r>
    <s v="ORD01318"/>
    <s v="CUST0088"/>
    <s v="PRD0269"/>
    <n v="3"/>
    <s v="Customer Not Found"/>
    <x v="7"/>
    <x v="24"/>
    <x v="5"/>
    <s v="Price Missing"/>
    <n v="0"/>
  </r>
  <r>
    <s v="ORD01319"/>
    <s v="CUST0634"/>
    <s v="PRD0095"/>
    <n v="10"/>
    <s v="Customer Not Found"/>
    <x v="7"/>
    <x v="24"/>
    <x v="5"/>
    <s v="Price Missing"/>
    <n v="0"/>
  </r>
  <r>
    <s v="ORD01320"/>
    <s v="CUST0068"/>
    <s v="PRD0143"/>
    <n v="9"/>
    <s v="Customer Not Found"/>
    <x v="7"/>
    <x v="24"/>
    <x v="5"/>
    <s v="Price Missing"/>
    <n v="0"/>
  </r>
  <r>
    <s v="ORD01321"/>
    <s v="CUST0145"/>
    <s v="PRD0159"/>
    <n v="9"/>
    <s v="Customer Not Found"/>
    <x v="7"/>
    <x v="24"/>
    <x v="5"/>
    <s v="Price Missing"/>
    <n v="0"/>
  </r>
  <r>
    <s v="ORD01322"/>
    <s v="CUST0460"/>
    <s v="PRD0290"/>
    <n v="4"/>
    <s v="Customer Not Found"/>
    <x v="7"/>
    <x v="24"/>
    <x v="5"/>
    <s v="Price Missing"/>
    <n v="0"/>
  </r>
  <r>
    <s v="ORD01323"/>
    <s v="CUST0079"/>
    <s v="PRD0423"/>
    <n v="6"/>
    <s v="Customer Not Found"/>
    <x v="7"/>
    <x v="24"/>
    <x v="5"/>
    <s v="Price Missing"/>
    <n v="0"/>
  </r>
  <r>
    <s v="ORD01324"/>
    <s v="CUST0229"/>
    <s v="PRD0389"/>
    <n v="8"/>
    <s v="Customer Not Found"/>
    <x v="7"/>
    <x v="24"/>
    <x v="5"/>
    <s v="Price Missing"/>
    <n v="0"/>
  </r>
  <r>
    <s v="ORD01325"/>
    <s v="CUST0429"/>
    <s v="PRD0348"/>
    <n v="5"/>
    <s v="Customer Not Found"/>
    <x v="7"/>
    <x v="24"/>
    <x v="5"/>
    <s v="Price Missing"/>
    <n v="0"/>
  </r>
  <r>
    <s v="ORD01326"/>
    <s v="CUST0559"/>
    <s v="PRD0343"/>
    <n v="8"/>
    <s v="Customer Not Found"/>
    <x v="7"/>
    <x v="24"/>
    <x v="5"/>
    <s v="Price Missing"/>
    <n v="0"/>
  </r>
  <r>
    <s v="ORD01327"/>
    <s v="CUST0070"/>
    <s v="PRD0456"/>
    <n v="7"/>
    <s v="Customer Not Found"/>
    <x v="7"/>
    <x v="24"/>
    <x v="5"/>
    <s v="Price Missing"/>
    <n v="0"/>
  </r>
  <r>
    <s v="ORD01328"/>
    <s v="CUST0073"/>
    <s v="PRD0431"/>
    <n v="10"/>
    <s v="Customer Not Found"/>
    <x v="7"/>
    <x v="24"/>
    <x v="5"/>
    <s v="Price Missing"/>
    <n v="0"/>
  </r>
  <r>
    <s v="ORD01329"/>
    <s v="CUST0081"/>
    <s v="PRD0008"/>
    <n v="8"/>
    <s v="Customer Not Found"/>
    <x v="7"/>
    <x v="24"/>
    <x v="5"/>
    <s v="Price Missing"/>
    <n v="0"/>
  </r>
  <r>
    <s v="ORD01330"/>
    <s v="CUST0079"/>
    <s v="PRD0080"/>
    <n v="3"/>
    <s v="Customer Not Found"/>
    <x v="7"/>
    <x v="24"/>
    <x v="5"/>
    <s v="Price Missing"/>
    <n v="0"/>
  </r>
  <r>
    <s v="ORD01331"/>
    <s v="CUST0782"/>
    <s v="PRD0391"/>
    <n v="8"/>
    <s v="Customer Not Found"/>
    <x v="7"/>
    <x v="24"/>
    <x v="5"/>
    <s v="Price Missing"/>
    <n v="0"/>
  </r>
  <r>
    <s v="ORD01332"/>
    <s v="CUST0138"/>
    <s v="PRD0459"/>
    <n v="9"/>
    <s v="Customer Not Found"/>
    <x v="7"/>
    <x v="24"/>
    <x v="5"/>
    <s v="Price Missing"/>
    <n v="0"/>
  </r>
  <r>
    <s v="ORD01333"/>
    <s v="CUST0860"/>
    <s v="PRD0422"/>
    <n v="1"/>
    <s v="Customer Not Found"/>
    <x v="7"/>
    <x v="24"/>
    <x v="5"/>
    <s v="Price Missing"/>
    <n v="0"/>
  </r>
  <r>
    <s v="ORD01334"/>
    <s v="CUST0799"/>
    <s v="PRD0334"/>
    <n v="1"/>
    <s v="Customer Not Found"/>
    <x v="7"/>
    <x v="24"/>
    <x v="5"/>
    <s v="Price Missing"/>
    <n v="0"/>
  </r>
  <r>
    <s v="ORD01335"/>
    <s v="CUST0892"/>
    <s v="PRD0460"/>
    <n v="1"/>
    <s v="Customer Not Found"/>
    <x v="7"/>
    <x v="24"/>
    <x v="5"/>
    <s v="Price Missing"/>
    <n v="0"/>
  </r>
  <r>
    <s v="ORD01336"/>
    <s v="CUST0511"/>
    <s v="PRD0031"/>
    <n v="10"/>
    <s v="Customer Not Found"/>
    <x v="7"/>
    <x v="24"/>
    <x v="5"/>
    <s v="Price Missing"/>
    <n v="0"/>
  </r>
  <r>
    <s v="ORD01337"/>
    <s v="CUST0602"/>
    <s v="PRD0294"/>
    <n v="6"/>
    <s v="Customer Not Found"/>
    <x v="7"/>
    <x v="24"/>
    <x v="5"/>
    <s v="Price Missing"/>
    <n v="0"/>
  </r>
  <r>
    <s v="ORD01338"/>
    <s v="CUST0246"/>
    <s v="PRD0128"/>
    <n v="10"/>
    <s v="Customer Not Found"/>
    <x v="7"/>
    <x v="24"/>
    <x v="5"/>
    <s v="Price Missing"/>
    <n v="0"/>
  </r>
  <r>
    <s v="ORD01339"/>
    <s v="CUST0382"/>
    <s v="PRD0026"/>
    <n v="5"/>
    <s v="Customer Not Found"/>
    <x v="7"/>
    <x v="24"/>
    <x v="5"/>
    <s v="Price Missing"/>
    <n v="0"/>
  </r>
  <r>
    <s v="ORD01340"/>
    <s v="CUST0883"/>
    <s v="PRD0032"/>
    <n v="1"/>
    <s v="Customer Not Found"/>
    <x v="7"/>
    <x v="24"/>
    <x v="5"/>
    <s v="Price Missing"/>
    <n v="0"/>
  </r>
  <r>
    <s v="ORD01341"/>
    <s v="CUST0097"/>
    <s v="PRD0265"/>
    <n v="6"/>
    <s v="Customer Not Found"/>
    <x v="7"/>
    <x v="24"/>
    <x v="5"/>
    <s v="Price Missing"/>
    <n v="0"/>
  </r>
  <r>
    <s v="ORD01342"/>
    <s v="CUST0862"/>
    <s v="PRD0058"/>
    <n v="5"/>
    <s v="Customer Not Found"/>
    <x v="7"/>
    <x v="24"/>
    <x v="5"/>
    <s v="Price Missing"/>
    <n v="0"/>
  </r>
  <r>
    <s v="ORD01343"/>
    <s v="CUST0475"/>
    <s v="PRD0457"/>
    <n v="6"/>
    <s v="Customer Not Found"/>
    <x v="7"/>
    <x v="24"/>
    <x v="5"/>
    <s v="Price Missing"/>
    <n v="0"/>
  </r>
  <r>
    <s v="ORD01344"/>
    <s v="CUST0446"/>
    <s v="PRD0013"/>
    <n v="2"/>
    <s v="Customer Not Found"/>
    <x v="7"/>
    <x v="24"/>
    <x v="5"/>
    <s v="Price Missing"/>
    <n v="0"/>
  </r>
  <r>
    <s v="ORD01345"/>
    <s v="CUST0357"/>
    <s v="PRD0034"/>
    <n v="3"/>
    <s v="Customer Not Found"/>
    <x v="7"/>
    <x v="24"/>
    <x v="5"/>
    <s v="Price Missing"/>
    <n v="0"/>
  </r>
  <r>
    <s v="ORD01346"/>
    <s v="CUST0464"/>
    <s v="PRD0465"/>
    <n v="8"/>
    <s v="Customer Not Found"/>
    <x v="7"/>
    <x v="24"/>
    <x v="5"/>
    <s v="Price Missing"/>
    <n v="0"/>
  </r>
  <r>
    <s v="ORD01347"/>
    <s v="CUST0643"/>
    <s v="PRD0430"/>
    <n v="10"/>
    <s v="Customer Not Found"/>
    <x v="7"/>
    <x v="24"/>
    <x v="5"/>
    <s v="Price Missing"/>
    <n v="0"/>
  </r>
  <r>
    <s v="ORD01348"/>
    <s v="CUST0609"/>
    <s v="PRD0227"/>
    <n v="8"/>
    <s v="Customer Not Found"/>
    <x v="7"/>
    <x v="24"/>
    <x v="5"/>
    <s v="Price Missing"/>
    <n v="0"/>
  </r>
  <r>
    <s v="ORD01349"/>
    <s v="CUST0264"/>
    <s v="PRD0148"/>
    <n v="4"/>
    <s v="Customer Not Found"/>
    <x v="7"/>
    <x v="24"/>
    <x v="5"/>
    <s v="Price Missing"/>
    <n v="0"/>
  </r>
  <r>
    <s v="ORD01350"/>
    <s v="CUST0294"/>
    <s v="PRD0025"/>
    <n v="8"/>
    <s v="Customer Not Found"/>
    <x v="7"/>
    <x v="24"/>
    <x v="5"/>
    <s v="Price Missing"/>
    <n v="0"/>
  </r>
  <r>
    <s v="ORD01351"/>
    <s v="CUST0996"/>
    <s v="PRD0415"/>
    <n v="5"/>
    <s v="Customer Not Found"/>
    <x v="7"/>
    <x v="24"/>
    <x v="5"/>
    <s v="Price Missing"/>
    <n v="0"/>
  </r>
  <r>
    <s v="ORD01352"/>
    <s v="CUST0096"/>
    <s v="PRD0058"/>
    <n v="3"/>
    <s v="Customer Not Found"/>
    <x v="7"/>
    <x v="24"/>
    <x v="5"/>
    <s v="Price Missing"/>
    <n v="0"/>
  </r>
  <r>
    <s v="ORD01353"/>
    <s v="CUST0122"/>
    <s v="PRD0061"/>
    <n v="6"/>
    <s v="Customer Not Found"/>
    <x v="7"/>
    <x v="24"/>
    <x v="5"/>
    <s v="Price Missing"/>
    <n v="0"/>
  </r>
  <r>
    <s v="ORD01354"/>
    <s v="CUST0622"/>
    <s v="PRD0023"/>
    <n v="10"/>
    <s v="Customer Not Found"/>
    <x v="7"/>
    <x v="24"/>
    <x v="5"/>
    <s v="Price Missing"/>
    <n v="0"/>
  </r>
  <r>
    <s v="ORD01355"/>
    <s v="CUST0678"/>
    <s v="PRD0407"/>
    <n v="4"/>
    <s v="Customer Not Found"/>
    <x v="7"/>
    <x v="24"/>
    <x v="5"/>
    <s v="Price Missing"/>
    <n v="0"/>
  </r>
  <r>
    <s v="ORD01356"/>
    <s v="CUST0209"/>
    <s v="PRD0279"/>
    <n v="9"/>
    <s v="Customer Not Found"/>
    <x v="7"/>
    <x v="24"/>
    <x v="5"/>
    <s v="Price Missing"/>
    <n v="0"/>
  </r>
  <r>
    <s v="ORD01357"/>
    <s v="CUST0077"/>
    <s v="PRD0384"/>
    <n v="2"/>
    <s v="Customer Not Found"/>
    <x v="7"/>
    <x v="24"/>
    <x v="5"/>
    <s v="Price Missing"/>
    <n v="0"/>
  </r>
  <r>
    <s v="ORD01358"/>
    <s v="CUST0187"/>
    <s v="PRD0013"/>
    <n v="1"/>
    <s v="Customer Not Found"/>
    <x v="7"/>
    <x v="24"/>
    <x v="5"/>
    <s v="Price Missing"/>
    <n v="0"/>
  </r>
  <r>
    <s v="ORD01359"/>
    <s v="CUST0696"/>
    <s v="PRD0132"/>
    <n v="10"/>
    <s v="Customer Not Found"/>
    <x v="7"/>
    <x v="24"/>
    <x v="5"/>
    <s v="Price Missing"/>
    <n v="0"/>
  </r>
  <r>
    <s v="ORD01360"/>
    <s v="CUST0882"/>
    <s v="PRD0297"/>
    <n v="2"/>
    <s v="Customer Not Found"/>
    <x v="7"/>
    <x v="24"/>
    <x v="5"/>
    <s v="Price Missing"/>
    <n v="0"/>
  </r>
  <r>
    <s v="ORD01361"/>
    <s v="CUST0175"/>
    <s v="PRD0398"/>
    <n v="5"/>
    <s v="Customer Not Found"/>
    <x v="7"/>
    <x v="24"/>
    <x v="5"/>
    <s v="Price Missing"/>
    <n v="0"/>
  </r>
  <r>
    <s v="ORD01362"/>
    <s v="CUST0551"/>
    <s v="PRD0248"/>
    <n v="4"/>
    <s v="Customer Not Found"/>
    <x v="7"/>
    <x v="24"/>
    <x v="5"/>
    <s v="Price Missing"/>
    <n v="0"/>
  </r>
  <r>
    <s v="ORD01363"/>
    <s v="CUST0379"/>
    <s v="PRD0247"/>
    <n v="5"/>
    <s v="Customer Not Found"/>
    <x v="7"/>
    <x v="24"/>
    <x v="5"/>
    <s v="Price Missing"/>
    <n v="0"/>
  </r>
  <r>
    <s v="ORD01364"/>
    <s v="CUST0157"/>
    <s v="PRD0028"/>
    <n v="8"/>
    <s v="Customer Not Found"/>
    <x v="7"/>
    <x v="24"/>
    <x v="5"/>
    <s v="Price Missing"/>
    <n v="0"/>
  </r>
  <r>
    <s v="ORD01365"/>
    <s v="CUST0598"/>
    <s v="PRD0486"/>
    <n v="5"/>
    <s v="Customer Not Found"/>
    <x v="7"/>
    <x v="24"/>
    <x v="5"/>
    <s v="Price Missing"/>
    <n v="0"/>
  </r>
  <r>
    <s v="ORD01366"/>
    <s v="CUST0549"/>
    <s v="PRD0423"/>
    <n v="4"/>
    <s v="Customer Not Found"/>
    <x v="7"/>
    <x v="24"/>
    <x v="5"/>
    <s v="Price Missing"/>
    <n v="0"/>
  </r>
  <r>
    <s v="ORD01367"/>
    <s v="CUST0277"/>
    <s v="PRD0136"/>
    <n v="1"/>
    <s v="Customer Not Found"/>
    <x v="7"/>
    <x v="24"/>
    <x v="5"/>
    <s v="Price Missing"/>
    <n v="0"/>
  </r>
  <r>
    <s v="ORD01368"/>
    <s v="CUST0412"/>
    <s v="PRD0431"/>
    <n v="4"/>
    <s v="Customer Not Found"/>
    <x v="7"/>
    <x v="24"/>
    <x v="5"/>
    <s v="Price Missing"/>
    <n v="0"/>
  </r>
  <r>
    <s v="ORD01369"/>
    <s v="CUST0309"/>
    <s v="PRD0466"/>
    <n v="6"/>
    <s v="Customer Not Found"/>
    <x v="7"/>
    <x v="24"/>
    <x v="5"/>
    <s v="Price Missing"/>
    <n v="0"/>
  </r>
  <r>
    <s v="ORD01370"/>
    <s v="CUST0982"/>
    <s v="PRD0100"/>
    <n v="1"/>
    <s v="Customer Not Found"/>
    <x v="7"/>
    <x v="24"/>
    <x v="5"/>
    <s v="Price Missing"/>
    <n v="0"/>
  </r>
  <r>
    <s v="ORD01371"/>
    <s v="CUST0418"/>
    <s v="PRD0374"/>
    <n v="8"/>
    <s v="Customer Not Found"/>
    <x v="7"/>
    <x v="24"/>
    <x v="5"/>
    <s v="Price Missing"/>
    <n v="0"/>
  </r>
  <r>
    <s v="ORD01372"/>
    <s v="CUST0274"/>
    <s v="PRD0235"/>
    <n v="9"/>
    <s v="Customer Not Found"/>
    <x v="7"/>
    <x v="24"/>
    <x v="5"/>
    <s v="Price Missing"/>
    <n v="0"/>
  </r>
  <r>
    <s v="ORD01373"/>
    <s v="CUST0044"/>
    <s v="PRD0137"/>
    <n v="1"/>
    <s v="Customer Not Found"/>
    <x v="7"/>
    <x v="24"/>
    <x v="5"/>
    <s v="Price Missing"/>
    <n v="0"/>
  </r>
  <r>
    <s v="ORD01374"/>
    <s v="CUST0784"/>
    <s v="PRD0299"/>
    <n v="8"/>
    <s v="Customer Not Found"/>
    <x v="7"/>
    <x v="24"/>
    <x v="5"/>
    <s v="Price Missing"/>
    <n v="0"/>
  </r>
  <r>
    <s v="ORD01375"/>
    <s v="CUST0117"/>
    <s v="PRD0024"/>
    <n v="4"/>
    <s v="Customer Not Found"/>
    <x v="7"/>
    <x v="24"/>
    <x v="5"/>
    <s v="Price Missing"/>
    <n v="0"/>
  </r>
  <r>
    <s v="ORD01376"/>
    <s v="CUST0374"/>
    <s v="PRD0291"/>
    <n v="8"/>
    <s v="Customer Not Found"/>
    <x v="7"/>
    <x v="24"/>
    <x v="5"/>
    <s v="Price Missing"/>
    <n v="0"/>
  </r>
  <r>
    <s v="ORD01377"/>
    <s v="CUST0031"/>
    <s v="PRD0126"/>
    <n v="3"/>
    <s v="Customer Not Found"/>
    <x v="7"/>
    <x v="24"/>
    <x v="5"/>
    <s v="Price Missing"/>
    <n v="0"/>
  </r>
  <r>
    <s v="ORD01378"/>
    <s v="CUST0324"/>
    <s v="PRD0386"/>
    <n v="7"/>
    <s v="Customer Not Found"/>
    <x v="7"/>
    <x v="24"/>
    <x v="5"/>
    <s v="Price Missing"/>
    <n v="0"/>
  </r>
  <r>
    <s v="ORD01379"/>
    <s v="CUST0970"/>
    <s v="PRD0217"/>
    <n v="8"/>
    <s v="Customer Not Found"/>
    <x v="7"/>
    <x v="24"/>
    <x v="5"/>
    <s v="Price Missing"/>
    <n v="0"/>
  </r>
  <r>
    <s v="ORD01380"/>
    <s v="CUST0676"/>
    <s v="PRD0133"/>
    <n v="6"/>
    <s v="Customer Not Found"/>
    <x v="7"/>
    <x v="24"/>
    <x v="5"/>
    <s v="Price Missing"/>
    <n v="0"/>
  </r>
  <r>
    <s v="ORD01381"/>
    <s v="CUST0211"/>
    <s v="PRD0484"/>
    <n v="4"/>
    <s v="Customer Not Found"/>
    <x v="7"/>
    <x v="24"/>
    <x v="5"/>
    <s v="Price Missing"/>
    <n v="0"/>
  </r>
  <r>
    <s v="ORD01382"/>
    <s v="CUST0854"/>
    <s v="PRD0057"/>
    <n v="3"/>
    <s v="Customer Not Found"/>
    <x v="7"/>
    <x v="24"/>
    <x v="5"/>
    <s v="Price Missing"/>
    <n v="0"/>
  </r>
  <r>
    <s v="ORD01383"/>
    <s v="CUST0088"/>
    <s v="PRD0403"/>
    <n v="5"/>
    <s v="Customer Not Found"/>
    <x v="7"/>
    <x v="24"/>
    <x v="5"/>
    <s v="Price Missing"/>
    <n v="0"/>
  </r>
  <r>
    <s v="ORD01384"/>
    <s v="CUST0795"/>
    <s v="PRD0397"/>
    <n v="4"/>
    <s v="Customer Not Found"/>
    <x v="7"/>
    <x v="24"/>
    <x v="5"/>
    <s v="Price Missing"/>
    <n v="0"/>
  </r>
  <r>
    <s v="ORD01385"/>
    <s v="CUST0811"/>
    <s v="PRD0387"/>
    <n v="3"/>
    <s v="Customer Not Found"/>
    <x v="7"/>
    <x v="24"/>
    <x v="5"/>
    <s v="Price Missing"/>
    <n v="0"/>
  </r>
  <r>
    <s v="ORD01386"/>
    <s v="CUST0174"/>
    <s v="PRD0353"/>
    <n v="5"/>
    <s v="Customer Not Found"/>
    <x v="7"/>
    <x v="24"/>
    <x v="5"/>
    <s v="Price Missing"/>
    <n v="0"/>
  </r>
  <r>
    <s v="ORD01387"/>
    <s v="CUST0224"/>
    <s v="PRD0252"/>
    <n v="10"/>
    <s v="Customer Not Found"/>
    <x v="7"/>
    <x v="24"/>
    <x v="5"/>
    <s v="Price Missing"/>
    <n v="0"/>
  </r>
  <r>
    <s v="ORD01388"/>
    <s v="CUST0136"/>
    <s v="PRD0162"/>
    <n v="9"/>
    <s v="Customer Not Found"/>
    <x v="7"/>
    <x v="24"/>
    <x v="5"/>
    <s v="Price Missing"/>
    <n v="0"/>
  </r>
  <r>
    <s v="ORD01389"/>
    <s v="CUST0481"/>
    <s v="PRD0184"/>
    <n v="6"/>
    <s v="Customer Not Found"/>
    <x v="7"/>
    <x v="24"/>
    <x v="5"/>
    <s v="Price Missing"/>
    <n v="0"/>
  </r>
  <r>
    <s v="ORD01390"/>
    <s v="CUST0231"/>
    <s v="PRD0450"/>
    <n v="7"/>
    <s v="Customer Not Found"/>
    <x v="7"/>
    <x v="24"/>
    <x v="5"/>
    <s v="Price Missing"/>
    <n v="0"/>
  </r>
  <r>
    <s v="ORD01391"/>
    <s v="CUST0346"/>
    <s v="PRD0453"/>
    <n v="4"/>
    <s v="Customer Not Found"/>
    <x v="7"/>
    <x v="24"/>
    <x v="5"/>
    <s v="Price Missing"/>
    <n v="0"/>
  </r>
  <r>
    <s v="ORD01392"/>
    <s v="CUST0016"/>
    <s v="PRD0440"/>
    <n v="4"/>
    <s v="Customer Not Found"/>
    <x v="7"/>
    <x v="24"/>
    <x v="5"/>
    <s v="Price Missing"/>
    <n v="0"/>
  </r>
  <r>
    <s v="ORD01393"/>
    <s v="CUST0776"/>
    <s v="PRD0077"/>
    <n v="7"/>
    <s v="Customer Not Found"/>
    <x v="7"/>
    <x v="24"/>
    <x v="5"/>
    <s v="Price Missing"/>
    <n v="0"/>
  </r>
  <r>
    <s v="ORD01394"/>
    <s v="CUST0300"/>
    <s v="PRD0190"/>
    <n v="2"/>
    <s v="Customer Not Found"/>
    <x v="7"/>
    <x v="24"/>
    <x v="5"/>
    <s v="Price Missing"/>
    <n v="0"/>
  </r>
  <r>
    <s v="ORD01395"/>
    <s v="CUST0893"/>
    <s v="PRD0234"/>
    <n v="6"/>
    <s v="Customer Not Found"/>
    <x v="7"/>
    <x v="24"/>
    <x v="5"/>
    <s v="Price Missing"/>
    <n v="0"/>
  </r>
  <r>
    <s v="ORD01396"/>
    <s v="CUST0864"/>
    <s v="PRD0261"/>
    <n v="2"/>
    <s v="Customer Not Found"/>
    <x v="7"/>
    <x v="24"/>
    <x v="5"/>
    <s v="Price Missing"/>
    <n v="0"/>
  </r>
  <r>
    <s v="ORD01397"/>
    <s v="CUST0687"/>
    <s v="PRD0048"/>
    <n v="4"/>
    <s v="Customer Not Found"/>
    <x v="7"/>
    <x v="24"/>
    <x v="5"/>
    <s v="Price Missing"/>
    <n v="0"/>
  </r>
  <r>
    <s v="ORD01398"/>
    <s v="CUST0117"/>
    <s v="PRD0369"/>
    <n v="8"/>
    <s v="Customer Not Found"/>
    <x v="7"/>
    <x v="24"/>
    <x v="5"/>
    <s v="Price Missing"/>
    <n v="0"/>
  </r>
  <r>
    <s v="ORD01399"/>
    <s v="CUST0733"/>
    <s v="PRD0246"/>
    <n v="6"/>
    <s v="Customer Not Found"/>
    <x v="7"/>
    <x v="24"/>
    <x v="5"/>
    <s v="Price Missing"/>
    <n v="0"/>
  </r>
  <r>
    <s v="ORD01400"/>
    <s v="CUST0624"/>
    <s v="PRD0242"/>
    <n v="7"/>
    <s v="Customer Not Found"/>
    <x v="7"/>
    <x v="24"/>
    <x v="5"/>
    <s v="Price Missing"/>
    <n v="0"/>
  </r>
  <r>
    <s v="ORD01401"/>
    <s v="CUST0101"/>
    <s v="PRD0330"/>
    <n v="4"/>
    <s v="Customer Not Found"/>
    <x v="7"/>
    <x v="24"/>
    <x v="5"/>
    <s v="Price Missing"/>
    <n v="0"/>
  </r>
  <r>
    <s v="ORD01402"/>
    <s v="CUST0415"/>
    <s v="PRD0150"/>
    <n v="3"/>
    <s v="Customer Not Found"/>
    <x v="7"/>
    <x v="24"/>
    <x v="5"/>
    <s v="Price Missing"/>
    <n v="0"/>
  </r>
  <r>
    <s v="ORD01403"/>
    <s v="CUST0413"/>
    <s v="PRD0194"/>
    <n v="8"/>
    <s v="Customer Not Found"/>
    <x v="7"/>
    <x v="24"/>
    <x v="5"/>
    <s v="Price Missing"/>
    <n v="0"/>
  </r>
  <r>
    <s v="ORD01404"/>
    <s v="CUST0161"/>
    <s v="PRD0450"/>
    <n v="7"/>
    <s v="Customer Not Found"/>
    <x v="7"/>
    <x v="24"/>
    <x v="5"/>
    <s v="Price Missing"/>
    <n v="0"/>
  </r>
  <r>
    <s v="ORD01405"/>
    <s v="CUST0676"/>
    <s v="PRD0155"/>
    <n v="4"/>
    <s v="Customer Not Found"/>
    <x v="7"/>
    <x v="24"/>
    <x v="5"/>
    <s v="Price Missing"/>
    <n v="0"/>
  </r>
  <r>
    <s v="ORD01406"/>
    <s v="CUST0067"/>
    <s v="PRD0281"/>
    <n v="7"/>
    <s v="Customer Not Found"/>
    <x v="7"/>
    <x v="24"/>
    <x v="5"/>
    <s v="Price Missing"/>
    <n v="0"/>
  </r>
  <r>
    <s v="ORD01407"/>
    <s v="CUST0839"/>
    <s v="PRD0106"/>
    <n v="2"/>
    <s v="Customer Not Found"/>
    <x v="7"/>
    <x v="24"/>
    <x v="5"/>
    <s v="Price Missing"/>
    <n v="0"/>
  </r>
  <r>
    <s v="ORD01408"/>
    <s v="CUST0675"/>
    <s v="PRD0288"/>
    <n v="3"/>
    <s v="Customer Not Found"/>
    <x v="7"/>
    <x v="24"/>
    <x v="5"/>
    <s v="Price Missing"/>
    <n v="0"/>
  </r>
  <r>
    <s v="ORD01409"/>
    <s v="CUST0059"/>
    <s v="PRD0223"/>
    <n v="2"/>
    <s v="Customer Not Found"/>
    <x v="7"/>
    <x v="24"/>
    <x v="5"/>
    <s v="Price Missing"/>
    <n v="0"/>
  </r>
  <r>
    <s v="ORD01410"/>
    <s v="CUST0160"/>
    <s v="PRD0471"/>
    <n v="6"/>
    <s v="Customer Not Found"/>
    <x v="7"/>
    <x v="24"/>
    <x v="5"/>
    <s v="Price Missing"/>
    <n v="0"/>
  </r>
  <r>
    <s v="ORD01411"/>
    <s v="CUST0635"/>
    <s v="PRD0002"/>
    <n v="8"/>
    <s v="Customer Not Found"/>
    <x v="7"/>
    <x v="24"/>
    <x v="5"/>
    <s v="Price Missing"/>
    <n v="0"/>
  </r>
  <r>
    <s v="ORD01412"/>
    <s v="CUST0860"/>
    <s v="PRD0215"/>
    <n v="10"/>
    <s v="Customer Not Found"/>
    <x v="7"/>
    <x v="24"/>
    <x v="5"/>
    <s v="Price Missing"/>
    <n v="0"/>
  </r>
  <r>
    <s v="ORD01413"/>
    <s v="CUST0808"/>
    <s v="PRD0413"/>
    <n v="8"/>
    <s v="Customer Not Found"/>
    <x v="7"/>
    <x v="24"/>
    <x v="5"/>
    <s v="Price Missing"/>
    <n v="0"/>
  </r>
  <r>
    <s v="ORD01414"/>
    <s v="CUST0797"/>
    <s v="PRD0161"/>
    <n v="5"/>
    <s v="Customer Not Found"/>
    <x v="7"/>
    <x v="24"/>
    <x v="5"/>
    <s v="Price Missing"/>
    <n v="0"/>
  </r>
  <r>
    <s v="ORD01415"/>
    <s v="CUST0681"/>
    <s v="PRD0162"/>
    <n v="3"/>
    <s v="Customer Not Found"/>
    <x v="7"/>
    <x v="24"/>
    <x v="5"/>
    <s v="Price Missing"/>
    <n v="0"/>
  </r>
  <r>
    <s v="ORD01416"/>
    <s v="CUST0401"/>
    <s v="PRD0313"/>
    <n v="5"/>
    <s v="Customer Not Found"/>
    <x v="7"/>
    <x v="24"/>
    <x v="5"/>
    <s v="Price Missing"/>
    <n v="0"/>
  </r>
  <r>
    <s v="ORD01417"/>
    <s v="CUST0972"/>
    <s v="PRD0089"/>
    <n v="3"/>
    <s v="Customer Not Found"/>
    <x v="7"/>
    <x v="24"/>
    <x v="5"/>
    <s v="Price Missing"/>
    <n v="0"/>
  </r>
  <r>
    <s v="ORD01418"/>
    <s v="CUST0252"/>
    <s v="PRD0087"/>
    <n v="4"/>
    <s v="Customer Not Found"/>
    <x v="7"/>
    <x v="24"/>
    <x v="5"/>
    <s v="Price Missing"/>
    <n v="0"/>
  </r>
  <r>
    <s v="ORD01419"/>
    <s v="CUST0662"/>
    <s v="PRD0186"/>
    <n v="6"/>
    <s v="Customer Not Found"/>
    <x v="7"/>
    <x v="24"/>
    <x v="5"/>
    <s v="Price Missing"/>
    <n v="0"/>
  </r>
  <r>
    <s v="ORD01420"/>
    <s v="CUST0859"/>
    <s v="PRD0077"/>
    <n v="6"/>
    <s v="Customer Not Found"/>
    <x v="7"/>
    <x v="24"/>
    <x v="5"/>
    <s v="Price Missing"/>
    <n v="0"/>
  </r>
  <r>
    <s v="ORD01421"/>
    <s v="CUST0540"/>
    <s v="PRD0256"/>
    <n v="5"/>
    <s v="Customer Not Found"/>
    <x v="7"/>
    <x v="24"/>
    <x v="5"/>
    <s v="Price Missing"/>
    <n v="0"/>
  </r>
  <r>
    <s v="ORD01422"/>
    <s v="CUST0029"/>
    <s v="PRD0029"/>
    <n v="8"/>
    <s v="Customer Not Found"/>
    <x v="7"/>
    <x v="24"/>
    <x v="5"/>
    <s v="Price Missing"/>
    <n v="0"/>
  </r>
  <r>
    <s v="ORD01423"/>
    <s v="CUST0877"/>
    <s v="PRD0264"/>
    <n v="6"/>
    <s v="Customer Not Found"/>
    <x v="7"/>
    <x v="24"/>
    <x v="5"/>
    <s v="Price Missing"/>
    <n v="0"/>
  </r>
  <r>
    <s v="ORD01424"/>
    <s v="CUST0271"/>
    <s v="PRD0068"/>
    <n v="4"/>
    <s v="Customer Not Found"/>
    <x v="7"/>
    <x v="24"/>
    <x v="5"/>
    <s v="Price Missing"/>
    <n v="0"/>
  </r>
  <r>
    <s v="ORD01425"/>
    <s v="CUST0640"/>
    <s v="PRD0419"/>
    <n v="9"/>
    <s v="Customer Not Found"/>
    <x v="7"/>
    <x v="24"/>
    <x v="5"/>
    <s v="Price Missing"/>
    <n v="0"/>
  </r>
  <r>
    <s v="ORD01426"/>
    <s v="CUST0601"/>
    <s v="PRD0321"/>
    <n v="5"/>
    <s v="Customer Not Found"/>
    <x v="7"/>
    <x v="24"/>
    <x v="5"/>
    <s v="Price Missing"/>
    <n v="0"/>
  </r>
  <r>
    <s v="ORD01427"/>
    <s v="CUST0188"/>
    <s v="PRD0474"/>
    <n v="2"/>
    <s v="Customer Not Found"/>
    <x v="7"/>
    <x v="24"/>
    <x v="5"/>
    <s v="Price Missing"/>
    <n v="0"/>
  </r>
  <r>
    <s v="ORD01428"/>
    <s v="CUST0709"/>
    <s v="PRD0256"/>
    <n v="8"/>
    <s v="Customer Not Found"/>
    <x v="7"/>
    <x v="24"/>
    <x v="5"/>
    <s v="Price Missing"/>
    <n v="0"/>
  </r>
  <r>
    <s v="ORD01429"/>
    <s v="CUST0108"/>
    <s v="PRD0211"/>
    <n v="3"/>
    <s v="Customer Not Found"/>
    <x v="7"/>
    <x v="24"/>
    <x v="5"/>
    <s v="Price Missing"/>
    <n v="0"/>
  </r>
  <r>
    <s v="ORD01430"/>
    <s v="CUST0596"/>
    <s v="PRD0403"/>
    <n v="5"/>
    <s v="Customer Not Found"/>
    <x v="7"/>
    <x v="24"/>
    <x v="5"/>
    <s v="Price Missing"/>
    <n v="0"/>
  </r>
  <r>
    <s v="ORD01431"/>
    <s v="CUST0662"/>
    <s v="PRD0282"/>
    <n v="3"/>
    <s v="Customer Not Found"/>
    <x v="7"/>
    <x v="24"/>
    <x v="5"/>
    <s v="Price Missing"/>
    <n v="0"/>
  </r>
  <r>
    <s v="ORD01432"/>
    <s v="CUST0661"/>
    <s v="PRD0159"/>
    <n v="8"/>
    <s v="Customer Not Found"/>
    <x v="7"/>
    <x v="24"/>
    <x v="5"/>
    <s v="Price Missing"/>
    <n v="0"/>
  </r>
  <r>
    <s v="ORD01433"/>
    <s v="CUST0774"/>
    <s v="PRD0407"/>
    <n v="3"/>
    <s v="Customer Not Found"/>
    <x v="7"/>
    <x v="24"/>
    <x v="5"/>
    <s v="Price Missing"/>
    <n v="0"/>
  </r>
  <r>
    <s v="ORD01434"/>
    <s v="CUST0520"/>
    <s v="PRD0428"/>
    <n v="6"/>
    <s v="Customer Not Found"/>
    <x v="7"/>
    <x v="24"/>
    <x v="5"/>
    <s v="Price Missing"/>
    <n v="0"/>
  </r>
  <r>
    <s v="ORD01435"/>
    <s v="CUST0515"/>
    <s v="PRD0227"/>
    <n v="4"/>
    <s v="Customer Not Found"/>
    <x v="7"/>
    <x v="24"/>
    <x v="5"/>
    <s v="Price Missing"/>
    <n v="0"/>
  </r>
  <r>
    <s v="ORD01436"/>
    <s v="CUST0512"/>
    <s v="PRD0397"/>
    <n v="3"/>
    <s v="Customer Not Found"/>
    <x v="7"/>
    <x v="24"/>
    <x v="5"/>
    <s v="Price Missing"/>
    <n v="0"/>
  </r>
  <r>
    <s v="ORD01437"/>
    <s v="CUST0688"/>
    <s v="PRD0331"/>
    <n v="2"/>
    <s v="Customer Not Found"/>
    <x v="7"/>
    <x v="24"/>
    <x v="5"/>
    <s v="Price Missing"/>
    <n v="0"/>
  </r>
  <r>
    <s v="ORD01438"/>
    <s v="CUST0272"/>
    <s v="PRD0401"/>
    <n v="4"/>
    <s v="Customer Not Found"/>
    <x v="7"/>
    <x v="24"/>
    <x v="5"/>
    <s v="Price Missing"/>
    <n v="0"/>
  </r>
  <r>
    <s v="ORD01439"/>
    <s v="CUST0113"/>
    <s v="PRD0069"/>
    <n v="7"/>
    <s v="Customer Not Found"/>
    <x v="7"/>
    <x v="24"/>
    <x v="5"/>
    <s v="Price Missing"/>
    <n v="0"/>
  </r>
  <r>
    <s v="ORD01440"/>
    <s v="CUST0024"/>
    <s v="PRD0239"/>
    <n v="4"/>
    <s v="Customer Not Found"/>
    <x v="7"/>
    <x v="24"/>
    <x v="5"/>
    <s v="Price Missing"/>
    <n v="0"/>
  </r>
  <r>
    <s v="ORD01441"/>
    <s v="CUST0250"/>
    <s v="PRD0420"/>
    <n v="7"/>
    <s v="Customer Not Found"/>
    <x v="7"/>
    <x v="24"/>
    <x v="5"/>
    <s v="Price Missing"/>
    <n v="0"/>
  </r>
  <r>
    <s v="ORD01442"/>
    <s v="CUST0079"/>
    <s v="PRD0200"/>
    <n v="10"/>
    <s v="Customer Not Found"/>
    <x v="7"/>
    <x v="24"/>
    <x v="5"/>
    <s v="Price Missing"/>
    <n v="0"/>
  </r>
  <r>
    <s v="ORD01443"/>
    <s v="CUST0100"/>
    <s v="PRD0091"/>
    <n v="7"/>
    <s v="Customer Not Found"/>
    <x v="7"/>
    <x v="24"/>
    <x v="5"/>
    <s v="Price Missing"/>
    <n v="0"/>
  </r>
  <r>
    <s v="ORD01444"/>
    <s v="CUST0871"/>
    <s v="PRD0158"/>
    <n v="3"/>
    <s v="Customer Not Found"/>
    <x v="7"/>
    <x v="24"/>
    <x v="5"/>
    <s v="Price Missing"/>
    <n v="0"/>
  </r>
  <r>
    <s v="ORD01445"/>
    <s v="CUST0866"/>
    <s v="PRD0184"/>
    <n v="4"/>
    <s v="Customer Not Found"/>
    <x v="7"/>
    <x v="24"/>
    <x v="5"/>
    <s v="Price Missing"/>
    <n v="0"/>
  </r>
  <r>
    <s v="ORD01446"/>
    <s v="CUST0622"/>
    <s v="PRD0340"/>
    <n v="10"/>
    <s v="Customer Not Found"/>
    <x v="7"/>
    <x v="24"/>
    <x v="5"/>
    <s v="Price Missing"/>
    <n v="0"/>
  </r>
  <r>
    <s v="ORD01447"/>
    <s v="CUST0108"/>
    <s v="PRD0199"/>
    <n v="4"/>
    <s v="Customer Not Found"/>
    <x v="7"/>
    <x v="24"/>
    <x v="5"/>
    <s v="Price Missing"/>
    <n v="0"/>
  </r>
  <r>
    <s v="ORD01448"/>
    <s v="CUST0863"/>
    <s v="PRD0138"/>
    <n v="2"/>
    <s v="Customer Not Found"/>
    <x v="7"/>
    <x v="24"/>
    <x v="5"/>
    <s v="Price Missing"/>
    <n v="0"/>
  </r>
  <r>
    <s v="ORD01449"/>
    <s v="CUST0982"/>
    <s v="PRD0184"/>
    <n v="6"/>
    <s v="Customer Not Found"/>
    <x v="7"/>
    <x v="24"/>
    <x v="5"/>
    <s v="Price Missing"/>
    <n v="0"/>
  </r>
  <r>
    <s v="ORD01450"/>
    <s v="CUST0050"/>
    <s v="PRD0277"/>
    <n v="7"/>
    <s v="Customer Not Found"/>
    <x v="7"/>
    <x v="24"/>
    <x v="5"/>
    <s v="Price Missing"/>
    <n v="0"/>
  </r>
  <r>
    <s v="ORD01451"/>
    <s v="CUST1000"/>
    <s v="PRD0326"/>
    <n v="5"/>
    <s v="Customer Not Found"/>
    <x v="7"/>
    <x v="24"/>
    <x v="5"/>
    <s v="Price Missing"/>
    <n v="0"/>
  </r>
  <r>
    <s v="ORD01452"/>
    <s v="CUST0786"/>
    <s v="PRD0346"/>
    <n v="8"/>
    <s v="Customer Not Found"/>
    <x v="7"/>
    <x v="24"/>
    <x v="5"/>
    <s v="Price Missing"/>
    <n v="0"/>
  </r>
  <r>
    <s v="ORD01453"/>
    <s v="CUST0760"/>
    <s v="PRD0305"/>
    <n v="9"/>
    <s v="Customer Not Found"/>
    <x v="7"/>
    <x v="24"/>
    <x v="5"/>
    <s v="Price Missing"/>
    <n v="0"/>
  </r>
  <r>
    <s v="ORD01454"/>
    <s v="CUST0255"/>
    <s v="PRD0478"/>
    <n v="5"/>
    <s v="Customer Not Found"/>
    <x v="7"/>
    <x v="24"/>
    <x v="5"/>
    <s v="Price Missing"/>
    <n v="0"/>
  </r>
  <r>
    <s v="ORD01455"/>
    <s v="CUST0448"/>
    <s v="PRD0311"/>
    <n v="9"/>
    <s v="Customer Not Found"/>
    <x v="7"/>
    <x v="24"/>
    <x v="5"/>
    <s v="Price Missing"/>
    <n v="0"/>
  </r>
  <r>
    <s v="ORD01456"/>
    <s v="CUST0827"/>
    <s v="PRD0032"/>
    <n v="6"/>
    <s v="Customer Not Found"/>
    <x v="7"/>
    <x v="24"/>
    <x v="5"/>
    <s v="Price Missing"/>
    <n v="0"/>
  </r>
  <r>
    <s v="ORD01457"/>
    <s v="CUST0922"/>
    <s v="PRD0037"/>
    <n v="1"/>
    <s v="Customer Not Found"/>
    <x v="7"/>
    <x v="24"/>
    <x v="5"/>
    <s v="Price Missing"/>
    <n v="0"/>
  </r>
  <r>
    <s v="ORD01458"/>
    <s v="CUST0725"/>
    <s v="PRD0413"/>
    <n v="8"/>
    <s v="Customer Not Found"/>
    <x v="7"/>
    <x v="24"/>
    <x v="5"/>
    <s v="Price Missing"/>
    <n v="0"/>
  </r>
  <r>
    <s v="ORD01459"/>
    <s v="CUST0244"/>
    <s v="PRD0179"/>
    <n v="7"/>
    <s v="Customer Not Found"/>
    <x v="7"/>
    <x v="24"/>
    <x v="5"/>
    <s v="Price Missing"/>
    <n v="0"/>
  </r>
  <r>
    <s v="ORD01460"/>
    <s v="CUST0361"/>
    <s v="PRD0237"/>
    <n v="3"/>
    <s v="Customer Not Found"/>
    <x v="7"/>
    <x v="24"/>
    <x v="5"/>
    <s v="Price Missing"/>
    <n v="0"/>
  </r>
  <r>
    <s v="ORD01461"/>
    <s v="CUST0162"/>
    <s v="PRD0151"/>
    <n v="9"/>
    <s v="Customer Not Found"/>
    <x v="7"/>
    <x v="24"/>
    <x v="5"/>
    <s v="Price Missing"/>
    <n v="0"/>
  </r>
  <r>
    <s v="ORD01462"/>
    <s v="CUST0888"/>
    <s v="PRD0290"/>
    <n v="6"/>
    <s v="Customer Not Found"/>
    <x v="7"/>
    <x v="24"/>
    <x v="5"/>
    <s v="Price Missing"/>
    <n v="0"/>
  </r>
  <r>
    <s v="ORD01463"/>
    <s v="CUST0381"/>
    <s v="PRD0487"/>
    <n v="1"/>
    <s v="Customer Not Found"/>
    <x v="7"/>
    <x v="24"/>
    <x v="5"/>
    <s v="Price Missing"/>
    <n v="0"/>
  </r>
  <r>
    <s v="ORD01464"/>
    <s v="CUST0777"/>
    <s v="PRD0341"/>
    <n v="7"/>
    <s v="Customer Not Found"/>
    <x v="7"/>
    <x v="24"/>
    <x v="5"/>
    <s v="Price Missing"/>
    <n v="0"/>
  </r>
  <r>
    <s v="ORD01465"/>
    <s v="CUST0533"/>
    <s v="PRD0488"/>
    <n v="8"/>
    <s v="Customer Not Found"/>
    <x v="7"/>
    <x v="24"/>
    <x v="5"/>
    <s v="Price Missing"/>
    <n v="0"/>
  </r>
  <r>
    <s v="ORD01466"/>
    <s v="CUST0183"/>
    <s v="PRD0076"/>
    <n v="5"/>
    <s v="Customer Not Found"/>
    <x v="7"/>
    <x v="24"/>
    <x v="5"/>
    <s v="Price Missing"/>
    <n v="0"/>
  </r>
  <r>
    <s v="ORD01467"/>
    <s v="CUST0087"/>
    <s v="PRD0099"/>
    <n v="8"/>
    <s v="Customer Not Found"/>
    <x v="7"/>
    <x v="24"/>
    <x v="5"/>
    <s v="Price Missing"/>
    <n v="0"/>
  </r>
  <r>
    <s v="ORD01468"/>
    <s v="CUST0459"/>
    <s v="PRD0260"/>
    <n v="6"/>
    <s v="Customer Not Found"/>
    <x v="7"/>
    <x v="24"/>
    <x v="5"/>
    <s v="Price Missing"/>
    <n v="0"/>
  </r>
  <r>
    <s v="ORD01469"/>
    <s v="CUST0750"/>
    <s v="PRD0416"/>
    <n v="10"/>
    <s v="Customer Not Found"/>
    <x v="7"/>
    <x v="24"/>
    <x v="5"/>
    <s v="Price Missing"/>
    <n v="0"/>
  </r>
  <r>
    <s v="ORD01470"/>
    <s v="CUST0386"/>
    <s v="PRD0026"/>
    <n v="3"/>
    <s v="Customer Not Found"/>
    <x v="7"/>
    <x v="24"/>
    <x v="5"/>
    <s v="Price Missing"/>
    <n v="0"/>
  </r>
  <r>
    <s v="ORD01471"/>
    <s v="CUST0652"/>
    <s v="PRD0437"/>
    <n v="7"/>
    <s v="Customer Not Found"/>
    <x v="7"/>
    <x v="24"/>
    <x v="5"/>
    <s v="Price Missing"/>
    <n v="0"/>
  </r>
  <r>
    <s v="ORD01472"/>
    <s v="CUST0519"/>
    <s v="PRD0211"/>
    <n v="4"/>
    <s v="Customer Not Found"/>
    <x v="7"/>
    <x v="24"/>
    <x v="5"/>
    <s v="Price Missing"/>
    <n v="0"/>
  </r>
  <r>
    <s v="ORD01473"/>
    <s v="CUST0771"/>
    <s v="PRD0316"/>
    <n v="1"/>
    <s v="Customer Not Found"/>
    <x v="7"/>
    <x v="24"/>
    <x v="5"/>
    <s v="Price Missing"/>
    <n v="0"/>
  </r>
  <r>
    <s v="ORD01474"/>
    <s v="CUST0128"/>
    <s v="PRD0354"/>
    <n v="1"/>
    <s v="Customer Not Found"/>
    <x v="7"/>
    <x v="24"/>
    <x v="5"/>
    <s v="Price Missing"/>
    <n v="0"/>
  </r>
  <r>
    <s v="ORD01475"/>
    <s v="CUST0437"/>
    <s v="PRD0268"/>
    <n v="7"/>
    <s v="Customer Not Found"/>
    <x v="7"/>
    <x v="24"/>
    <x v="5"/>
    <s v="Price Missing"/>
    <n v="0"/>
  </r>
  <r>
    <s v="ORD01476"/>
    <s v="CUST0070"/>
    <s v="PRD0067"/>
    <n v="2"/>
    <s v="Customer Not Found"/>
    <x v="7"/>
    <x v="24"/>
    <x v="5"/>
    <s v="Price Missing"/>
    <n v="0"/>
  </r>
  <r>
    <s v="ORD01477"/>
    <s v="CUST0001"/>
    <s v="PRD0336"/>
    <n v="4"/>
    <s v="Customer Not Found"/>
    <x v="7"/>
    <x v="24"/>
    <x v="5"/>
    <s v="Price Missing"/>
    <n v="0"/>
  </r>
  <r>
    <s v="ORD01478"/>
    <s v="CUST0652"/>
    <s v="PRD0186"/>
    <n v="4"/>
    <s v="Customer Not Found"/>
    <x v="7"/>
    <x v="24"/>
    <x v="5"/>
    <s v="Price Missing"/>
    <n v="0"/>
  </r>
  <r>
    <s v="ORD01479"/>
    <s v="CUST0507"/>
    <s v="PRD0489"/>
    <n v="8"/>
    <s v="Customer Not Found"/>
    <x v="7"/>
    <x v="24"/>
    <x v="5"/>
    <s v="Price Missing"/>
    <n v="0"/>
  </r>
  <r>
    <s v="ORD01480"/>
    <s v="CUST0907"/>
    <s v="PRD0380"/>
    <n v="8"/>
    <s v="Customer Not Found"/>
    <x v="7"/>
    <x v="24"/>
    <x v="5"/>
    <s v="Price Missing"/>
    <n v="0"/>
  </r>
  <r>
    <s v="ORD01481"/>
    <s v="CUST0739"/>
    <s v="PRD0291"/>
    <n v="9"/>
    <s v="Customer Not Found"/>
    <x v="7"/>
    <x v="24"/>
    <x v="5"/>
    <s v="Price Missing"/>
    <n v="0"/>
  </r>
  <r>
    <s v="ORD01482"/>
    <s v="CUST0713"/>
    <s v="PRD0026"/>
    <n v="1"/>
    <s v="Customer Not Found"/>
    <x v="7"/>
    <x v="24"/>
    <x v="5"/>
    <s v="Price Missing"/>
    <n v="0"/>
  </r>
  <r>
    <s v="ORD01483"/>
    <s v="CUST0548"/>
    <s v="PRD0354"/>
    <n v="8"/>
    <s v="Customer Not Found"/>
    <x v="7"/>
    <x v="24"/>
    <x v="5"/>
    <s v="Price Missing"/>
    <n v="0"/>
  </r>
  <r>
    <s v="ORD01484"/>
    <s v="CUST0329"/>
    <s v="PRD0030"/>
    <n v="7"/>
    <s v="Customer Not Found"/>
    <x v="7"/>
    <x v="24"/>
    <x v="5"/>
    <s v="Price Missing"/>
    <n v="0"/>
  </r>
  <r>
    <s v="ORD01485"/>
    <s v="CUST0419"/>
    <s v="PRD0280"/>
    <n v="9"/>
    <s v="Customer Not Found"/>
    <x v="7"/>
    <x v="24"/>
    <x v="5"/>
    <s v="Price Missing"/>
    <n v="0"/>
  </r>
  <r>
    <s v="ORD01486"/>
    <s v="CUST0724"/>
    <s v="PRD0476"/>
    <n v="3"/>
    <s v="Customer Not Found"/>
    <x v="7"/>
    <x v="24"/>
    <x v="5"/>
    <s v="Price Missing"/>
    <n v="0"/>
  </r>
  <r>
    <s v="ORD01487"/>
    <s v="CUST0860"/>
    <s v="PRD0443"/>
    <n v="9"/>
    <s v="Customer Not Found"/>
    <x v="7"/>
    <x v="24"/>
    <x v="5"/>
    <s v="Price Missing"/>
    <n v="0"/>
  </r>
  <r>
    <s v="ORD01488"/>
    <s v="CUST0181"/>
    <s v="PRD0095"/>
    <n v="1"/>
    <s v="Customer Not Found"/>
    <x v="7"/>
    <x v="24"/>
    <x v="5"/>
    <s v="Price Missing"/>
    <n v="0"/>
  </r>
  <r>
    <s v="ORD01489"/>
    <s v="CUST0411"/>
    <s v="PRD0113"/>
    <n v="5"/>
    <s v="Customer Not Found"/>
    <x v="7"/>
    <x v="24"/>
    <x v="5"/>
    <s v="Price Missing"/>
    <n v="0"/>
  </r>
  <r>
    <s v="ORD01490"/>
    <s v="CUST0632"/>
    <s v="PRD0279"/>
    <n v="1"/>
    <s v="Customer Not Found"/>
    <x v="7"/>
    <x v="24"/>
    <x v="5"/>
    <s v="Price Missing"/>
    <n v="0"/>
  </r>
  <r>
    <s v="ORD01491"/>
    <s v="CUST0290"/>
    <s v="PRD0368"/>
    <n v="7"/>
    <s v="Customer Not Found"/>
    <x v="7"/>
    <x v="24"/>
    <x v="5"/>
    <s v="Price Missing"/>
    <n v="0"/>
  </r>
  <r>
    <s v="ORD01492"/>
    <s v="CUST0053"/>
    <s v="PRD0067"/>
    <n v="3"/>
    <s v="Customer Not Found"/>
    <x v="7"/>
    <x v="24"/>
    <x v="5"/>
    <s v="Price Missing"/>
    <n v="0"/>
  </r>
  <r>
    <s v="ORD01493"/>
    <s v="CUST0598"/>
    <s v="PRD0257"/>
    <n v="8"/>
    <s v="Customer Not Found"/>
    <x v="7"/>
    <x v="24"/>
    <x v="5"/>
    <s v="Price Missing"/>
    <n v="0"/>
  </r>
  <r>
    <s v="ORD01494"/>
    <s v="CUST0212"/>
    <s v="PRD0473"/>
    <n v="5"/>
    <s v="Customer Not Found"/>
    <x v="7"/>
    <x v="24"/>
    <x v="5"/>
    <s v="Price Missing"/>
    <n v="0"/>
  </r>
  <r>
    <s v="ORD01495"/>
    <s v="CUST0038"/>
    <s v="PRD0410"/>
    <n v="4"/>
    <s v="Customer Not Found"/>
    <x v="7"/>
    <x v="24"/>
    <x v="5"/>
    <s v="Price Missing"/>
    <n v="0"/>
  </r>
  <r>
    <s v="ORD01496"/>
    <s v="CUST0986"/>
    <s v="PRD0209"/>
    <n v="4"/>
    <s v="Customer Not Found"/>
    <x v="7"/>
    <x v="24"/>
    <x v="5"/>
    <s v="Price Missing"/>
    <n v="0"/>
  </r>
  <r>
    <s v="ORD01497"/>
    <s v="CUST0123"/>
    <s v="PRD0017"/>
    <n v="9"/>
    <s v="Customer Not Found"/>
    <x v="7"/>
    <x v="24"/>
    <x v="5"/>
    <s v="Price Missing"/>
    <n v="0"/>
  </r>
  <r>
    <s v="ORD01498"/>
    <s v="CUST0161"/>
    <s v="PRD0212"/>
    <n v="4"/>
    <s v="Customer Not Found"/>
    <x v="7"/>
    <x v="24"/>
    <x v="5"/>
    <s v="Price Missing"/>
    <n v="0"/>
  </r>
  <r>
    <s v="ORD01499"/>
    <s v="CUST0333"/>
    <s v="PRD0102"/>
    <n v="5"/>
    <s v="Customer Not Found"/>
    <x v="7"/>
    <x v="24"/>
    <x v="5"/>
    <s v="Price Missing"/>
    <n v="0"/>
  </r>
  <r>
    <s v="ORD01500"/>
    <s v="CUST0443"/>
    <s v="PRD0459"/>
    <n v="3"/>
    <s v="Customer Not Found"/>
    <x v="7"/>
    <x v="24"/>
    <x v="5"/>
    <s v="Price Missing"/>
    <n v="0"/>
  </r>
  <r>
    <s v="ORD01501"/>
    <s v="CUST0938"/>
    <s v="PRD0383"/>
    <n v="8"/>
    <s v="Customer Not Found"/>
    <x v="7"/>
    <x v="24"/>
    <x v="5"/>
    <s v="Price Missing"/>
    <n v="0"/>
  </r>
  <r>
    <s v="ORD01502"/>
    <s v="CUST0320"/>
    <s v="PRD0377"/>
    <n v="4"/>
    <s v="Customer Not Found"/>
    <x v="7"/>
    <x v="24"/>
    <x v="5"/>
    <s v="Price Missing"/>
    <n v="0"/>
  </r>
  <r>
    <s v="ORD01503"/>
    <s v="CUST0453"/>
    <s v="PRD0263"/>
    <n v="1"/>
    <s v="Customer Not Found"/>
    <x v="7"/>
    <x v="24"/>
    <x v="5"/>
    <s v="Price Missing"/>
    <n v="0"/>
  </r>
  <r>
    <s v="ORD01504"/>
    <s v="CUST0023"/>
    <s v="PRD0055"/>
    <n v="3"/>
    <s v="Customer Not Found"/>
    <x v="7"/>
    <x v="24"/>
    <x v="5"/>
    <s v="Price Missing"/>
    <n v="0"/>
  </r>
  <r>
    <s v="ORD01505"/>
    <s v="CUST0899"/>
    <s v="PRD0236"/>
    <n v="1"/>
    <s v="Customer Not Found"/>
    <x v="7"/>
    <x v="24"/>
    <x v="5"/>
    <s v="Price Missing"/>
    <n v="0"/>
  </r>
  <r>
    <s v="ORD01506"/>
    <s v="CUST0016"/>
    <s v="PRD0350"/>
    <n v="6"/>
    <s v="Customer Not Found"/>
    <x v="7"/>
    <x v="24"/>
    <x v="5"/>
    <s v="Price Missing"/>
    <n v="0"/>
  </r>
  <r>
    <s v="ORD01507"/>
    <s v="CUST0803"/>
    <s v="PRD0337"/>
    <n v="8"/>
    <s v="Customer Not Found"/>
    <x v="7"/>
    <x v="24"/>
    <x v="5"/>
    <s v="Price Missing"/>
    <n v="0"/>
  </r>
  <r>
    <s v="ORD01508"/>
    <s v="CUST0515"/>
    <s v="PRD0310"/>
    <n v="9"/>
    <s v="Customer Not Found"/>
    <x v="7"/>
    <x v="24"/>
    <x v="5"/>
    <s v="Price Missing"/>
    <n v="0"/>
  </r>
  <r>
    <s v="ORD01509"/>
    <s v="CUST0129"/>
    <s v="PRD0263"/>
    <n v="7"/>
    <s v="Customer Not Found"/>
    <x v="7"/>
    <x v="24"/>
    <x v="5"/>
    <s v="Price Missing"/>
    <n v="0"/>
  </r>
  <r>
    <s v="ORD01510"/>
    <s v="CUST0651"/>
    <s v="PRD0475"/>
    <n v="3"/>
    <s v="Customer Not Found"/>
    <x v="7"/>
    <x v="24"/>
    <x v="5"/>
    <s v="Price Missing"/>
    <n v="0"/>
  </r>
  <r>
    <s v="ORD01511"/>
    <s v="CUST0705"/>
    <s v="PRD0309"/>
    <n v="6"/>
    <s v="Customer Not Found"/>
    <x v="7"/>
    <x v="24"/>
    <x v="5"/>
    <s v="Price Missing"/>
    <n v="0"/>
  </r>
  <r>
    <s v="ORD01512"/>
    <s v="CUST0728"/>
    <s v="PRD0021"/>
    <n v="3"/>
    <s v="Customer Not Found"/>
    <x v="7"/>
    <x v="24"/>
    <x v="5"/>
    <s v="Price Missing"/>
    <n v="0"/>
  </r>
  <r>
    <s v="ORD01513"/>
    <s v="CUST0581"/>
    <s v="PRD0129"/>
    <n v="4"/>
    <s v="Customer Not Found"/>
    <x v="7"/>
    <x v="24"/>
    <x v="5"/>
    <s v="Price Missing"/>
    <n v="0"/>
  </r>
  <r>
    <s v="ORD01514"/>
    <s v="CUST0231"/>
    <s v="PRD0309"/>
    <n v="1"/>
    <s v="Customer Not Found"/>
    <x v="7"/>
    <x v="24"/>
    <x v="5"/>
    <s v="Price Missing"/>
    <n v="0"/>
  </r>
  <r>
    <s v="ORD01515"/>
    <s v="CUST0922"/>
    <s v="PRD0096"/>
    <n v="10"/>
    <s v="Customer Not Found"/>
    <x v="7"/>
    <x v="24"/>
    <x v="5"/>
    <s v="Price Missing"/>
    <n v="0"/>
  </r>
  <r>
    <s v="ORD01516"/>
    <s v="CUST0779"/>
    <s v="PRD0395"/>
    <n v="1"/>
    <s v="Customer Not Found"/>
    <x v="7"/>
    <x v="24"/>
    <x v="5"/>
    <s v="Price Missing"/>
    <n v="0"/>
  </r>
  <r>
    <s v="ORD01517"/>
    <s v="CUST0771"/>
    <s v="PRD0451"/>
    <n v="2"/>
    <s v="Customer Not Found"/>
    <x v="7"/>
    <x v="24"/>
    <x v="5"/>
    <s v="Price Missing"/>
    <n v="0"/>
  </r>
  <r>
    <s v="ORD01518"/>
    <s v="CUST0688"/>
    <s v="PRD0435"/>
    <n v="6"/>
    <s v="Customer Not Found"/>
    <x v="7"/>
    <x v="24"/>
    <x v="5"/>
    <s v="Price Missing"/>
    <n v="0"/>
  </r>
  <r>
    <s v="ORD01519"/>
    <s v="CUST0385"/>
    <s v="PRD0039"/>
    <n v="3"/>
    <s v="Customer Not Found"/>
    <x v="7"/>
    <x v="24"/>
    <x v="5"/>
    <s v="Price Missing"/>
    <n v="0"/>
  </r>
  <r>
    <s v="ORD01520"/>
    <s v="CUST0410"/>
    <s v="PRD0040"/>
    <n v="1"/>
    <s v="Customer Not Found"/>
    <x v="7"/>
    <x v="24"/>
    <x v="5"/>
    <s v="Price Missing"/>
    <n v="0"/>
  </r>
  <r>
    <s v="ORD01521"/>
    <s v="CUST0018"/>
    <s v="PRD0058"/>
    <n v="9"/>
    <s v="Customer Not Found"/>
    <x v="7"/>
    <x v="24"/>
    <x v="5"/>
    <s v="Price Missing"/>
    <n v="0"/>
  </r>
  <r>
    <s v="ORD01522"/>
    <s v="CUST0695"/>
    <s v="PRD0193"/>
    <n v="10"/>
    <s v="Customer Not Found"/>
    <x v="7"/>
    <x v="24"/>
    <x v="5"/>
    <s v="Price Missing"/>
    <n v="0"/>
  </r>
  <r>
    <s v="ORD01523"/>
    <s v="CUST0182"/>
    <s v="PRD0476"/>
    <n v="4"/>
    <s v="Customer Not Found"/>
    <x v="7"/>
    <x v="24"/>
    <x v="5"/>
    <s v="Price Missing"/>
    <n v="0"/>
  </r>
  <r>
    <s v="ORD01524"/>
    <s v="CUST0845"/>
    <s v="PRD0461"/>
    <n v="8"/>
    <s v="Customer Not Found"/>
    <x v="7"/>
    <x v="24"/>
    <x v="5"/>
    <s v="Price Missing"/>
    <n v="0"/>
  </r>
  <r>
    <s v="ORD01525"/>
    <s v="CUST0511"/>
    <s v="PRD0328"/>
    <n v="1"/>
    <s v="Customer Not Found"/>
    <x v="7"/>
    <x v="24"/>
    <x v="5"/>
    <s v="Price Missing"/>
    <n v="0"/>
  </r>
  <r>
    <s v="ORD01526"/>
    <s v="CUST0564"/>
    <s v="PRD0225"/>
    <n v="2"/>
    <s v="Customer Not Found"/>
    <x v="7"/>
    <x v="24"/>
    <x v="5"/>
    <s v="Price Missing"/>
    <n v="0"/>
  </r>
  <r>
    <s v="ORD01527"/>
    <s v="CUST0101"/>
    <s v="PRD0328"/>
    <n v="6"/>
    <s v="Customer Not Found"/>
    <x v="7"/>
    <x v="24"/>
    <x v="5"/>
    <s v="Price Missing"/>
    <n v="0"/>
  </r>
  <r>
    <s v="ORD01528"/>
    <s v="CUST0559"/>
    <s v="PRD0134"/>
    <n v="5"/>
    <s v="Customer Not Found"/>
    <x v="7"/>
    <x v="24"/>
    <x v="5"/>
    <s v="Price Missing"/>
    <n v="0"/>
  </r>
  <r>
    <s v="ORD01529"/>
    <s v="CUST0452"/>
    <s v="PRD0202"/>
    <n v="7"/>
    <s v="Customer Not Found"/>
    <x v="7"/>
    <x v="24"/>
    <x v="5"/>
    <s v="Price Missing"/>
    <n v="0"/>
  </r>
  <r>
    <s v="ORD01530"/>
    <s v="CUST0476"/>
    <s v="PRD0050"/>
    <n v="4"/>
    <s v="Customer Not Found"/>
    <x v="7"/>
    <x v="24"/>
    <x v="5"/>
    <s v="Price Missing"/>
    <n v="0"/>
  </r>
  <r>
    <s v="ORD01531"/>
    <s v="CUST0148"/>
    <s v="PRD0280"/>
    <n v="1"/>
    <s v="Customer Not Found"/>
    <x v="7"/>
    <x v="24"/>
    <x v="5"/>
    <s v="Price Missing"/>
    <n v="0"/>
  </r>
  <r>
    <s v="ORD01532"/>
    <s v="CUST0444"/>
    <s v="PRD0463"/>
    <n v="9"/>
    <s v="Customer Not Found"/>
    <x v="7"/>
    <x v="24"/>
    <x v="5"/>
    <s v="Price Missing"/>
    <n v="0"/>
  </r>
  <r>
    <s v="ORD01533"/>
    <s v="CUST0657"/>
    <s v="PRD0285"/>
    <n v="2"/>
    <s v="Customer Not Found"/>
    <x v="7"/>
    <x v="24"/>
    <x v="5"/>
    <s v="Price Missing"/>
    <n v="0"/>
  </r>
  <r>
    <s v="ORD01534"/>
    <s v="CUST0611"/>
    <s v="PRD0135"/>
    <n v="9"/>
    <s v="Customer Not Found"/>
    <x v="7"/>
    <x v="24"/>
    <x v="5"/>
    <s v="Price Missing"/>
    <n v="0"/>
  </r>
  <r>
    <s v="ORD01535"/>
    <s v="CUST0860"/>
    <s v="PRD0370"/>
    <n v="10"/>
    <s v="Customer Not Found"/>
    <x v="7"/>
    <x v="24"/>
    <x v="5"/>
    <s v="Price Missing"/>
    <n v="0"/>
  </r>
  <r>
    <s v="ORD01536"/>
    <s v="CUST0107"/>
    <s v="PRD0257"/>
    <n v="1"/>
    <s v="Customer Not Found"/>
    <x v="7"/>
    <x v="24"/>
    <x v="5"/>
    <s v="Price Missing"/>
    <n v="0"/>
  </r>
  <r>
    <s v="ORD01537"/>
    <s v="CUST0216"/>
    <s v="PRD0272"/>
    <n v="2"/>
    <s v="Customer Not Found"/>
    <x v="7"/>
    <x v="24"/>
    <x v="5"/>
    <s v="Price Missing"/>
    <n v="0"/>
  </r>
  <r>
    <s v="ORD01538"/>
    <s v="CUST0804"/>
    <s v="PRD0006"/>
    <n v="10"/>
    <s v="Customer Not Found"/>
    <x v="7"/>
    <x v="24"/>
    <x v="5"/>
    <s v="Price Missing"/>
    <n v="0"/>
  </r>
  <r>
    <s v="ORD01539"/>
    <s v="CUST0074"/>
    <s v="PRD0222"/>
    <n v="3"/>
    <s v="Customer Not Found"/>
    <x v="7"/>
    <x v="24"/>
    <x v="5"/>
    <s v="Price Missing"/>
    <n v="0"/>
  </r>
  <r>
    <s v="ORD01540"/>
    <s v="CUST0768"/>
    <s v="PRD0055"/>
    <n v="9"/>
    <s v="Customer Not Found"/>
    <x v="7"/>
    <x v="24"/>
    <x v="5"/>
    <s v="Price Missing"/>
    <n v="0"/>
  </r>
  <r>
    <s v="ORD01541"/>
    <s v="CUST0732"/>
    <s v="PRD0132"/>
    <n v="7"/>
    <s v="Customer Not Found"/>
    <x v="7"/>
    <x v="24"/>
    <x v="5"/>
    <s v="Price Missing"/>
    <n v="0"/>
  </r>
  <r>
    <s v="ORD01542"/>
    <s v="CUST0991"/>
    <s v="PRD0287"/>
    <n v="3"/>
    <s v="Customer Not Found"/>
    <x v="7"/>
    <x v="24"/>
    <x v="5"/>
    <s v="Price Missing"/>
    <n v="0"/>
  </r>
  <r>
    <s v="ORD01543"/>
    <s v="CUST0480"/>
    <s v="PRD0177"/>
    <n v="10"/>
    <s v="Customer Not Found"/>
    <x v="7"/>
    <x v="24"/>
    <x v="5"/>
    <s v="Price Missing"/>
    <n v="0"/>
  </r>
  <r>
    <s v="ORD01544"/>
    <s v="CUST0312"/>
    <s v="PRD0103"/>
    <n v="4"/>
    <s v="Customer Not Found"/>
    <x v="7"/>
    <x v="24"/>
    <x v="5"/>
    <s v="Price Missing"/>
    <n v="0"/>
  </r>
  <r>
    <s v="ORD01545"/>
    <s v="CUST0829"/>
    <s v="PRD0494"/>
    <n v="10"/>
    <s v="Customer Not Found"/>
    <x v="7"/>
    <x v="24"/>
    <x v="5"/>
    <s v="Price Missing"/>
    <n v="0"/>
  </r>
  <r>
    <s v="ORD01546"/>
    <s v="CUST0511"/>
    <s v="PRD0353"/>
    <n v="2"/>
    <s v="Customer Not Found"/>
    <x v="7"/>
    <x v="24"/>
    <x v="5"/>
    <s v="Price Missing"/>
    <n v="0"/>
  </r>
  <r>
    <s v="ORD01547"/>
    <s v="CUST0662"/>
    <s v="PRD0205"/>
    <n v="5"/>
    <s v="Customer Not Found"/>
    <x v="7"/>
    <x v="24"/>
    <x v="5"/>
    <s v="Price Missing"/>
    <n v="0"/>
  </r>
  <r>
    <s v="ORD01548"/>
    <s v="CUST0384"/>
    <s v="PRD0056"/>
    <n v="2"/>
    <s v="Customer Not Found"/>
    <x v="7"/>
    <x v="24"/>
    <x v="5"/>
    <s v="Price Missing"/>
    <n v="0"/>
  </r>
  <r>
    <s v="ORD01549"/>
    <s v="CUST0946"/>
    <s v="PRD0375"/>
    <n v="6"/>
    <s v="Customer Not Found"/>
    <x v="7"/>
    <x v="24"/>
    <x v="5"/>
    <s v="Price Missing"/>
    <n v="0"/>
  </r>
  <r>
    <s v="ORD01550"/>
    <s v="CUST0591"/>
    <s v="PRD0403"/>
    <n v="9"/>
    <s v="Customer Not Found"/>
    <x v="7"/>
    <x v="24"/>
    <x v="5"/>
    <s v="Price Missing"/>
    <n v="0"/>
  </r>
  <r>
    <s v="ORD01551"/>
    <s v="CUST0681"/>
    <s v="PRD0015"/>
    <n v="2"/>
    <s v="Customer Not Found"/>
    <x v="7"/>
    <x v="24"/>
    <x v="5"/>
    <s v="Price Missing"/>
    <n v="0"/>
  </r>
  <r>
    <s v="ORD01552"/>
    <s v="CUST0210"/>
    <s v="PRD0128"/>
    <n v="9"/>
    <s v="Customer Not Found"/>
    <x v="7"/>
    <x v="24"/>
    <x v="5"/>
    <s v="Price Missing"/>
    <n v="0"/>
  </r>
  <r>
    <s v="ORD01553"/>
    <s v="CUST0242"/>
    <s v="PRD0221"/>
    <n v="7"/>
    <s v="Customer Not Found"/>
    <x v="7"/>
    <x v="24"/>
    <x v="5"/>
    <s v="Price Missing"/>
    <n v="0"/>
  </r>
  <r>
    <s v="ORD01554"/>
    <s v="CUST0578"/>
    <s v="PRD0354"/>
    <n v="10"/>
    <s v="Customer Not Found"/>
    <x v="7"/>
    <x v="24"/>
    <x v="5"/>
    <s v="Price Missing"/>
    <n v="0"/>
  </r>
  <r>
    <s v="ORD01555"/>
    <s v="CUST0666"/>
    <s v="PRD0064"/>
    <n v="4"/>
    <s v="Customer Not Found"/>
    <x v="7"/>
    <x v="24"/>
    <x v="5"/>
    <s v="Price Missing"/>
    <n v="0"/>
  </r>
  <r>
    <s v="ORD01556"/>
    <s v="CUST0823"/>
    <s v="PRD0190"/>
    <n v="3"/>
    <s v="Customer Not Found"/>
    <x v="7"/>
    <x v="24"/>
    <x v="5"/>
    <s v="Price Missing"/>
    <n v="0"/>
  </r>
  <r>
    <s v="ORD01557"/>
    <s v="CUST0239"/>
    <s v="PRD0475"/>
    <n v="7"/>
    <s v="Customer Not Found"/>
    <x v="7"/>
    <x v="24"/>
    <x v="5"/>
    <s v="Price Missing"/>
    <n v="0"/>
  </r>
  <r>
    <s v="ORD01558"/>
    <s v="CUST0547"/>
    <s v="PRD0295"/>
    <n v="9"/>
    <s v="Customer Not Found"/>
    <x v="7"/>
    <x v="24"/>
    <x v="5"/>
    <s v="Price Missing"/>
    <n v="0"/>
  </r>
  <r>
    <s v="ORD01559"/>
    <s v="CUST0125"/>
    <s v="PRD0056"/>
    <n v="7"/>
    <s v="Customer Not Found"/>
    <x v="7"/>
    <x v="24"/>
    <x v="5"/>
    <s v="Price Missing"/>
    <n v="0"/>
  </r>
  <r>
    <s v="ORD01560"/>
    <s v="CUST0379"/>
    <s v="PRD0088"/>
    <n v="6"/>
    <s v="Customer Not Found"/>
    <x v="7"/>
    <x v="24"/>
    <x v="5"/>
    <s v="Price Missing"/>
    <n v="0"/>
  </r>
  <r>
    <s v="ORD01561"/>
    <s v="CUST0158"/>
    <s v="PRD0079"/>
    <n v="10"/>
    <s v="Customer Not Found"/>
    <x v="7"/>
    <x v="24"/>
    <x v="5"/>
    <s v="Price Missing"/>
    <n v="0"/>
  </r>
  <r>
    <s v="ORD01562"/>
    <s v="CUST0248"/>
    <s v="PRD0146"/>
    <n v="4"/>
    <s v="Customer Not Found"/>
    <x v="7"/>
    <x v="24"/>
    <x v="5"/>
    <s v="Price Missing"/>
    <n v="0"/>
  </r>
  <r>
    <s v="ORD01563"/>
    <s v="CUST0292"/>
    <s v="PRD0459"/>
    <n v="2"/>
    <s v="Customer Not Found"/>
    <x v="7"/>
    <x v="24"/>
    <x v="5"/>
    <s v="Price Missing"/>
    <n v="0"/>
  </r>
  <r>
    <s v="ORD01564"/>
    <s v="CUST0281"/>
    <s v="PRD0065"/>
    <n v="5"/>
    <s v="Customer Not Found"/>
    <x v="7"/>
    <x v="24"/>
    <x v="5"/>
    <s v="Price Missing"/>
    <n v="0"/>
  </r>
  <r>
    <s v="ORD01565"/>
    <s v="CUST0833"/>
    <s v="PRD0230"/>
    <n v="3"/>
    <s v="Customer Not Found"/>
    <x v="7"/>
    <x v="24"/>
    <x v="5"/>
    <s v="Price Missing"/>
    <n v="0"/>
  </r>
  <r>
    <s v="ORD01566"/>
    <s v="CUST0340"/>
    <s v="PRD0134"/>
    <n v="4"/>
    <s v="Customer Not Found"/>
    <x v="7"/>
    <x v="24"/>
    <x v="5"/>
    <s v="Price Missing"/>
    <n v="0"/>
  </r>
  <r>
    <s v="ORD01567"/>
    <s v="CUST0754"/>
    <s v="PRD0005"/>
    <n v="4"/>
    <s v="Customer Not Found"/>
    <x v="7"/>
    <x v="24"/>
    <x v="5"/>
    <s v="Price Missing"/>
    <n v="0"/>
  </r>
  <r>
    <s v="ORD01568"/>
    <s v="CUST0727"/>
    <s v="PRD0362"/>
    <n v="7"/>
    <s v="Customer Not Found"/>
    <x v="7"/>
    <x v="24"/>
    <x v="5"/>
    <s v="Price Missing"/>
    <n v="0"/>
  </r>
  <r>
    <s v="ORD01569"/>
    <s v="CUST0208"/>
    <s v="PRD0083"/>
    <n v="10"/>
    <s v="Customer Not Found"/>
    <x v="7"/>
    <x v="24"/>
    <x v="5"/>
    <s v="Price Missing"/>
    <n v="0"/>
  </r>
  <r>
    <s v="ORD01570"/>
    <s v="CUST0760"/>
    <s v="PRD0471"/>
    <n v="10"/>
    <s v="Customer Not Found"/>
    <x v="7"/>
    <x v="24"/>
    <x v="5"/>
    <s v="Price Missing"/>
    <n v="0"/>
  </r>
  <r>
    <s v="ORD01571"/>
    <s v="CUST0471"/>
    <s v="PRD0101"/>
    <n v="3"/>
    <s v="Customer Not Found"/>
    <x v="7"/>
    <x v="24"/>
    <x v="5"/>
    <s v="Price Missing"/>
    <n v="0"/>
  </r>
  <r>
    <s v="ORD01572"/>
    <s v="CUST0255"/>
    <s v="PRD0211"/>
    <n v="1"/>
    <s v="Customer Not Found"/>
    <x v="7"/>
    <x v="24"/>
    <x v="5"/>
    <s v="Price Missing"/>
    <n v="0"/>
  </r>
  <r>
    <s v="ORD01573"/>
    <s v="CUST0327"/>
    <s v="PRD0261"/>
    <n v="6"/>
    <s v="Customer Not Found"/>
    <x v="7"/>
    <x v="24"/>
    <x v="5"/>
    <s v="Price Missing"/>
    <n v="0"/>
  </r>
  <r>
    <s v="ORD01574"/>
    <s v="CUST0855"/>
    <s v="PRD0009"/>
    <n v="6"/>
    <s v="Customer Not Found"/>
    <x v="7"/>
    <x v="24"/>
    <x v="5"/>
    <s v="Price Missing"/>
    <n v="0"/>
  </r>
  <r>
    <s v="ORD01575"/>
    <s v="CUST0990"/>
    <s v="PRD0102"/>
    <n v="1"/>
    <s v="Customer Not Found"/>
    <x v="7"/>
    <x v="24"/>
    <x v="5"/>
    <s v="Price Missing"/>
    <n v="0"/>
  </r>
  <r>
    <s v="ORD01576"/>
    <s v="CUST0418"/>
    <s v="PRD0165"/>
    <n v="10"/>
    <s v="Customer Not Found"/>
    <x v="7"/>
    <x v="24"/>
    <x v="5"/>
    <s v="Price Missing"/>
    <n v="0"/>
  </r>
  <r>
    <s v="ORD01577"/>
    <s v="CUST0787"/>
    <s v="PRD0279"/>
    <n v="4"/>
    <s v="Customer Not Found"/>
    <x v="7"/>
    <x v="24"/>
    <x v="5"/>
    <s v="Price Missing"/>
    <n v="0"/>
  </r>
  <r>
    <s v="ORD01578"/>
    <s v="CUST0133"/>
    <s v="PRD0375"/>
    <n v="3"/>
    <s v="Customer Not Found"/>
    <x v="7"/>
    <x v="24"/>
    <x v="5"/>
    <s v="Price Missing"/>
    <n v="0"/>
  </r>
  <r>
    <s v="ORD01579"/>
    <s v="CUST0863"/>
    <s v="PRD0343"/>
    <n v="3"/>
    <s v="Customer Not Found"/>
    <x v="7"/>
    <x v="24"/>
    <x v="5"/>
    <s v="Price Missing"/>
    <n v="0"/>
  </r>
  <r>
    <s v="ORD01580"/>
    <s v="CUST0209"/>
    <s v="PRD0202"/>
    <n v="8"/>
    <s v="Customer Not Found"/>
    <x v="7"/>
    <x v="24"/>
    <x v="5"/>
    <s v="Price Missing"/>
    <n v="0"/>
  </r>
  <r>
    <s v="ORD01581"/>
    <s v="CUST0558"/>
    <s v="PRD0288"/>
    <n v="9"/>
    <s v="Customer Not Found"/>
    <x v="7"/>
    <x v="24"/>
    <x v="5"/>
    <s v="Price Missing"/>
    <n v="0"/>
  </r>
  <r>
    <s v="ORD01582"/>
    <s v="CUST0148"/>
    <s v="PRD0421"/>
    <n v="9"/>
    <s v="Customer Not Found"/>
    <x v="7"/>
    <x v="24"/>
    <x v="5"/>
    <s v="Price Missing"/>
    <n v="0"/>
  </r>
  <r>
    <s v="ORD01583"/>
    <s v="CUST0364"/>
    <s v="PRD0155"/>
    <n v="10"/>
    <s v="Customer Not Found"/>
    <x v="7"/>
    <x v="24"/>
    <x v="5"/>
    <s v="Price Missing"/>
    <n v="0"/>
  </r>
  <r>
    <s v="ORD01584"/>
    <s v="CUST0670"/>
    <s v="PRD0037"/>
    <n v="3"/>
    <s v="Customer Not Found"/>
    <x v="7"/>
    <x v="24"/>
    <x v="5"/>
    <s v="Price Missing"/>
    <n v="0"/>
  </r>
  <r>
    <s v="ORD01585"/>
    <s v="CUST0460"/>
    <s v="PRD0158"/>
    <n v="10"/>
    <s v="Customer Not Found"/>
    <x v="7"/>
    <x v="24"/>
    <x v="5"/>
    <s v="Price Missing"/>
    <n v="0"/>
  </r>
  <r>
    <s v="ORD01586"/>
    <s v="CUST0271"/>
    <s v="PRD0165"/>
    <n v="3"/>
    <s v="Customer Not Found"/>
    <x v="7"/>
    <x v="24"/>
    <x v="5"/>
    <s v="Price Missing"/>
    <n v="0"/>
  </r>
  <r>
    <s v="ORD01587"/>
    <s v="CUST0035"/>
    <s v="PRD0276"/>
    <n v="4"/>
    <s v="Customer Not Found"/>
    <x v="7"/>
    <x v="24"/>
    <x v="5"/>
    <s v="Price Missing"/>
    <n v="0"/>
  </r>
  <r>
    <s v="ORD01588"/>
    <s v="CUST0178"/>
    <s v="PRD0490"/>
    <n v="5"/>
    <s v="Customer Not Found"/>
    <x v="7"/>
    <x v="24"/>
    <x v="5"/>
    <s v="Price Missing"/>
    <n v="0"/>
  </r>
  <r>
    <s v="ORD01589"/>
    <s v="CUST0400"/>
    <s v="PRD0373"/>
    <n v="6"/>
    <s v="Customer Not Found"/>
    <x v="7"/>
    <x v="24"/>
    <x v="5"/>
    <s v="Price Missing"/>
    <n v="0"/>
  </r>
  <r>
    <s v="ORD01590"/>
    <s v="CUST0834"/>
    <s v="PRD0042"/>
    <n v="3"/>
    <s v="Customer Not Found"/>
    <x v="7"/>
    <x v="24"/>
    <x v="5"/>
    <s v="Price Missing"/>
    <n v="0"/>
  </r>
  <r>
    <s v="ORD01591"/>
    <s v="CUST0889"/>
    <s v="PRD0037"/>
    <n v="7"/>
    <s v="Customer Not Found"/>
    <x v="7"/>
    <x v="24"/>
    <x v="5"/>
    <s v="Price Missing"/>
    <n v="0"/>
  </r>
  <r>
    <s v="ORD01592"/>
    <s v="CUST0986"/>
    <s v="PRD0427"/>
    <n v="2"/>
    <s v="Customer Not Found"/>
    <x v="7"/>
    <x v="24"/>
    <x v="5"/>
    <s v="Price Missing"/>
    <n v="0"/>
  </r>
  <r>
    <s v="ORD01593"/>
    <s v="CUST0886"/>
    <s v="PRD0210"/>
    <n v="4"/>
    <s v="Customer Not Found"/>
    <x v="7"/>
    <x v="24"/>
    <x v="5"/>
    <s v="Price Missing"/>
    <n v="0"/>
  </r>
  <r>
    <s v="ORD01594"/>
    <s v="CUST0947"/>
    <s v="PRD0146"/>
    <n v="3"/>
    <s v="Customer Not Found"/>
    <x v="7"/>
    <x v="24"/>
    <x v="5"/>
    <s v="Price Missing"/>
    <n v="0"/>
  </r>
  <r>
    <s v="ORD01595"/>
    <s v="CUST0653"/>
    <s v="PRD0365"/>
    <n v="7"/>
    <s v="Customer Not Found"/>
    <x v="7"/>
    <x v="24"/>
    <x v="5"/>
    <s v="Price Missing"/>
    <n v="0"/>
  </r>
  <r>
    <s v="ORD01596"/>
    <s v="CUST0769"/>
    <s v="PRD0331"/>
    <n v="1"/>
    <s v="Customer Not Found"/>
    <x v="7"/>
    <x v="24"/>
    <x v="5"/>
    <s v="Price Missing"/>
    <n v="0"/>
  </r>
  <r>
    <s v="ORD01597"/>
    <s v="CUST0680"/>
    <s v="PRD0073"/>
    <n v="9"/>
    <s v="Customer Not Found"/>
    <x v="7"/>
    <x v="24"/>
    <x v="5"/>
    <s v="Price Missing"/>
    <n v="0"/>
  </r>
  <r>
    <s v="ORD01598"/>
    <s v="CUST0486"/>
    <s v="PRD0163"/>
    <n v="1"/>
    <s v="Customer Not Found"/>
    <x v="7"/>
    <x v="24"/>
    <x v="5"/>
    <s v="Price Missing"/>
    <n v="0"/>
  </r>
  <r>
    <s v="ORD01599"/>
    <s v="CUST0348"/>
    <s v="PRD0034"/>
    <n v="6"/>
    <s v="Customer Not Found"/>
    <x v="7"/>
    <x v="24"/>
    <x v="5"/>
    <s v="Price Missing"/>
    <n v="0"/>
  </r>
  <r>
    <s v="ORD01600"/>
    <s v="CUST0328"/>
    <s v="PRD0441"/>
    <n v="9"/>
    <s v="Customer Not Found"/>
    <x v="7"/>
    <x v="24"/>
    <x v="5"/>
    <s v="Price Missing"/>
    <n v="0"/>
  </r>
  <r>
    <s v="ORD01601"/>
    <s v="CUST0309"/>
    <s v="PRD0289"/>
    <n v="1"/>
    <s v="Customer Not Found"/>
    <x v="7"/>
    <x v="24"/>
    <x v="5"/>
    <s v="Price Missing"/>
    <n v="0"/>
  </r>
  <r>
    <s v="ORD01602"/>
    <s v="CUST0848"/>
    <s v="PRD0375"/>
    <n v="10"/>
    <s v="Customer Not Found"/>
    <x v="7"/>
    <x v="24"/>
    <x v="5"/>
    <s v="Price Missing"/>
    <n v="0"/>
  </r>
  <r>
    <s v="ORD01603"/>
    <s v="CUST0360"/>
    <s v="PRD0219"/>
    <n v="1"/>
    <s v="Customer Not Found"/>
    <x v="7"/>
    <x v="24"/>
    <x v="5"/>
    <s v="Price Missing"/>
    <n v="0"/>
  </r>
  <r>
    <s v="ORD01604"/>
    <s v="CUST0814"/>
    <s v="PRD0122"/>
    <n v="7"/>
    <s v="Customer Not Found"/>
    <x v="7"/>
    <x v="24"/>
    <x v="5"/>
    <s v="Price Missing"/>
    <n v="0"/>
  </r>
  <r>
    <s v="ORD01605"/>
    <s v="CUST0165"/>
    <s v="PRD0368"/>
    <n v="5"/>
    <s v="Customer Not Found"/>
    <x v="7"/>
    <x v="24"/>
    <x v="5"/>
    <s v="Price Missing"/>
    <n v="0"/>
  </r>
  <r>
    <s v="ORD01606"/>
    <s v="CUST0411"/>
    <s v="PRD0476"/>
    <n v="6"/>
    <s v="Customer Not Found"/>
    <x v="7"/>
    <x v="24"/>
    <x v="5"/>
    <s v="Price Missing"/>
    <n v="0"/>
  </r>
  <r>
    <s v="ORD01607"/>
    <s v="CUST0281"/>
    <s v="PRD0490"/>
    <n v="6"/>
    <s v="Customer Not Found"/>
    <x v="7"/>
    <x v="24"/>
    <x v="5"/>
    <s v="Price Missing"/>
    <n v="0"/>
  </r>
  <r>
    <s v="ORD01608"/>
    <s v="CUST0433"/>
    <s v="PRD0403"/>
    <n v="8"/>
    <s v="Customer Not Found"/>
    <x v="7"/>
    <x v="24"/>
    <x v="5"/>
    <s v="Price Missing"/>
    <n v="0"/>
  </r>
  <r>
    <s v="ORD01609"/>
    <s v="CUST0942"/>
    <s v="PRD0112"/>
    <n v="3"/>
    <s v="Customer Not Found"/>
    <x v="7"/>
    <x v="24"/>
    <x v="5"/>
    <s v="Price Missing"/>
    <n v="0"/>
  </r>
  <r>
    <s v="ORD01610"/>
    <s v="CUST0052"/>
    <s v="PRD0410"/>
    <n v="4"/>
    <s v="Customer Not Found"/>
    <x v="7"/>
    <x v="24"/>
    <x v="5"/>
    <s v="Price Missing"/>
    <n v="0"/>
  </r>
  <r>
    <s v="ORD01611"/>
    <s v="CUST0540"/>
    <s v="PRD0245"/>
    <n v="8"/>
    <s v="Customer Not Found"/>
    <x v="7"/>
    <x v="24"/>
    <x v="5"/>
    <s v="Price Missing"/>
    <n v="0"/>
  </r>
  <r>
    <s v="ORD01612"/>
    <s v="CUST0533"/>
    <s v="PRD0305"/>
    <n v="1"/>
    <s v="Customer Not Found"/>
    <x v="7"/>
    <x v="24"/>
    <x v="5"/>
    <s v="Price Missing"/>
    <n v="0"/>
  </r>
  <r>
    <s v="ORD01613"/>
    <s v="CUST0876"/>
    <s v="PRD0368"/>
    <n v="9"/>
    <s v="Customer Not Found"/>
    <x v="7"/>
    <x v="24"/>
    <x v="5"/>
    <s v="Price Missing"/>
    <n v="0"/>
  </r>
  <r>
    <s v="ORD01614"/>
    <s v="CUST0158"/>
    <s v="PRD0092"/>
    <n v="6"/>
    <s v="Customer Not Found"/>
    <x v="7"/>
    <x v="24"/>
    <x v="5"/>
    <s v="Price Missing"/>
    <n v="0"/>
  </r>
  <r>
    <s v="ORD01615"/>
    <s v="CUST0042"/>
    <s v="PRD0317"/>
    <n v="1"/>
    <s v="Customer Not Found"/>
    <x v="7"/>
    <x v="24"/>
    <x v="5"/>
    <s v="Price Missing"/>
    <n v="0"/>
  </r>
  <r>
    <s v="ORD01616"/>
    <s v="CUST0725"/>
    <s v="PRD0291"/>
    <n v="7"/>
    <s v="Customer Not Found"/>
    <x v="7"/>
    <x v="24"/>
    <x v="5"/>
    <s v="Price Missing"/>
    <n v="0"/>
  </r>
  <r>
    <s v="ORD01617"/>
    <s v="CUST0521"/>
    <s v="PRD0345"/>
    <n v="10"/>
    <s v="Customer Not Found"/>
    <x v="7"/>
    <x v="24"/>
    <x v="5"/>
    <s v="Price Missing"/>
    <n v="0"/>
  </r>
  <r>
    <s v="ORD01618"/>
    <s v="CUST0416"/>
    <s v="PRD0254"/>
    <n v="8"/>
    <s v="Customer Not Found"/>
    <x v="7"/>
    <x v="24"/>
    <x v="5"/>
    <s v="Price Missing"/>
    <n v="0"/>
  </r>
  <r>
    <s v="ORD01619"/>
    <s v="CUST0200"/>
    <s v="PRD0260"/>
    <n v="9"/>
    <s v="Customer Not Found"/>
    <x v="7"/>
    <x v="24"/>
    <x v="5"/>
    <s v="Price Missing"/>
    <n v="0"/>
  </r>
  <r>
    <s v="ORD01620"/>
    <s v="CUST0503"/>
    <s v="PRD0178"/>
    <n v="5"/>
    <s v="Customer Not Found"/>
    <x v="7"/>
    <x v="24"/>
    <x v="5"/>
    <s v="Price Missing"/>
    <n v="0"/>
  </r>
  <r>
    <s v="ORD01621"/>
    <s v="CUST0785"/>
    <s v="PRD0227"/>
    <n v="1"/>
    <s v="Customer Not Found"/>
    <x v="7"/>
    <x v="24"/>
    <x v="5"/>
    <s v="Price Missing"/>
    <n v="0"/>
  </r>
  <r>
    <s v="ORD01622"/>
    <s v="CUST0995"/>
    <s v="PRD0059"/>
    <n v="9"/>
    <s v="Customer Not Found"/>
    <x v="7"/>
    <x v="24"/>
    <x v="5"/>
    <s v="Price Missing"/>
    <n v="0"/>
  </r>
  <r>
    <s v="ORD01623"/>
    <s v="CUST0956"/>
    <s v="PRD0363"/>
    <n v="9"/>
    <s v="Customer Not Found"/>
    <x v="7"/>
    <x v="24"/>
    <x v="5"/>
    <s v="Price Missing"/>
    <n v="0"/>
  </r>
  <r>
    <s v="ORD01624"/>
    <s v="CUST0938"/>
    <s v="PRD0042"/>
    <n v="2"/>
    <s v="Customer Not Found"/>
    <x v="7"/>
    <x v="24"/>
    <x v="5"/>
    <s v="Price Missing"/>
    <n v="0"/>
  </r>
  <r>
    <s v="ORD01625"/>
    <s v="CUST0983"/>
    <s v="PRD0342"/>
    <n v="10"/>
    <s v="Customer Not Found"/>
    <x v="7"/>
    <x v="24"/>
    <x v="5"/>
    <s v="Price Missing"/>
    <n v="0"/>
  </r>
  <r>
    <s v="ORD01626"/>
    <s v="CUST0256"/>
    <s v="PRD0233"/>
    <n v="10"/>
    <s v="Customer Not Found"/>
    <x v="7"/>
    <x v="24"/>
    <x v="5"/>
    <s v="Price Missing"/>
    <n v="0"/>
  </r>
  <r>
    <s v="ORD01627"/>
    <s v="CUST0460"/>
    <s v="PRD0368"/>
    <n v="6"/>
    <s v="Customer Not Found"/>
    <x v="7"/>
    <x v="24"/>
    <x v="5"/>
    <s v="Price Missing"/>
    <n v="0"/>
  </r>
  <r>
    <s v="ORD01628"/>
    <s v="CUST0612"/>
    <s v="PRD0279"/>
    <n v="3"/>
    <s v="Customer Not Found"/>
    <x v="7"/>
    <x v="24"/>
    <x v="5"/>
    <s v="Price Missing"/>
    <n v="0"/>
  </r>
  <r>
    <s v="ORD01629"/>
    <s v="CUST0321"/>
    <s v="PRD0045"/>
    <n v="8"/>
    <s v="Customer Not Found"/>
    <x v="7"/>
    <x v="24"/>
    <x v="5"/>
    <s v="Price Missing"/>
    <n v="0"/>
  </r>
  <r>
    <s v="ORD01630"/>
    <s v="CUST0603"/>
    <s v="PRD0204"/>
    <n v="2"/>
    <s v="Customer Not Found"/>
    <x v="7"/>
    <x v="24"/>
    <x v="5"/>
    <s v="Price Missing"/>
    <n v="0"/>
  </r>
  <r>
    <s v="ORD01631"/>
    <s v="CUST0305"/>
    <s v="PRD0416"/>
    <n v="1"/>
    <s v="Customer Not Found"/>
    <x v="7"/>
    <x v="24"/>
    <x v="5"/>
    <s v="Price Missing"/>
    <n v="0"/>
  </r>
  <r>
    <s v="ORD01632"/>
    <s v="CUST0792"/>
    <s v="PRD0116"/>
    <n v="7"/>
    <s v="Customer Not Found"/>
    <x v="7"/>
    <x v="24"/>
    <x v="5"/>
    <s v="Price Missing"/>
    <n v="0"/>
  </r>
  <r>
    <s v="ORD01633"/>
    <s v="CUST0486"/>
    <s v="PRD0369"/>
    <n v="1"/>
    <s v="Customer Not Found"/>
    <x v="7"/>
    <x v="24"/>
    <x v="5"/>
    <s v="Price Missing"/>
    <n v="0"/>
  </r>
  <r>
    <s v="ORD01634"/>
    <s v="CUST0034"/>
    <s v="PRD0376"/>
    <n v="2"/>
    <s v="Customer Not Found"/>
    <x v="7"/>
    <x v="24"/>
    <x v="5"/>
    <s v="Price Missing"/>
    <n v="0"/>
  </r>
  <r>
    <s v="ORD01635"/>
    <s v="CUST0388"/>
    <s v="PRD0183"/>
    <n v="10"/>
    <s v="Customer Not Found"/>
    <x v="7"/>
    <x v="24"/>
    <x v="5"/>
    <s v="Price Missing"/>
    <n v="0"/>
  </r>
  <r>
    <s v="ORD01636"/>
    <s v="CUST0604"/>
    <s v="PRD0091"/>
    <n v="6"/>
    <s v="Customer Not Found"/>
    <x v="7"/>
    <x v="24"/>
    <x v="5"/>
    <s v="Price Missing"/>
    <n v="0"/>
  </r>
  <r>
    <s v="ORD01637"/>
    <s v="CUST0064"/>
    <s v="PRD0150"/>
    <n v="6"/>
    <s v="Customer Not Found"/>
    <x v="7"/>
    <x v="24"/>
    <x v="5"/>
    <s v="Price Missing"/>
    <n v="0"/>
  </r>
  <r>
    <s v="ORD01638"/>
    <s v="CUST0338"/>
    <s v="PRD0394"/>
    <n v="10"/>
    <s v="Customer Not Found"/>
    <x v="7"/>
    <x v="24"/>
    <x v="5"/>
    <s v="Price Missing"/>
    <n v="0"/>
  </r>
  <r>
    <s v="ORD01639"/>
    <s v="CUST0179"/>
    <s v="PRD0048"/>
    <n v="10"/>
    <s v="Customer Not Found"/>
    <x v="7"/>
    <x v="24"/>
    <x v="5"/>
    <s v="Price Missing"/>
    <n v="0"/>
  </r>
  <r>
    <s v="ORD01640"/>
    <s v="CUST0980"/>
    <s v="PRD0010"/>
    <n v="7"/>
    <s v="Customer Not Found"/>
    <x v="7"/>
    <x v="24"/>
    <x v="5"/>
    <s v="Price Missing"/>
    <n v="0"/>
  </r>
  <r>
    <s v="ORD01641"/>
    <s v="CUST0628"/>
    <s v="PRD0383"/>
    <n v="4"/>
    <s v="Customer Not Found"/>
    <x v="7"/>
    <x v="24"/>
    <x v="5"/>
    <s v="Price Missing"/>
    <n v="0"/>
  </r>
  <r>
    <s v="ORD01642"/>
    <s v="CUST0492"/>
    <s v="PRD0455"/>
    <n v="1"/>
    <s v="Customer Not Found"/>
    <x v="7"/>
    <x v="24"/>
    <x v="5"/>
    <s v="Price Missing"/>
    <n v="0"/>
  </r>
  <r>
    <s v="ORD01643"/>
    <s v="CUST0193"/>
    <s v="PRD0399"/>
    <n v="8"/>
    <s v="Customer Not Found"/>
    <x v="7"/>
    <x v="24"/>
    <x v="5"/>
    <s v="Price Missing"/>
    <n v="0"/>
  </r>
  <r>
    <s v="ORD01644"/>
    <s v="CUST0900"/>
    <s v="PRD0420"/>
    <n v="1"/>
    <s v="Customer Not Found"/>
    <x v="7"/>
    <x v="24"/>
    <x v="5"/>
    <s v="Price Missing"/>
    <n v="0"/>
  </r>
  <r>
    <s v="ORD01645"/>
    <s v="CUST0594"/>
    <s v="PRD0175"/>
    <n v="9"/>
    <s v="Customer Not Found"/>
    <x v="7"/>
    <x v="24"/>
    <x v="5"/>
    <s v="Price Missing"/>
    <n v="0"/>
  </r>
  <r>
    <s v="ORD01646"/>
    <s v="CUST0219"/>
    <s v="PRD0388"/>
    <n v="9"/>
    <s v="Customer Not Found"/>
    <x v="7"/>
    <x v="24"/>
    <x v="5"/>
    <s v="Price Missing"/>
    <n v="0"/>
  </r>
  <r>
    <s v="ORD01647"/>
    <s v="CUST0110"/>
    <s v="PRD0350"/>
    <n v="8"/>
    <s v="Customer Not Found"/>
    <x v="7"/>
    <x v="24"/>
    <x v="5"/>
    <s v="Price Missing"/>
    <n v="0"/>
  </r>
  <r>
    <s v="ORD01648"/>
    <s v="CUST0794"/>
    <s v="PRD0240"/>
    <n v="1"/>
    <s v="Customer Not Found"/>
    <x v="7"/>
    <x v="24"/>
    <x v="5"/>
    <s v="Price Missing"/>
    <n v="0"/>
  </r>
  <r>
    <s v="ORD01649"/>
    <s v="CUST0109"/>
    <s v="PRD0411"/>
    <n v="3"/>
    <s v="Customer Not Found"/>
    <x v="7"/>
    <x v="24"/>
    <x v="5"/>
    <s v="Price Missing"/>
    <n v="0"/>
  </r>
  <r>
    <s v="ORD01650"/>
    <s v="CUST0316"/>
    <s v="PRD0059"/>
    <n v="6"/>
    <s v="Customer Not Found"/>
    <x v="7"/>
    <x v="24"/>
    <x v="5"/>
    <s v="Price Missing"/>
    <n v="0"/>
  </r>
  <r>
    <s v="ORD01651"/>
    <s v="CUST0429"/>
    <s v="PRD0012"/>
    <n v="9"/>
    <s v="Customer Not Found"/>
    <x v="7"/>
    <x v="24"/>
    <x v="5"/>
    <s v="Price Missing"/>
    <n v="0"/>
  </r>
  <r>
    <s v="ORD01652"/>
    <s v="CUST0650"/>
    <s v="PRD0182"/>
    <n v="7"/>
    <s v="Customer Not Found"/>
    <x v="7"/>
    <x v="24"/>
    <x v="5"/>
    <s v="Price Missing"/>
    <n v="0"/>
  </r>
  <r>
    <s v="ORD01653"/>
    <s v="CUST0182"/>
    <s v="PRD0371"/>
    <n v="3"/>
    <s v="Customer Not Found"/>
    <x v="7"/>
    <x v="24"/>
    <x v="5"/>
    <s v="Price Missing"/>
    <n v="0"/>
  </r>
  <r>
    <s v="ORD01654"/>
    <s v="CUST0242"/>
    <s v="PRD0106"/>
    <n v="4"/>
    <s v="Customer Not Found"/>
    <x v="7"/>
    <x v="24"/>
    <x v="5"/>
    <s v="Price Missing"/>
    <n v="0"/>
  </r>
  <r>
    <s v="ORD01655"/>
    <s v="CUST0218"/>
    <s v="PRD0350"/>
    <n v="7"/>
    <s v="Customer Not Found"/>
    <x v="7"/>
    <x v="24"/>
    <x v="5"/>
    <s v="Price Missing"/>
    <n v="0"/>
  </r>
  <r>
    <s v="ORD01656"/>
    <s v="CUST0877"/>
    <s v="PRD0338"/>
    <n v="5"/>
    <s v="Customer Not Found"/>
    <x v="7"/>
    <x v="24"/>
    <x v="5"/>
    <s v="Price Missing"/>
    <n v="0"/>
  </r>
  <r>
    <s v="ORD01657"/>
    <s v="CUST0258"/>
    <s v="PRD0021"/>
    <n v="10"/>
    <s v="Customer Not Found"/>
    <x v="7"/>
    <x v="24"/>
    <x v="5"/>
    <s v="Price Missing"/>
    <n v="0"/>
  </r>
  <r>
    <s v="ORD01658"/>
    <s v="CUST0760"/>
    <s v="PRD0398"/>
    <n v="8"/>
    <s v="Customer Not Found"/>
    <x v="7"/>
    <x v="24"/>
    <x v="5"/>
    <s v="Price Missing"/>
    <n v="0"/>
  </r>
  <r>
    <s v="ORD01659"/>
    <s v="CUST0925"/>
    <s v="PRD0056"/>
    <n v="1"/>
    <s v="Customer Not Found"/>
    <x v="7"/>
    <x v="24"/>
    <x v="5"/>
    <s v="Price Missing"/>
    <n v="0"/>
  </r>
  <r>
    <s v="ORD01660"/>
    <s v="CUST0814"/>
    <s v="PRD0449"/>
    <n v="7"/>
    <s v="Customer Not Found"/>
    <x v="7"/>
    <x v="24"/>
    <x v="5"/>
    <s v="Price Missing"/>
    <n v="0"/>
  </r>
  <r>
    <s v="ORD01661"/>
    <s v="CUST0441"/>
    <s v="PRD0090"/>
    <n v="4"/>
    <s v="Customer Not Found"/>
    <x v="7"/>
    <x v="24"/>
    <x v="5"/>
    <s v="Price Missing"/>
    <n v="0"/>
  </r>
  <r>
    <s v="ORD01662"/>
    <s v="CUST0690"/>
    <s v="PRD0204"/>
    <n v="4"/>
    <s v="Customer Not Found"/>
    <x v="7"/>
    <x v="24"/>
    <x v="5"/>
    <s v="Price Missing"/>
    <n v="0"/>
  </r>
  <r>
    <s v="ORD01663"/>
    <s v="CUST0187"/>
    <s v="PRD0363"/>
    <n v="4"/>
    <s v="Customer Not Found"/>
    <x v="7"/>
    <x v="24"/>
    <x v="5"/>
    <s v="Price Missing"/>
    <n v="0"/>
  </r>
  <r>
    <s v="ORD01664"/>
    <s v="CUST0326"/>
    <s v="PRD0161"/>
    <n v="5"/>
    <s v="Customer Not Found"/>
    <x v="7"/>
    <x v="24"/>
    <x v="5"/>
    <s v="Price Missing"/>
    <n v="0"/>
  </r>
  <r>
    <s v="ORD01665"/>
    <s v="CUST0709"/>
    <s v="PRD0340"/>
    <n v="5"/>
    <s v="Customer Not Found"/>
    <x v="7"/>
    <x v="24"/>
    <x v="5"/>
    <s v="Price Missing"/>
    <n v="0"/>
  </r>
  <r>
    <s v="ORD01666"/>
    <s v="CUST0293"/>
    <s v="PRD0473"/>
    <n v="9"/>
    <s v="Customer Not Found"/>
    <x v="7"/>
    <x v="24"/>
    <x v="5"/>
    <s v="Price Missing"/>
    <n v="0"/>
  </r>
  <r>
    <s v="ORD01667"/>
    <s v="CUST0768"/>
    <s v="PRD0031"/>
    <n v="9"/>
    <s v="Customer Not Found"/>
    <x v="7"/>
    <x v="24"/>
    <x v="5"/>
    <s v="Price Missing"/>
    <n v="0"/>
  </r>
  <r>
    <s v="ORD01668"/>
    <s v="CUST0302"/>
    <s v="PRD0285"/>
    <n v="1"/>
    <s v="Customer Not Found"/>
    <x v="7"/>
    <x v="24"/>
    <x v="5"/>
    <s v="Price Missing"/>
    <n v="0"/>
  </r>
  <r>
    <s v="ORD01669"/>
    <s v="CUST0315"/>
    <s v="PRD0096"/>
    <n v="3"/>
    <s v="Customer Not Found"/>
    <x v="7"/>
    <x v="24"/>
    <x v="5"/>
    <s v="Price Missing"/>
    <n v="0"/>
  </r>
  <r>
    <s v="ORD01670"/>
    <s v="CUST0676"/>
    <s v="PRD0080"/>
    <n v="10"/>
    <s v="Customer Not Found"/>
    <x v="7"/>
    <x v="24"/>
    <x v="5"/>
    <s v="Price Missing"/>
    <n v="0"/>
  </r>
  <r>
    <s v="ORD01671"/>
    <s v="CUST0170"/>
    <s v="PRD0239"/>
    <n v="3"/>
    <s v="Customer Not Found"/>
    <x v="7"/>
    <x v="24"/>
    <x v="5"/>
    <s v="Price Missing"/>
    <n v="0"/>
  </r>
  <r>
    <s v="ORD01672"/>
    <s v="CUST0137"/>
    <s v="PRD0211"/>
    <n v="9"/>
    <s v="Customer Not Found"/>
    <x v="7"/>
    <x v="24"/>
    <x v="5"/>
    <s v="Price Missing"/>
    <n v="0"/>
  </r>
  <r>
    <s v="ORD01673"/>
    <s v="CUST0126"/>
    <s v="PRD0402"/>
    <n v="9"/>
    <s v="Customer Not Found"/>
    <x v="7"/>
    <x v="24"/>
    <x v="5"/>
    <s v="Price Missing"/>
    <n v="0"/>
  </r>
  <r>
    <s v="ORD01674"/>
    <s v="CUST0813"/>
    <s v="PRD0162"/>
    <n v="10"/>
    <s v="Customer Not Found"/>
    <x v="7"/>
    <x v="24"/>
    <x v="5"/>
    <s v="Price Missing"/>
    <n v="0"/>
  </r>
  <r>
    <s v="ORD01675"/>
    <s v="CUST0200"/>
    <s v="PRD0361"/>
    <n v="6"/>
    <s v="Customer Not Found"/>
    <x v="7"/>
    <x v="24"/>
    <x v="5"/>
    <s v="Price Missing"/>
    <n v="0"/>
  </r>
  <r>
    <s v="ORD01676"/>
    <s v="CUST0087"/>
    <s v="PRD0436"/>
    <n v="3"/>
    <s v="Customer Not Found"/>
    <x v="7"/>
    <x v="24"/>
    <x v="5"/>
    <s v="Price Missing"/>
    <n v="0"/>
  </r>
  <r>
    <s v="ORD01677"/>
    <s v="CUST0856"/>
    <s v="PRD0173"/>
    <n v="3"/>
    <s v="Customer Not Found"/>
    <x v="7"/>
    <x v="24"/>
    <x v="5"/>
    <s v="Price Missing"/>
    <n v="0"/>
  </r>
  <r>
    <s v="ORD01678"/>
    <s v="CUST0167"/>
    <s v="PRD0493"/>
    <n v="10"/>
    <s v="Customer Not Found"/>
    <x v="7"/>
    <x v="24"/>
    <x v="5"/>
    <s v="Price Missing"/>
    <n v="0"/>
  </r>
  <r>
    <s v="ORD01679"/>
    <s v="CUST0465"/>
    <s v="PRD0250"/>
    <n v="7"/>
    <s v="Customer Not Found"/>
    <x v="7"/>
    <x v="24"/>
    <x v="5"/>
    <s v="Price Missing"/>
    <n v="0"/>
  </r>
  <r>
    <s v="ORD01680"/>
    <s v="CUST0810"/>
    <s v="PRD0310"/>
    <n v="1"/>
    <s v="Customer Not Found"/>
    <x v="7"/>
    <x v="24"/>
    <x v="5"/>
    <s v="Price Missing"/>
    <n v="0"/>
  </r>
  <r>
    <s v="ORD01681"/>
    <s v="CUST0146"/>
    <s v="PRD0090"/>
    <n v="8"/>
    <s v="Customer Not Found"/>
    <x v="7"/>
    <x v="24"/>
    <x v="5"/>
    <s v="Price Missing"/>
    <n v="0"/>
  </r>
  <r>
    <s v="ORD01682"/>
    <s v="CUST0504"/>
    <s v="PRD0028"/>
    <n v="1"/>
    <s v="Customer Not Found"/>
    <x v="7"/>
    <x v="24"/>
    <x v="5"/>
    <s v="Price Missing"/>
    <n v="0"/>
  </r>
  <r>
    <s v="ORD01683"/>
    <s v="CUST0293"/>
    <s v="PRD0330"/>
    <n v="1"/>
    <s v="Customer Not Found"/>
    <x v="7"/>
    <x v="24"/>
    <x v="5"/>
    <s v="Price Missing"/>
    <n v="0"/>
  </r>
  <r>
    <s v="ORD01684"/>
    <s v="CUST0710"/>
    <s v="PRD0490"/>
    <n v="4"/>
    <s v="Customer Not Found"/>
    <x v="7"/>
    <x v="24"/>
    <x v="5"/>
    <s v="Price Missing"/>
    <n v="0"/>
  </r>
  <r>
    <s v="ORD01685"/>
    <s v="CUST0207"/>
    <s v="PRD0161"/>
    <n v="10"/>
    <s v="Customer Not Found"/>
    <x v="7"/>
    <x v="24"/>
    <x v="5"/>
    <s v="Price Missing"/>
    <n v="0"/>
  </r>
  <r>
    <s v="ORD01686"/>
    <s v="CUST0392"/>
    <s v="PRD0335"/>
    <n v="5"/>
    <s v="Customer Not Found"/>
    <x v="7"/>
    <x v="24"/>
    <x v="5"/>
    <s v="Price Missing"/>
    <n v="0"/>
  </r>
  <r>
    <s v="ORD01687"/>
    <s v="CUST0242"/>
    <s v="PRD0324"/>
    <n v="6"/>
    <s v="Customer Not Found"/>
    <x v="7"/>
    <x v="24"/>
    <x v="5"/>
    <s v="Price Missing"/>
    <n v="0"/>
  </r>
  <r>
    <s v="ORD01688"/>
    <s v="CUST0141"/>
    <s v="PRD0490"/>
    <n v="6"/>
    <s v="Customer Not Found"/>
    <x v="7"/>
    <x v="24"/>
    <x v="5"/>
    <s v="Price Missing"/>
    <n v="0"/>
  </r>
  <r>
    <s v="ORD01689"/>
    <s v="CUST0125"/>
    <s v="PRD0407"/>
    <n v="2"/>
    <s v="Customer Not Found"/>
    <x v="7"/>
    <x v="24"/>
    <x v="5"/>
    <s v="Price Missing"/>
    <n v="0"/>
  </r>
  <r>
    <s v="ORD01690"/>
    <s v="CUST0864"/>
    <s v="PRD0090"/>
    <n v="2"/>
    <s v="Customer Not Found"/>
    <x v="7"/>
    <x v="24"/>
    <x v="5"/>
    <s v="Price Missing"/>
    <n v="0"/>
  </r>
  <r>
    <s v="ORD01691"/>
    <s v="CUST0221"/>
    <s v="PRD0308"/>
    <n v="1"/>
    <s v="Customer Not Found"/>
    <x v="7"/>
    <x v="24"/>
    <x v="5"/>
    <s v="Price Missing"/>
    <n v="0"/>
  </r>
  <r>
    <s v="ORD01692"/>
    <s v="CUST0470"/>
    <s v="PRD0304"/>
    <n v="4"/>
    <s v="Customer Not Found"/>
    <x v="7"/>
    <x v="24"/>
    <x v="5"/>
    <s v="Price Missing"/>
    <n v="0"/>
  </r>
  <r>
    <s v="ORD01693"/>
    <s v="CUST0783"/>
    <s v="PRD0471"/>
    <n v="5"/>
    <s v="Customer Not Found"/>
    <x v="7"/>
    <x v="24"/>
    <x v="5"/>
    <s v="Price Missing"/>
    <n v="0"/>
  </r>
  <r>
    <s v="ORD01694"/>
    <s v="CUST0791"/>
    <s v="PRD0406"/>
    <n v="8"/>
    <s v="Customer Not Found"/>
    <x v="7"/>
    <x v="24"/>
    <x v="5"/>
    <s v="Price Missing"/>
    <n v="0"/>
  </r>
  <r>
    <s v="ORD01695"/>
    <s v="CUST0223"/>
    <s v="PRD0364"/>
    <n v="8"/>
    <s v="Customer Not Found"/>
    <x v="7"/>
    <x v="24"/>
    <x v="5"/>
    <s v="Price Missing"/>
    <n v="0"/>
  </r>
  <r>
    <s v="ORD01696"/>
    <s v="CUST0250"/>
    <s v="PRD0237"/>
    <n v="8"/>
    <s v="Customer Not Found"/>
    <x v="7"/>
    <x v="24"/>
    <x v="5"/>
    <s v="Price Missing"/>
    <n v="0"/>
  </r>
  <r>
    <s v="ORD01697"/>
    <s v="CUST0613"/>
    <s v="PRD0141"/>
    <n v="5"/>
    <s v="Customer Not Found"/>
    <x v="7"/>
    <x v="24"/>
    <x v="5"/>
    <s v="Price Missing"/>
    <n v="0"/>
  </r>
  <r>
    <s v="ORD01698"/>
    <s v="CUST0530"/>
    <s v="PRD0379"/>
    <n v="6"/>
    <s v="Customer Not Found"/>
    <x v="7"/>
    <x v="24"/>
    <x v="5"/>
    <s v="Price Missing"/>
    <n v="0"/>
  </r>
  <r>
    <s v="ORD01699"/>
    <s v="CUST0460"/>
    <s v="PRD0135"/>
    <n v="4"/>
    <s v="Customer Not Found"/>
    <x v="7"/>
    <x v="24"/>
    <x v="5"/>
    <s v="Price Missing"/>
    <n v="0"/>
  </r>
  <r>
    <s v="ORD01700"/>
    <s v="CUST0506"/>
    <s v="PRD0020"/>
    <n v="7"/>
    <s v="Customer Not Found"/>
    <x v="7"/>
    <x v="24"/>
    <x v="5"/>
    <s v="Price Missing"/>
    <n v="0"/>
  </r>
  <r>
    <s v="ORD01701"/>
    <s v="CUST0321"/>
    <s v="PRD0074"/>
    <n v="1"/>
    <s v="Customer Not Found"/>
    <x v="7"/>
    <x v="24"/>
    <x v="5"/>
    <s v="Price Missing"/>
    <n v="0"/>
  </r>
  <r>
    <s v="ORD01702"/>
    <s v="CUST0308"/>
    <s v="PRD0435"/>
    <n v="2"/>
    <s v="Customer Not Found"/>
    <x v="7"/>
    <x v="24"/>
    <x v="5"/>
    <s v="Price Missing"/>
    <n v="0"/>
  </r>
  <r>
    <s v="ORD01703"/>
    <s v="CUST0344"/>
    <s v="PRD0230"/>
    <n v="7"/>
    <s v="Customer Not Found"/>
    <x v="7"/>
    <x v="24"/>
    <x v="5"/>
    <s v="Price Missing"/>
    <n v="0"/>
  </r>
  <r>
    <s v="ORD01704"/>
    <s v="CUST0029"/>
    <s v="PRD0194"/>
    <n v="9"/>
    <s v="Customer Not Found"/>
    <x v="7"/>
    <x v="24"/>
    <x v="5"/>
    <s v="Price Missing"/>
    <n v="0"/>
  </r>
  <r>
    <s v="ORD01705"/>
    <s v="CUST0967"/>
    <s v="PRD0181"/>
    <n v="10"/>
    <s v="Customer Not Found"/>
    <x v="7"/>
    <x v="24"/>
    <x v="5"/>
    <s v="Price Missing"/>
    <n v="0"/>
  </r>
  <r>
    <s v="ORD01706"/>
    <s v="CUST0433"/>
    <s v="PRD0197"/>
    <n v="5"/>
    <s v="Customer Not Found"/>
    <x v="7"/>
    <x v="24"/>
    <x v="5"/>
    <s v="Price Missing"/>
    <n v="0"/>
  </r>
  <r>
    <s v="ORD01707"/>
    <s v="CUST0492"/>
    <s v="PRD0061"/>
    <n v="4"/>
    <s v="Customer Not Found"/>
    <x v="7"/>
    <x v="24"/>
    <x v="5"/>
    <s v="Price Missing"/>
    <n v="0"/>
  </r>
  <r>
    <s v="ORD01708"/>
    <s v="CUST0764"/>
    <s v="PRD0120"/>
    <n v="4"/>
    <s v="Customer Not Found"/>
    <x v="7"/>
    <x v="24"/>
    <x v="5"/>
    <s v="Price Missing"/>
    <n v="0"/>
  </r>
  <r>
    <s v="ORD01709"/>
    <s v="CUST0663"/>
    <s v="PRD0142"/>
    <n v="10"/>
    <s v="Customer Not Found"/>
    <x v="7"/>
    <x v="24"/>
    <x v="5"/>
    <s v="Price Missing"/>
    <n v="0"/>
  </r>
  <r>
    <s v="ORD01710"/>
    <s v="CUST0927"/>
    <s v="PRD0412"/>
    <n v="6"/>
    <s v="Customer Not Found"/>
    <x v="7"/>
    <x v="24"/>
    <x v="5"/>
    <s v="Price Missing"/>
    <n v="0"/>
  </r>
  <r>
    <s v="ORD01711"/>
    <s v="CUST0499"/>
    <s v="PRD0180"/>
    <n v="5"/>
    <s v="Customer Not Found"/>
    <x v="7"/>
    <x v="24"/>
    <x v="5"/>
    <s v="Price Missing"/>
    <n v="0"/>
  </r>
  <r>
    <s v="ORD01712"/>
    <s v="CUST0512"/>
    <s v="PRD0271"/>
    <n v="2"/>
    <s v="Customer Not Found"/>
    <x v="7"/>
    <x v="24"/>
    <x v="5"/>
    <s v="Price Missing"/>
    <n v="0"/>
  </r>
  <r>
    <s v="ORD01713"/>
    <s v="CUST0472"/>
    <s v="PRD0483"/>
    <n v="10"/>
    <s v="Customer Not Found"/>
    <x v="7"/>
    <x v="24"/>
    <x v="5"/>
    <s v="Price Missing"/>
    <n v="0"/>
  </r>
  <r>
    <s v="ORD01714"/>
    <s v="CUST0929"/>
    <s v="PRD0198"/>
    <n v="1"/>
    <s v="Customer Not Found"/>
    <x v="7"/>
    <x v="24"/>
    <x v="5"/>
    <s v="Price Missing"/>
    <n v="0"/>
  </r>
  <r>
    <s v="ORD01715"/>
    <s v="CUST0831"/>
    <s v="PRD0402"/>
    <n v="8"/>
    <s v="Customer Not Found"/>
    <x v="7"/>
    <x v="24"/>
    <x v="5"/>
    <s v="Price Missing"/>
    <n v="0"/>
  </r>
  <r>
    <s v="ORD01716"/>
    <s v="CUST0593"/>
    <s v="PRD0031"/>
    <n v="7"/>
    <s v="Customer Not Found"/>
    <x v="7"/>
    <x v="24"/>
    <x v="5"/>
    <s v="Price Missing"/>
    <n v="0"/>
  </r>
  <r>
    <s v="ORD01717"/>
    <s v="CUST0740"/>
    <s v="PRD0125"/>
    <n v="4"/>
    <s v="Customer Not Found"/>
    <x v="7"/>
    <x v="24"/>
    <x v="5"/>
    <s v="Price Missing"/>
    <n v="0"/>
  </r>
  <r>
    <s v="ORD01718"/>
    <s v="CUST0980"/>
    <s v="PRD0138"/>
    <n v="2"/>
    <s v="Customer Not Found"/>
    <x v="7"/>
    <x v="24"/>
    <x v="5"/>
    <s v="Price Missing"/>
    <n v="0"/>
  </r>
  <r>
    <s v="ORD01719"/>
    <s v="CUST0501"/>
    <s v="PRD0108"/>
    <n v="5"/>
    <s v="Customer Not Found"/>
    <x v="7"/>
    <x v="24"/>
    <x v="5"/>
    <s v="Price Missing"/>
    <n v="0"/>
  </r>
  <r>
    <s v="ORD01720"/>
    <s v="CUST0135"/>
    <s v="PRD0461"/>
    <n v="1"/>
    <s v="Customer Not Found"/>
    <x v="7"/>
    <x v="24"/>
    <x v="5"/>
    <s v="Price Missing"/>
    <n v="0"/>
  </r>
  <r>
    <s v="ORD01721"/>
    <s v="CUST0268"/>
    <s v="PRD0447"/>
    <n v="5"/>
    <s v="Customer Not Found"/>
    <x v="7"/>
    <x v="24"/>
    <x v="5"/>
    <s v="Price Missing"/>
    <n v="0"/>
  </r>
  <r>
    <s v="ORD01722"/>
    <s v="CUST0705"/>
    <s v="PRD0153"/>
    <n v="3"/>
    <s v="Customer Not Found"/>
    <x v="7"/>
    <x v="24"/>
    <x v="5"/>
    <s v="Price Missing"/>
    <n v="0"/>
  </r>
  <r>
    <s v="ORD01723"/>
    <s v="CUST0161"/>
    <s v="PRD0098"/>
    <n v="10"/>
    <s v="Customer Not Found"/>
    <x v="7"/>
    <x v="24"/>
    <x v="5"/>
    <s v="Price Missing"/>
    <n v="0"/>
  </r>
  <r>
    <s v="ORD01724"/>
    <s v="CUST0252"/>
    <s v="PRD0444"/>
    <n v="6"/>
    <s v="Customer Not Found"/>
    <x v="7"/>
    <x v="24"/>
    <x v="5"/>
    <s v="Price Missing"/>
    <n v="0"/>
  </r>
  <r>
    <s v="ORD01725"/>
    <s v="CUST0442"/>
    <s v="PRD0216"/>
    <n v="10"/>
    <s v="Customer Not Found"/>
    <x v="7"/>
    <x v="24"/>
    <x v="5"/>
    <s v="Price Missing"/>
    <n v="0"/>
  </r>
  <r>
    <s v="ORD01726"/>
    <s v="CUST0105"/>
    <s v="PRD0321"/>
    <n v="6"/>
    <s v="Customer Not Found"/>
    <x v="7"/>
    <x v="24"/>
    <x v="5"/>
    <s v="Price Missing"/>
    <n v="0"/>
  </r>
  <r>
    <s v="ORD01727"/>
    <s v="CUST0015"/>
    <s v="PRD0073"/>
    <n v="8"/>
    <s v="Customer Not Found"/>
    <x v="7"/>
    <x v="24"/>
    <x v="5"/>
    <s v="Price Missing"/>
    <n v="0"/>
  </r>
  <r>
    <s v="ORD01728"/>
    <s v="CUST0060"/>
    <s v="PRD0302"/>
    <n v="5"/>
    <s v="Customer Not Found"/>
    <x v="7"/>
    <x v="24"/>
    <x v="5"/>
    <s v="Price Missing"/>
    <n v="0"/>
  </r>
  <r>
    <s v="ORD01729"/>
    <s v="CUST0938"/>
    <s v="PRD0369"/>
    <n v="2"/>
    <s v="Customer Not Found"/>
    <x v="7"/>
    <x v="24"/>
    <x v="5"/>
    <s v="Price Missing"/>
    <n v="0"/>
  </r>
  <r>
    <s v="ORD01730"/>
    <s v="CUST0257"/>
    <s v="PRD0098"/>
    <n v="9"/>
    <s v="Customer Not Found"/>
    <x v="7"/>
    <x v="24"/>
    <x v="5"/>
    <s v="Price Missing"/>
    <n v="0"/>
  </r>
  <r>
    <s v="ORD01731"/>
    <s v="CUST0196"/>
    <s v="PRD0323"/>
    <n v="10"/>
    <s v="Customer Not Found"/>
    <x v="7"/>
    <x v="24"/>
    <x v="5"/>
    <s v="Price Missing"/>
    <n v="0"/>
  </r>
  <r>
    <s v="ORD01732"/>
    <s v="CUST0419"/>
    <s v="PRD0333"/>
    <n v="8"/>
    <s v="Customer Not Found"/>
    <x v="7"/>
    <x v="24"/>
    <x v="5"/>
    <s v="Price Missing"/>
    <n v="0"/>
  </r>
  <r>
    <s v="ORD01733"/>
    <s v="CUST0714"/>
    <s v="PRD0025"/>
    <n v="6"/>
    <s v="Customer Not Found"/>
    <x v="7"/>
    <x v="24"/>
    <x v="5"/>
    <s v="Price Missing"/>
    <n v="0"/>
  </r>
  <r>
    <s v="ORD01734"/>
    <s v="CUST0949"/>
    <s v="PRD0123"/>
    <n v="7"/>
    <s v="Customer Not Found"/>
    <x v="7"/>
    <x v="24"/>
    <x v="5"/>
    <s v="Price Missing"/>
    <n v="0"/>
  </r>
  <r>
    <s v="ORD01735"/>
    <s v="CUST0980"/>
    <s v="PRD0204"/>
    <n v="4"/>
    <s v="Customer Not Found"/>
    <x v="7"/>
    <x v="24"/>
    <x v="5"/>
    <s v="Price Missing"/>
    <n v="0"/>
  </r>
  <r>
    <s v="ORD01736"/>
    <s v="CUST0282"/>
    <s v="PRD0073"/>
    <n v="3"/>
    <s v="Customer Not Found"/>
    <x v="7"/>
    <x v="24"/>
    <x v="5"/>
    <s v="Price Missing"/>
    <n v="0"/>
  </r>
  <r>
    <s v="ORD01737"/>
    <s v="CUST0392"/>
    <s v="PRD0189"/>
    <n v="6"/>
    <s v="Customer Not Found"/>
    <x v="7"/>
    <x v="24"/>
    <x v="5"/>
    <s v="Price Missing"/>
    <n v="0"/>
  </r>
  <r>
    <s v="ORD01738"/>
    <s v="CUST0978"/>
    <s v="PRD0172"/>
    <n v="4"/>
    <s v="Customer Not Found"/>
    <x v="7"/>
    <x v="24"/>
    <x v="5"/>
    <s v="Price Missing"/>
    <n v="0"/>
  </r>
  <r>
    <s v="ORD01739"/>
    <s v="CUST0037"/>
    <s v="PRD0135"/>
    <n v="5"/>
    <s v="Customer Not Found"/>
    <x v="7"/>
    <x v="24"/>
    <x v="5"/>
    <s v="Price Missing"/>
    <n v="0"/>
  </r>
  <r>
    <s v="ORD01740"/>
    <s v="CUST0538"/>
    <s v="PRD0037"/>
    <n v="1"/>
    <s v="Customer Not Found"/>
    <x v="7"/>
    <x v="24"/>
    <x v="5"/>
    <s v="Price Missing"/>
    <n v="0"/>
  </r>
  <r>
    <s v="ORD01741"/>
    <s v="CUST0696"/>
    <s v="PRD0065"/>
    <n v="2"/>
    <s v="Customer Not Found"/>
    <x v="7"/>
    <x v="24"/>
    <x v="5"/>
    <s v="Price Missing"/>
    <n v="0"/>
  </r>
  <r>
    <s v="ORD01742"/>
    <s v="CUST0291"/>
    <s v="PRD0010"/>
    <n v="7"/>
    <s v="Customer Not Found"/>
    <x v="7"/>
    <x v="24"/>
    <x v="5"/>
    <s v="Price Missing"/>
    <n v="0"/>
  </r>
  <r>
    <s v="ORD01743"/>
    <s v="CUST0209"/>
    <s v="PRD0014"/>
    <n v="1"/>
    <s v="Customer Not Found"/>
    <x v="7"/>
    <x v="24"/>
    <x v="5"/>
    <s v="Price Missing"/>
    <n v="0"/>
  </r>
  <r>
    <s v="ORD01744"/>
    <s v="CUST0681"/>
    <s v="PRD0395"/>
    <n v="10"/>
    <s v="Customer Not Found"/>
    <x v="7"/>
    <x v="24"/>
    <x v="5"/>
    <s v="Price Missing"/>
    <n v="0"/>
  </r>
  <r>
    <s v="ORD01745"/>
    <s v="CUST0931"/>
    <s v="PRD0192"/>
    <n v="6"/>
    <s v="Customer Not Found"/>
    <x v="7"/>
    <x v="24"/>
    <x v="5"/>
    <s v="Price Missing"/>
    <n v="0"/>
  </r>
  <r>
    <s v="ORD01746"/>
    <s v="CUST0648"/>
    <s v="PRD0484"/>
    <n v="9"/>
    <s v="Customer Not Found"/>
    <x v="7"/>
    <x v="24"/>
    <x v="5"/>
    <s v="Price Missing"/>
    <n v="0"/>
  </r>
  <r>
    <s v="ORD01747"/>
    <s v="CUST0347"/>
    <s v="PRD0448"/>
    <n v="5"/>
    <s v="Customer Not Found"/>
    <x v="7"/>
    <x v="24"/>
    <x v="5"/>
    <s v="Price Missing"/>
    <n v="0"/>
  </r>
  <r>
    <s v="ORD01748"/>
    <s v="CUST0229"/>
    <s v="PRD0126"/>
    <n v="3"/>
    <s v="Customer Not Found"/>
    <x v="7"/>
    <x v="24"/>
    <x v="5"/>
    <s v="Price Missing"/>
    <n v="0"/>
  </r>
  <r>
    <s v="ORD01749"/>
    <s v="CUST0085"/>
    <s v="PRD0228"/>
    <n v="10"/>
    <s v="Customer Not Found"/>
    <x v="7"/>
    <x v="24"/>
    <x v="5"/>
    <s v="Price Missing"/>
    <n v="0"/>
  </r>
  <r>
    <s v="ORD01750"/>
    <s v="CUST0259"/>
    <s v="PRD0024"/>
    <n v="4"/>
    <s v="Customer Not Found"/>
    <x v="7"/>
    <x v="24"/>
    <x v="5"/>
    <s v="Price Missing"/>
    <n v="0"/>
  </r>
  <r>
    <s v="ORD01751"/>
    <s v="CUST0030"/>
    <s v="PRD0182"/>
    <n v="5"/>
    <s v="Customer Not Found"/>
    <x v="7"/>
    <x v="24"/>
    <x v="5"/>
    <s v="Price Missing"/>
    <n v="0"/>
  </r>
  <r>
    <s v="ORD01752"/>
    <s v="CUST0233"/>
    <s v="PRD0075"/>
    <n v="7"/>
    <s v="Customer Not Found"/>
    <x v="7"/>
    <x v="24"/>
    <x v="5"/>
    <s v="Price Missing"/>
    <n v="0"/>
  </r>
  <r>
    <s v="ORD01753"/>
    <s v="CUST0780"/>
    <s v="PRD0142"/>
    <n v="6"/>
    <s v="Customer Not Found"/>
    <x v="7"/>
    <x v="24"/>
    <x v="5"/>
    <s v="Price Missing"/>
    <n v="0"/>
  </r>
  <r>
    <s v="ORD01754"/>
    <s v="CUST0949"/>
    <s v="PRD0482"/>
    <n v="8"/>
    <s v="Customer Not Found"/>
    <x v="7"/>
    <x v="24"/>
    <x v="5"/>
    <s v="Price Missing"/>
    <n v="0"/>
  </r>
  <r>
    <s v="ORD01755"/>
    <s v="CUST0557"/>
    <s v="PRD0063"/>
    <n v="2"/>
    <s v="Customer Not Found"/>
    <x v="7"/>
    <x v="24"/>
    <x v="5"/>
    <s v="Price Missing"/>
    <n v="0"/>
  </r>
  <r>
    <s v="ORD01756"/>
    <s v="CUST0104"/>
    <s v="PRD0012"/>
    <n v="8"/>
    <s v="Customer Not Found"/>
    <x v="7"/>
    <x v="24"/>
    <x v="5"/>
    <s v="Price Missing"/>
    <n v="0"/>
  </r>
  <r>
    <s v="ORD01757"/>
    <s v="CUST0858"/>
    <s v="PRD0459"/>
    <n v="6"/>
    <s v="Customer Not Found"/>
    <x v="7"/>
    <x v="24"/>
    <x v="5"/>
    <s v="Price Missing"/>
    <n v="0"/>
  </r>
  <r>
    <s v="ORD01758"/>
    <s v="CUST0357"/>
    <s v="PRD0242"/>
    <n v="5"/>
    <s v="Customer Not Found"/>
    <x v="7"/>
    <x v="24"/>
    <x v="5"/>
    <s v="Price Missing"/>
    <n v="0"/>
  </r>
  <r>
    <s v="ORD01759"/>
    <s v="CUST0220"/>
    <s v="PRD0065"/>
    <n v="8"/>
    <s v="Customer Not Found"/>
    <x v="7"/>
    <x v="24"/>
    <x v="5"/>
    <s v="Price Missing"/>
    <n v="0"/>
  </r>
  <r>
    <s v="ORD01760"/>
    <s v="CUST0442"/>
    <s v="PRD0371"/>
    <n v="5"/>
    <s v="Customer Not Found"/>
    <x v="7"/>
    <x v="24"/>
    <x v="5"/>
    <s v="Price Missing"/>
    <n v="0"/>
  </r>
  <r>
    <s v="ORD01761"/>
    <s v="CUST0240"/>
    <s v="PRD0436"/>
    <n v="7"/>
    <s v="Customer Not Found"/>
    <x v="7"/>
    <x v="24"/>
    <x v="5"/>
    <s v="Price Missing"/>
    <n v="0"/>
  </r>
  <r>
    <s v="ORD01762"/>
    <s v="CUST0767"/>
    <s v="PRD0416"/>
    <n v="8"/>
    <s v="Customer Not Found"/>
    <x v="7"/>
    <x v="24"/>
    <x v="5"/>
    <s v="Price Missing"/>
    <n v="0"/>
  </r>
  <r>
    <s v="ORD01763"/>
    <s v="CUST0709"/>
    <s v="PRD0087"/>
    <n v="10"/>
    <s v="Customer Not Found"/>
    <x v="7"/>
    <x v="24"/>
    <x v="5"/>
    <s v="Price Missing"/>
    <n v="0"/>
  </r>
  <r>
    <s v="ORD01764"/>
    <s v="CUST0534"/>
    <s v="PRD0481"/>
    <n v="7"/>
    <s v="Customer Not Found"/>
    <x v="7"/>
    <x v="24"/>
    <x v="5"/>
    <s v="Price Missing"/>
    <n v="0"/>
  </r>
  <r>
    <s v="ORD01765"/>
    <s v="CUST0522"/>
    <s v="PRD0422"/>
    <n v="1"/>
    <s v="Customer Not Found"/>
    <x v="7"/>
    <x v="24"/>
    <x v="5"/>
    <s v="Price Missing"/>
    <n v="0"/>
  </r>
  <r>
    <s v="ORD01766"/>
    <s v="CUST0140"/>
    <s v="PRD0345"/>
    <n v="6"/>
    <s v="Customer Not Found"/>
    <x v="7"/>
    <x v="24"/>
    <x v="5"/>
    <s v="Price Missing"/>
    <n v="0"/>
  </r>
  <r>
    <s v="ORD01767"/>
    <s v="CUST0922"/>
    <s v="PRD0250"/>
    <n v="4"/>
    <s v="Customer Not Found"/>
    <x v="7"/>
    <x v="24"/>
    <x v="5"/>
    <s v="Price Missing"/>
    <n v="0"/>
  </r>
  <r>
    <s v="ORD01768"/>
    <s v="CUST0861"/>
    <s v="PRD0488"/>
    <n v="5"/>
    <s v="Customer Not Found"/>
    <x v="7"/>
    <x v="24"/>
    <x v="5"/>
    <s v="Price Missing"/>
    <n v="0"/>
  </r>
  <r>
    <s v="ORD01769"/>
    <s v="CUST0589"/>
    <s v="PRD0292"/>
    <n v="6"/>
    <s v="Customer Not Found"/>
    <x v="7"/>
    <x v="24"/>
    <x v="5"/>
    <s v="Price Missing"/>
    <n v="0"/>
  </r>
  <r>
    <s v="ORD01770"/>
    <s v="CUST0879"/>
    <s v="PRD0248"/>
    <n v="10"/>
    <s v="Customer Not Found"/>
    <x v="7"/>
    <x v="24"/>
    <x v="5"/>
    <s v="Price Missing"/>
    <n v="0"/>
  </r>
  <r>
    <s v="ORD01771"/>
    <s v="CUST0987"/>
    <s v="PRD0064"/>
    <n v="10"/>
    <s v="Customer Not Found"/>
    <x v="7"/>
    <x v="24"/>
    <x v="5"/>
    <s v="Price Missing"/>
    <n v="0"/>
  </r>
  <r>
    <s v="ORD01772"/>
    <s v="CUST0240"/>
    <s v="PRD0180"/>
    <n v="3"/>
    <s v="Customer Not Found"/>
    <x v="7"/>
    <x v="24"/>
    <x v="5"/>
    <s v="Price Missing"/>
    <n v="0"/>
  </r>
  <r>
    <s v="ORD01773"/>
    <s v="CUST0925"/>
    <s v="PRD0137"/>
    <n v="1"/>
    <s v="Customer Not Found"/>
    <x v="7"/>
    <x v="24"/>
    <x v="5"/>
    <s v="Price Missing"/>
    <n v="0"/>
  </r>
  <r>
    <s v="ORD01774"/>
    <s v="CUST0156"/>
    <s v="PRD0464"/>
    <n v="6"/>
    <s v="Customer Not Found"/>
    <x v="7"/>
    <x v="24"/>
    <x v="5"/>
    <s v="Price Missing"/>
    <n v="0"/>
  </r>
  <r>
    <s v="ORD01775"/>
    <s v="CUST0144"/>
    <s v="PRD0110"/>
    <n v="4"/>
    <s v="Customer Not Found"/>
    <x v="7"/>
    <x v="24"/>
    <x v="5"/>
    <s v="Price Missing"/>
    <n v="0"/>
  </r>
  <r>
    <s v="ORD01776"/>
    <s v="CUST0954"/>
    <s v="PRD0023"/>
    <n v="2"/>
    <s v="Customer Not Found"/>
    <x v="7"/>
    <x v="24"/>
    <x v="5"/>
    <s v="Price Missing"/>
    <n v="0"/>
  </r>
  <r>
    <s v="ORD01777"/>
    <s v="CUST0081"/>
    <s v="PRD0480"/>
    <n v="7"/>
    <s v="Customer Not Found"/>
    <x v="7"/>
    <x v="24"/>
    <x v="5"/>
    <s v="Price Missing"/>
    <n v="0"/>
  </r>
  <r>
    <s v="ORD01778"/>
    <s v="CUST0044"/>
    <s v="PRD0153"/>
    <n v="4"/>
    <s v="Customer Not Found"/>
    <x v="7"/>
    <x v="24"/>
    <x v="5"/>
    <s v="Price Missing"/>
    <n v="0"/>
  </r>
  <r>
    <s v="ORD01779"/>
    <s v="CUST0397"/>
    <s v="PRD0154"/>
    <n v="7"/>
    <s v="Customer Not Found"/>
    <x v="7"/>
    <x v="24"/>
    <x v="5"/>
    <s v="Price Missing"/>
    <n v="0"/>
  </r>
  <r>
    <s v="ORD01780"/>
    <s v="CUST0851"/>
    <s v="PRD0416"/>
    <n v="6"/>
    <s v="Customer Not Found"/>
    <x v="7"/>
    <x v="24"/>
    <x v="5"/>
    <s v="Price Missing"/>
    <n v="0"/>
  </r>
  <r>
    <s v="ORD01781"/>
    <s v="CUST0669"/>
    <s v="PRD0213"/>
    <n v="5"/>
    <s v="Customer Not Found"/>
    <x v="7"/>
    <x v="24"/>
    <x v="5"/>
    <s v="Price Missing"/>
    <n v="0"/>
  </r>
  <r>
    <s v="ORD01782"/>
    <s v="CUST0754"/>
    <s v="PRD0287"/>
    <n v="5"/>
    <s v="Customer Not Found"/>
    <x v="7"/>
    <x v="24"/>
    <x v="5"/>
    <s v="Price Missing"/>
    <n v="0"/>
  </r>
  <r>
    <s v="ORD01783"/>
    <s v="CUST0718"/>
    <s v="PRD0307"/>
    <n v="5"/>
    <s v="Customer Not Found"/>
    <x v="7"/>
    <x v="24"/>
    <x v="5"/>
    <s v="Price Missing"/>
    <n v="0"/>
  </r>
  <r>
    <s v="ORD01784"/>
    <s v="CUST0916"/>
    <s v="PRD0355"/>
    <n v="10"/>
    <s v="Customer Not Found"/>
    <x v="7"/>
    <x v="24"/>
    <x v="5"/>
    <s v="Price Missing"/>
    <n v="0"/>
  </r>
  <r>
    <s v="ORD01785"/>
    <s v="CUST0326"/>
    <s v="PRD0134"/>
    <n v="3"/>
    <s v="Customer Not Found"/>
    <x v="7"/>
    <x v="24"/>
    <x v="5"/>
    <s v="Price Missing"/>
    <n v="0"/>
  </r>
  <r>
    <s v="ORD01786"/>
    <s v="CUST0087"/>
    <s v="PRD0200"/>
    <n v="6"/>
    <s v="Customer Not Found"/>
    <x v="7"/>
    <x v="24"/>
    <x v="5"/>
    <s v="Price Missing"/>
    <n v="0"/>
  </r>
  <r>
    <s v="ORD01787"/>
    <s v="CUST0997"/>
    <s v="PRD0269"/>
    <n v="4"/>
    <s v="Customer Not Found"/>
    <x v="7"/>
    <x v="24"/>
    <x v="5"/>
    <s v="Price Missing"/>
    <n v="0"/>
  </r>
  <r>
    <s v="ORD01788"/>
    <s v="CUST0091"/>
    <s v="PRD0011"/>
    <n v="4"/>
    <s v="Customer Not Found"/>
    <x v="7"/>
    <x v="24"/>
    <x v="5"/>
    <s v="Price Missing"/>
    <n v="0"/>
  </r>
  <r>
    <s v="ORD01789"/>
    <s v="CUST0576"/>
    <s v="PRD0102"/>
    <n v="1"/>
    <s v="Customer Not Found"/>
    <x v="7"/>
    <x v="24"/>
    <x v="5"/>
    <s v="Price Missing"/>
    <n v="0"/>
  </r>
  <r>
    <s v="ORD01790"/>
    <s v="CUST0320"/>
    <s v="PRD0249"/>
    <n v="2"/>
    <s v="Customer Not Found"/>
    <x v="7"/>
    <x v="24"/>
    <x v="5"/>
    <s v="Price Missing"/>
    <n v="0"/>
  </r>
  <r>
    <s v="ORD01791"/>
    <s v="CUST0690"/>
    <s v="PRD0102"/>
    <n v="8"/>
    <s v="Customer Not Found"/>
    <x v="7"/>
    <x v="24"/>
    <x v="5"/>
    <s v="Price Missing"/>
    <n v="0"/>
  </r>
  <r>
    <s v="ORD01792"/>
    <s v="CUST0454"/>
    <s v="PRD0013"/>
    <n v="8"/>
    <s v="Customer Not Found"/>
    <x v="7"/>
    <x v="24"/>
    <x v="5"/>
    <s v="Price Missing"/>
    <n v="0"/>
  </r>
  <r>
    <s v="ORD01793"/>
    <s v="CUST0849"/>
    <s v="PRD0255"/>
    <n v="10"/>
    <s v="Customer Not Found"/>
    <x v="7"/>
    <x v="24"/>
    <x v="5"/>
    <s v="Price Missing"/>
    <n v="0"/>
  </r>
  <r>
    <s v="ORD01794"/>
    <s v="CUST0660"/>
    <s v="PRD0455"/>
    <n v="1"/>
    <s v="Customer Not Found"/>
    <x v="7"/>
    <x v="24"/>
    <x v="5"/>
    <s v="Price Missing"/>
    <n v="0"/>
  </r>
  <r>
    <s v="ORD01795"/>
    <s v="CUST0074"/>
    <s v="PRD0012"/>
    <n v="1"/>
    <s v="Customer Not Found"/>
    <x v="7"/>
    <x v="24"/>
    <x v="5"/>
    <s v="Price Missing"/>
    <n v="0"/>
  </r>
  <r>
    <s v="ORD01796"/>
    <s v="CUST0879"/>
    <s v="PRD0272"/>
    <n v="4"/>
    <s v="Customer Not Found"/>
    <x v="7"/>
    <x v="24"/>
    <x v="5"/>
    <s v="Price Missing"/>
    <n v="0"/>
  </r>
  <r>
    <s v="ORD01797"/>
    <s v="CUST0981"/>
    <s v="PRD0408"/>
    <n v="7"/>
    <s v="Customer Not Found"/>
    <x v="7"/>
    <x v="24"/>
    <x v="5"/>
    <s v="Price Missing"/>
    <n v="0"/>
  </r>
  <r>
    <s v="ORD01798"/>
    <s v="CUST0775"/>
    <s v="PRD0129"/>
    <n v="7"/>
    <s v="Customer Not Found"/>
    <x v="7"/>
    <x v="24"/>
    <x v="5"/>
    <s v="Price Missing"/>
    <n v="0"/>
  </r>
  <r>
    <s v="ORD01799"/>
    <s v="CUST0566"/>
    <s v="PRD0400"/>
    <n v="9"/>
    <s v="Customer Not Found"/>
    <x v="7"/>
    <x v="24"/>
    <x v="5"/>
    <s v="Price Missing"/>
    <n v="0"/>
  </r>
  <r>
    <s v="ORD01800"/>
    <s v="CUST0663"/>
    <s v="PRD0354"/>
    <n v="3"/>
    <s v="Customer Not Found"/>
    <x v="7"/>
    <x v="24"/>
    <x v="5"/>
    <s v="Price Missing"/>
    <n v="0"/>
  </r>
  <r>
    <s v="ORD01801"/>
    <s v="CUST0493"/>
    <s v="PRD0443"/>
    <n v="5"/>
    <s v="Customer Not Found"/>
    <x v="7"/>
    <x v="24"/>
    <x v="5"/>
    <s v="Price Missing"/>
    <n v="0"/>
  </r>
  <r>
    <s v="ORD01802"/>
    <s v="CUST0941"/>
    <s v="PRD0036"/>
    <n v="7"/>
    <s v="Customer Not Found"/>
    <x v="7"/>
    <x v="24"/>
    <x v="5"/>
    <s v="Price Missing"/>
    <n v="0"/>
  </r>
  <r>
    <s v="ORD01803"/>
    <s v="CUST0973"/>
    <s v="PRD0369"/>
    <n v="8"/>
    <s v="Customer Not Found"/>
    <x v="7"/>
    <x v="24"/>
    <x v="5"/>
    <s v="Price Missing"/>
    <n v="0"/>
  </r>
  <r>
    <s v="ORD01804"/>
    <s v="CUST0379"/>
    <s v="PRD0335"/>
    <n v="3"/>
    <s v="Customer Not Found"/>
    <x v="7"/>
    <x v="24"/>
    <x v="5"/>
    <s v="Price Missing"/>
    <n v="0"/>
  </r>
  <r>
    <s v="ORD01805"/>
    <s v="CUST0179"/>
    <s v="PRD0238"/>
    <n v="5"/>
    <s v="Customer Not Found"/>
    <x v="7"/>
    <x v="24"/>
    <x v="5"/>
    <s v="Price Missing"/>
    <n v="0"/>
  </r>
  <r>
    <s v="ORD01806"/>
    <s v="CUST0244"/>
    <s v="PRD0336"/>
    <n v="2"/>
    <s v="Customer Not Found"/>
    <x v="7"/>
    <x v="24"/>
    <x v="5"/>
    <s v="Price Missing"/>
    <n v="0"/>
  </r>
  <r>
    <s v="ORD01807"/>
    <s v="CUST0449"/>
    <s v="PRD0306"/>
    <n v="9"/>
    <s v="Customer Not Found"/>
    <x v="7"/>
    <x v="24"/>
    <x v="5"/>
    <s v="Price Missing"/>
    <n v="0"/>
  </r>
  <r>
    <s v="ORD01808"/>
    <s v="CUST0717"/>
    <s v="PRD0249"/>
    <n v="8"/>
    <s v="Customer Not Found"/>
    <x v="7"/>
    <x v="24"/>
    <x v="5"/>
    <s v="Price Missing"/>
    <n v="0"/>
  </r>
  <r>
    <s v="ORD01809"/>
    <s v="CUST0759"/>
    <s v="PRD0055"/>
    <n v="2"/>
    <s v="Customer Not Found"/>
    <x v="7"/>
    <x v="24"/>
    <x v="5"/>
    <s v="Price Missing"/>
    <n v="0"/>
  </r>
  <r>
    <s v="ORD01810"/>
    <s v="CUST0424"/>
    <s v="PRD0393"/>
    <n v="4"/>
    <s v="Customer Not Found"/>
    <x v="7"/>
    <x v="24"/>
    <x v="5"/>
    <s v="Price Missing"/>
    <n v="0"/>
  </r>
  <r>
    <s v="ORD01811"/>
    <s v="CUST0001"/>
    <s v="PRD0073"/>
    <n v="3"/>
    <s v="Customer Not Found"/>
    <x v="7"/>
    <x v="24"/>
    <x v="5"/>
    <s v="Price Missing"/>
    <n v="0"/>
  </r>
  <r>
    <s v="ORD01812"/>
    <s v="CUST0399"/>
    <s v="PRD0318"/>
    <n v="3"/>
    <s v="Customer Not Found"/>
    <x v="7"/>
    <x v="24"/>
    <x v="5"/>
    <s v="Price Missing"/>
    <n v="0"/>
  </r>
  <r>
    <s v="ORD01813"/>
    <s v="CUST0103"/>
    <s v="PRD0415"/>
    <n v="10"/>
    <s v="Customer Not Found"/>
    <x v="7"/>
    <x v="24"/>
    <x v="5"/>
    <s v="Price Missing"/>
    <n v="0"/>
  </r>
  <r>
    <s v="ORD01814"/>
    <s v="CUST0865"/>
    <s v="PRD0057"/>
    <n v="2"/>
    <s v="Customer Not Found"/>
    <x v="7"/>
    <x v="24"/>
    <x v="5"/>
    <s v="Price Missing"/>
    <n v="0"/>
  </r>
  <r>
    <s v="ORD01815"/>
    <s v="CUST0631"/>
    <s v="PRD0218"/>
    <n v="10"/>
    <s v="Customer Not Found"/>
    <x v="7"/>
    <x v="24"/>
    <x v="5"/>
    <s v="Price Missing"/>
    <n v="0"/>
  </r>
  <r>
    <s v="ORD01816"/>
    <s v="CUST0409"/>
    <s v="PRD0389"/>
    <n v="2"/>
    <s v="Customer Not Found"/>
    <x v="7"/>
    <x v="24"/>
    <x v="5"/>
    <s v="Price Missing"/>
    <n v="0"/>
  </r>
  <r>
    <s v="ORD01817"/>
    <s v="CUST0532"/>
    <s v="PRD0348"/>
    <n v="8"/>
    <s v="Customer Not Found"/>
    <x v="7"/>
    <x v="24"/>
    <x v="5"/>
    <s v="Price Missing"/>
    <n v="0"/>
  </r>
  <r>
    <s v="ORD01818"/>
    <s v="CUST0576"/>
    <s v="PRD0191"/>
    <n v="1"/>
    <s v="Customer Not Found"/>
    <x v="7"/>
    <x v="24"/>
    <x v="5"/>
    <s v="Price Missing"/>
    <n v="0"/>
  </r>
  <r>
    <s v="ORD01819"/>
    <s v="CUST0960"/>
    <s v="PRD0460"/>
    <n v="7"/>
    <s v="Customer Not Found"/>
    <x v="7"/>
    <x v="24"/>
    <x v="5"/>
    <s v="Price Missing"/>
    <n v="0"/>
  </r>
  <r>
    <s v="ORD01820"/>
    <s v="CUST0549"/>
    <s v="PRD0170"/>
    <n v="1"/>
    <s v="Customer Not Found"/>
    <x v="7"/>
    <x v="24"/>
    <x v="5"/>
    <s v="Price Missing"/>
    <n v="0"/>
  </r>
  <r>
    <s v="ORD01821"/>
    <s v="CUST0218"/>
    <s v="PRD0485"/>
    <n v="3"/>
    <s v="Customer Not Found"/>
    <x v="7"/>
    <x v="24"/>
    <x v="5"/>
    <s v="Price Missing"/>
    <n v="0"/>
  </r>
  <r>
    <s v="ORD01822"/>
    <s v="CUST0484"/>
    <s v="PRD0063"/>
    <n v="1"/>
    <s v="Customer Not Found"/>
    <x v="7"/>
    <x v="24"/>
    <x v="5"/>
    <s v="Price Missing"/>
    <n v="0"/>
  </r>
  <r>
    <s v="ORD01823"/>
    <s v="CUST0523"/>
    <s v="PRD0370"/>
    <n v="1"/>
    <s v="Customer Not Found"/>
    <x v="7"/>
    <x v="24"/>
    <x v="5"/>
    <s v="Price Missing"/>
    <n v="0"/>
  </r>
  <r>
    <s v="ORD01824"/>
    <s v="CUST0716"/>
    <s v="PRD0334"/>
    <n v="3"/>
    <s v="Customer Not Found"/>
    <x v="7"/>
    <x v="24"/>
    <x v="5"/>
    <s v="Price Missing"/>
    <n v="0"/>
  </r>
  <r>
    <s v="ORD01825"/>
    <s v="CUST0420"/>
    <s v="PRD0492"/>
    <n v="7"/>
    <s v="Customer Not Found"/>
    <x v="7"/>
    <x v="24"/>
    <x v="5"/>
    <s v="Price Missing"/>
    <n v="0"/>
  </r>
  <r>
    <s v="ORD01826"/>
    <s v="CUST0793"/>
    <s v="PRD0344"/>
    <n v="6"/>
    <s v="Customer Not Found"/>
    <x v="7"/>
    <x v="24"/>
    <x v="5"/>
    <s v="Price Missing"/>
    <n v="0"/>
  </r>
  <r>
    <s v="ORD01827"/>
    <s v="CUST0443"/>
    <s v="PRD0185"/>
    <n v="2"/>
    <s v="Customer Not Found"/>
    <x v="7"/>
    <x v="24"/>
    <x v="5"/>
    <s v="Price Missing"/>
    <n v="0"/>
  </r>
  <r>
    <s v="ORD01828"/>
    <s v="CUST0757"/>
    <s v="PRD0179"/>
    <n v="1"/>
    <s v="Customer Not Found"/>
    <x v="7"/>
    <x v="24"/>
    <x v="5"/>
    <s v="Price Missing"/>
    <n v="0"/>
  </r>
  <r>
    <s v="ORD01829"/>
    <s v="CUST0832"/>
    <s v="PRD0192"/>
    <n v="8"/>
    <s v="Customer Not Found"/>
    <x v="7"/>
    <x v="24"/>
    <x v="5"/>
    <s v="Price Missing"/>
    <n v="0"/>
  </r>
  <r>
    <s v="ORD01830"/>
    <s v="CUST0557"/>
    <s v="PRD0055"/>
    <n v="3"/>
    <s v="Customer Not Found"/>
    <x v="7"/>
    <x v="24"/>
    <x v="5"/>
    <s v="Price Missing"/>
    <n v="0"/>
  </r>
  <r>
    <s v="ORD01831"/>
    <s v="CUST0714"/>
    <s v="PRD0436"/>
    <n v="4"/>
    <s v="Customer Not Found"/>
    <x v="7"/>
    <x v="24"/>
    <x v="5"/>
    <s v="Price Missing"/>
    <n v="0"/>
  </r>
  <r>
    <s v="ORD01832"/>
    <s v="CUST0503"/>
    <s v="PRD0434"/>
    <n v="6"/>
    <s v="Customer Not Found"/>
    <x v="7"/>
    <x v="24"/>
    <x v="5"/>
    <s v="Price Missing"/>
    <n v="0"/>
  </r>
  <r>
    <s v="ORD01833"/>
    <s v="CUST0060"/>
    <s v="PRD0126"/>
    <n v="1"/>
    <s v="Customer Not Found"/>
    <x v="7"/>
    <x v="24"/>
    <x v="5"/>
    <s v="Price Missing"/>
    <n v="0"/>
  </r>
  <r>
    <s v="ORD01834"/>
    <s v="CUST0104"/>
    <s v="PRD0449"/>
    <n v="3"/>
    <s v="Customer Not Found"/>
    <x v="7"/>
    <x v="24"/>
    <x v="5"/>
    <s v="Price Missing"/>
    <n v="0"/>
  </r>
  <r>
    <s v="ORD01835"/>
    <s v="CUST0644"/>
    <s v="PRD0241"/>
    <n v="5"/>
    <s v="Customer Not Found"/>
    <x v="7"/>
    <x v="24"/>
    <x v="5"/>
    <s v="Price Missing"/>
    <n v="0"/>
  </r>
  <r>
    <s v="ORD01836"/>
    <s v="CUST0519"/>
    <s v="PRD0410"/>
    <n v="2"/>
    <s v="Customer Not Found"/>
    <x v="7"/>
    <x v="24"/>
    <x v="5"/>
    <s v="Price Missing"/>
    <n v="0"/>
  </r>
  <r>
    <s v="ORD01837"/>
    <s v="CUST0600"/>
    <s v="PRD0008"/>
    <n v="9"/>
    <s v="Customer Not Found"/>
    <x v="7"/>
    <x v="24"/>
    <x v="5"/>
    <s v="Price Missing"/>
    <n v="0"/>
  </r>
  <r>
    <s v="ORD01838"/>
    <s v="CUST0037"/>
    <s v="PRD0275"/>
    <n v="2"/>
    <s v="Customer Not Found"/>
    <x v="7"/>
    <x v="24"/>
    <x v="5"/>
    <s v="Price Missing"/>
    <n v="0"/>
  </r>
  <r>
    <s v="ORD01839"/>
    <s v="CUST0867"/>
    <s v="PRD0074"/>
    <n v="1"/>
    <s v="Customer Not Found"/>
    <x v="7"/>
    <x v="24"/>
    <x v="5"/>
    <s v="Price Missing"/>
    <n v="0"/>
  </r>
  <r>
    <s v="ORD01840"/>
    <s v="CUST0299"/>
    <s v="PRD0130"/>
    <n v="7"/>
    <s v="Customer Not Found"/>
    <x v="7"/>
    <x v="24"/>
    <x v="5"/>
    <s v="Price Missing"/>
    <n v="0"/>
  </r>
  <r>
    <s v="ORD01841"/>
    <s v="CUST0002"/>
    <s v="PRD0044"/>
    <n v="5"/>
    <s v="Customer Not Found"/>
    <x v="7"/>
    <x v="24"/>
    <x v="5"/>
    <s v="Price Missing"/>
    <n v="0"/>
  </r>
  <r>
    <s v="ORD01842"/>
    <s v="CUST0281"/>
    <s v="PRD0358"/>
    <n v="10"/>
    <s v="Customer Not Found"/>
    <x v="7"/>
    <x v="24"/>
    <x v="5"/>
    <s v="Price Missing"/>
    <n v="0"/>
  </r>
  <r>
    <s v="ORD01843"/>
    <s v="CUST0251"/>
    <s v="PRD0415"/>
    <n v="5"/>
    <s v="Customer Not Found"/>
    <x v="7"/>
    <x v="24"/>
    <x v="5"/>
    <s v="Price Missing"/>
    <n v="0"/>
  </r>
  <r>
    <s v="ORD01844"/>
    <s v="CUST0638"/>
    <s v="PRD0362"/>
    <n v="9"/>
    <s v="Customer Not Found"/>
    <x v="7"/>
    <x v="24"/>
    <x v="5"/>
    <s v="Price Missing"/>
    <n v="0"/>
  </r>
  <r>
    <s v="ORD01845"/>
    <s v="CUST0003"/>
    <s v="PRD0256"/>
    <n v="9"/>
    <s v="Customer Not Found"/>
    <x v="7"/>
    <x v="24"/>
    <x v="5"/>
    <s v="Price Missing"/>
    <n v="0"/>
  </r>
  <r>
    <s v="ORD01846"/>
    <s v="CUST0105"/>
    <s v="PRD0171"/>
    <n v="9"/>
    <s v="Customer Not Found"/>
    <x v="7"/>
    <x v="24"/>
    <x v="5"/>
    <s v="Price Missing"/>
    <n v="0"/>
  </r>
  <r>
    <s v="ORD01847"/>
    <s v="CUST0242"/>
    <s v="PRD0409"/>
    <n v="1"/>
    <s v="Customer Not Found"/>
    <x v="7"/>
    <x v="24"/>
    <x v="5"/>
    <s v="Price Missing"/>
    <n v="0"/>
  </r>
  <r>
    <s v="ORD01848"/>
    <s v="CUST0773"/>
    <s v="PRD0412"/>
    <n v="6"/>
    <s v="Customer Not Found"/>
    <x v="7"/>
    <x v="24"/>
    <x v="5"/>
    <s v="Price Missing"/>
    <n v="0"/>
  </r>
  <r>
    <s v="ORD01849"/>
    <s v="CUST0076"/>
    <s v="PRD0043"/>
    <n v="1"/>
    <s v="Customer Not Found"/>
    <x v="7"/>
    <x v="24"/>
    <x v="5"/>
    <s v="Price Missing"/>
    <n v="0"/>
  </r>
  <r>
    <s v="ORD01850"/>
    <s v="CUST0861"/>
    <s v="PRD0099"/>
    <n v="5"/>
    <s v="Customer Not Found"/>
    <x v="7"/>
    <x v="24"/>
    <x v="5"/>
    <s v="Price Missing"/>
    <n v="0"/>
  </r>
  <r>
    <s v="ORD01851"/>
    <s v="CUST0058"/>
    <s v="PRD0314"/>
    <n v="7"/>
    <s v="Customer Not Found"/>
    <x v="7"/>
    <x v="24"/>
    <x v="5"/>
    <s v="Price Missing"/>
    <n v="0"/>
  </r>
  <r>
    <s v="ORD01852"/>
    <s v="CUST0421"/>
    <s v="PRD0364"/>
    <n v="6"/>
    <s v="Customer Not Found"/>
    <x v="7"/>
    <x v="24"/>
    <x v="5"/>
    <s v="Price Missing"/>
    <n v="0"/>
  </r>
  <r>
    <s v="ORD01853"/>
    <s v="CUST0508"/>
    <s v="PRD0251"/>
    <n v="1"/>
    <s v="Customer Not Found"/>
    <x v="7"/>
    <x v="24"/>
    <x v="5"/>
    <s v="Price Missing"/>
    <n v="0"/>
  </r>
  <r>
    <s v="ORD01854"/>
    <s v="CUST0802"/>
    <s v="PRD0184"/>
    <n v="3"/>
    <s v="Customer Not Found"/>
    <x v="7"/>
    <x v="24"/>
    <x v="5"/>
    <s v="Price Missing"/>
    <n v="0"/>
  </r>
  <r>
    <s v="ORD01855"/>
    <s v="CUST0450"/>
    <s v="PRD0448"/>
    <n v="3"/>
    <s v="Customer Not Found"/>
    <x v="7"/>
    <x v="24"/>
    <x v="5"/>
    <s v="Price Missing"/>
    <n v="0"/>
  </r>
  <r>
    <s v="ORD01856"/>
    <s v="CUST0791"/>
    <s v="PRD0316"/>
    <n v="2"/>
    <s v="Customer Not Found"/>
    <x v="7"/>
    <x v="24"/>
    <x v="5"/>
    <s v="Price Missing"/>
    <n v="0"/>
  </r>
  <r>
    <s v="ORD01857"/>
    <s v="CUST0967"/>
    <s v="PRD0056"/>
    <n v="1"/>
    <s v="Customer Not Found"/>
    <x v="7"/>
    <x v="24"/>
    <x v="5"/>
    <s v="Price Missing"/>
    <n v="0"/>
  </r>
  <r>
    <s v="ORD01858"/>
    <s v="CUST0156"/>
    <s v="PRD0161"/>
    <n v="5"/>
    <s v="Customer Not Found"/>
    <x v="7"/>
    <x v="24"/>
    <x v="5"/>
    <s v="Price Missing"/>
    <n v="0"/>
  </r>
  <r>
    <s v="ORD01859"/>
    <s v="CUST0819"/>
    <s v="PRD0181"/>
    <n v="9"/>
    <s v="Customer Not Found"/>
    <x v="7"/>
    <x v="24"/>
    <x v="5"/>
    <s v="Price Missing"/>
    <n v="0"/>
  </r>
  <r>
    <s v="ORD01860"/>
    <s v="CUST0643"/>
    <s v="PRD0223"/>
    <n v="6"/>
    <s v="Customer Not Found"/>
    <x v="7"/>
    <x v="24"/>
    <x v="5"/>
    <s v="Price Missing"/>
    <n v="0"/>
  </r>
  <r>
    <s v="ORD01861"/>
    <s v="CUST0590"/>
    <s v="PRD0489"/>
    <n v="1"/>
    <s v="Customer Not Found"/>
    <x v="7"/>
    <x v="24"/>
    <x v="5"/>
    <s v="Price Missing"/>
    <n v="0"/>
  </r>
  <r>
    <s v="ORD01862"/>
    <s v="CUST0036"/>
    <s v="PRD0375"/>
    <n v="9"/>
    <s v="Customer Not Found"/>
    <x v="7"/>
    <x v="24"/>
    <x v="5"/>
    <s v="Price Missing"/>
    <n v="0"/>
  </r>
  <r>
    <s v="ORD01863"/>
    <s v="CUST0684"/>
    <s v="PRD0281"/>
    <n v="2"/>
    <s v="Customer Not Found"/>
    <x v="7"/>
    <x v="24"/>
    <x v="5"/>
    <s v="Price Missing"/>
    <n v="0"/>
  </r>
  <r>
    <s v="ORD01864"/>
    <s v="CUST0546"/>
    <s v="PRD0155"/>
    <n v="8"/>
    <s v="Customer Not Found"/>
    <x v="7"/>
    <x v="24"/>
    <x v="5"/>
    <s v="Price Missing"/>
    <n v="0"/>
  </r>
  <r>
    <s v="ORD01865"/>
    <s v="CUST0606"/>
    <s v="PRD0392"/>
    <n v="6"/>
    <s v="Customer Not Found"/>
    <x v="7"/>
    <x v="24"/>
    <x v="5"/>
    <s v="Price Missing"/>
    <n v="0"/>
  </r>
  <r>
    <s v="ORD01866"/>
    <s v="CUST0900"/>
    <s v="PRD0080"/>
    <n v="8"/>
    <s v="Customer Not Found"/>
    <x v="7"/>
    <x v="24"/>
    <x v="5"/>
    <s v="Price Missing"/>
    <n v="0"/>
  </r>
  <r>
    <s v="ORD01867"/>
    <s v="CUST0841"/>
    <s v="PRD0155"/>
    <n v="4"/>
    <s v="Customer Not Found"/>
    <x v="7"/>
    <x v="24"/>
    <x v="5"/>
    <s v="Price Missing"/>
    <n v="0"/>
  </r>
  <r>
    <s v="ORD01868"/>
    <s v="CUST0754"/>
    <s v="PRD0266"/>
    <n v="4"/>
    <s v="Customer Not Found"/>
    <x v="7"/>
    <x v="24"/>
    <x v="5"/>
    <s v="Price Missing"/>
    <n v="0"/>
  </r>
  <r>
    <s v="ORD01869"/>
    <s v="CUST0361"/>
    <s v="PRD0360"/>
    <n v="9"/>
    <s v="Customer Not Found"/>
    <x v="7"/>
    <x v="24"/>
    <x v="5"/>
    <s v="Price Missing"/>
    <n v="0"/>
  </r>
  <r>
    <s v="ORD01870"/>
    <s v="CUST0093"/>
    <s v="PRD0496"/>
    <n v="6"/>
    <s v="Customer Not Found"/>
    <x v="7"/>
    <x v="24"/>
    <x v="5"/>
    <s v="Price Missing"/>
    <n v="0"/>
  </r>
  <r>
    <s v="ORD01871"/>
    <s v="CUST0930"/>
    <s v="PRD0024"/>
    <n v="8"/>
    <s v="Customer Not Found"/>
    <x v="7"/>
    <x v="24"/>
    <x v="5"/>
    <s v="Price Missing"/>
    <n v="0"/>
  </r>
  <r>
    <s v="ORD01872"/>
    <s v="CUST0765"/>
    <s v="PRD0024"/>
    <n v="9"/>
    <s v="Customer Not Found"/>
    <x v="7"/>
    <x v="24"/>
    <x v="5"/>
    <s v="Price Missing"/>
    <n v="0"/>
  </r>
  <r>
    <s v="ORD01873"/>
    <s v="CUST0718"/>
    <s v="PRD0500"/>
    <n v="9"/>
    <s v="Customer Not Found"/>
    <x v="7"/>
    <x v="24"/>
    <x v="5"/>
    <s v="Price Missing"/>
    <n v="0"/>
  </r>
  <r>
    <s v="ORD01874"/>
    <s v="CUST0251"/>
    <s v="PRD0300"/>
    <n v="1"/>
    <s v="Customer Not Found"/>
    <x v="7"/>
    <x v="24"/>
    <x v="5"/>
    <s v="Price Missing"/>
    <n v="0"/>
  </r>
  <r>
    <s v="ORD01875"/>
    <s v="CUST0438"/>
    <s v="PRD0245"/>
    <n v="1"/>
    <s v="Customer Not Found"/>
    <x v="7"/>
    <x v="24"/>
    <x v="5"/>
    <s v="Price Missing"/>
    <n v="0"/>
  </r>
  <r>
    <s v="ORD01876"/>
    <s v="CUST0053"/>
    <s v="PRD0033"/>
    <n v="10"/>
    <s v="Customer Not Found"/>
    <x v="7"/>
    <x v="24"/>
    <x v="5"/>
    <s v="Price Missing"/>
    <n v="0"/>
  </r>
  <r>
    <s v="ORD01877"/>
    <s v="CUST0301"/>
    <s v="PRD0301"/>
    <n v="7"/>
    <s v="Customer Not Found"/>
    <x v="7"/>
    <x v="24"/>
    <x v="5"/>
    <s v="Price Missing"/>
    <n v="0"/>
  </r>
  <r>
    <s v="ORD01878"/>
    <s v="CUST0362"/>
    <s v="PRD0354"/>
    <n v="7"/>
    <s v="Customer Not Found"/>
    <x v="7"/>
    <x v="24"/>
    <x v="5"/>
    <s v="Price Missing"/>
    <n v="0"/>
  </r>
  <r>
    <s v="ORD01879"/>
    <s v="CUST0978"/>
    <s v="PRD0300"/>
    <n v="5"/>
    <s v="Customer Not Found"/>
    <x v="7"/>
    <x v="24"/>
    <x v="5"/>
    <s v="Price Missing"/>
    <n v="0"/>
  </r>
  <r>
    <s v="ORD01880"/>
    <s v="CUST0081"/>
    <s v="PRD0224"/>
    <n v="7"/>
    <s v="Customer Not Found"/>
    <x v="7"/>
    <x v="24"/>
    <x v="5"/>
    <s v="Price Missing"/>
    <n v="0"/>
  </r>
  <r>
    <s v="ORD01881"/>
    <s v="CUST0798"/>
    <s v="PRD0487"/>
    <n v="10"/>
    <s v="Customer Not Found"/>
    <x v="7"/>
    <x v="24"/>
    <x v="5"/>
    <s v="Price Missing"/>
    <n v="0"/>
  </r>
  <r>
    <s v="ORD01882"/>
    <s v="CUST0074"/>
    <s v="PRD0234"/>
    <n v="1"/>
    <s v="Customer Not Found"/>
    <x v="7"/>
    <x v="24"/>
    <x v="5"/>
    <s v="Price Missing"/>
    <n v="0"/>
  </r>
  <r>
    <s v="ORD01883"/>
    <s v="CUST0767"/>
    <s v="PRD0258"/>
    <n v="4"/>
    <s v="Customer Not Found"/>
    <x v="7"/>
    <x v="24"/>
    <x v="5"/>
    <s v="Price Missing"/>
    <n v="0"/>
  </r>
  <r>
    <s v="ORD01884"/>
    <s v="CUST0416"/>
    <s v="PRD0390"/>
    <n v="8"/>
    <s v="Customer Not Found"/>
    <x v="7"/>
    <x v="24"/>
    <x v="5"/>
    <s v="Price Missing"/>
    <n v="0"/>
  </r>
  <r>
    <s v="ORD01885"/>
    <s v="CUST0594"/>
    <s v="PRD0489"/>
    <n v="6"/>
    <s v="Customer Not Found"/>
    <x v="7"/>
    <x v="24"/>
    <x v="5"/>
    <s v="Price Missing"/>
    <n v="0"/>
  </r>
  <r>
    <s v="ORD01886"/>
    <s v="CUST0438"/>
    <s v="PRD0363"/>
    <n v="2"/>
    <s v="Customer Not Found"/>
    <x v="7"/>
    <x v="24"/>
    <x v="5"/>
    <s v="Price Missing"/>
    <n v="0"/>
  </r>
  <r>
    <s v="ORD01887"/>
    <s v="CUST0547"/>
    <s v="PRD0027"/>
    <n v="5"/>
    <s v="Customer Not Found"/>
    <x v="7"/>
    <x v="24"/>
    <x v="5"/>
    <s v="Price Missing"/>
    <n v="0"/>
  </r>
  <r>
    <s v="ORD01888"/>
    <s v="CUST0084"/>
    <s v="PRD0185"/>
    <n v="8"/>
    <s v="Customer Not Found"/>
    <x v="7"/>
    <x v="24"/>
    <x v="5"/>
    <s v="Price Missing"/>
    <n v="0"/>
  </r>
  <r>
    <s v="ORD01889"/>
    <s v="CUST0569"/>
    <s v="PRD0197"/>
    <n v="2"/>
    <s v="Customer Not Found"/>
    <x v="7"/>
    <x v="24"/>
    <x v="5"/>
    <s v="Price Missing"/>
    <n v="0"/>
  </r>
  <r>
    <s v="ORD01890"/>
    <s v="CUST0509"/>
    <s v="PRD0171"/>
    <n v="10"/>
    <s v="Customer Not Found"/>
    <x v="7"/>
    <x v="24"/>
    <x v="5"/>
    <s v="Price Missing"/>
    <n v="0"/>
  </r>
  <r>
    <s v="ORD01891"/>
    <s v="CUST0806"/>
    <s v="PRD0298"/>
    <n v="2"/>
    <s v="Customer Not Found"/>
    <x v="7"/>
    <x v="24"/>
    <x v="5"/>
    <s v="Price Missing"/>
    <n v="0"/>
  </r>
  <r>
    <s v="ORD01892"/>
    <s v="CUST0976"/>
    <s v="PRD0453"/>
    <n v="10"/>
    <s v="Customer Not Found"/>
    <x v="7"/>
    <x v="24"/>
    <x v="5"/>
    <s v="Price Missing"/>
    <n v="0"/>
  </r>
  <r>
    <s v="ORD01893"/>
    <s v="CUST0312"/>
    <s v="PRD0120"/>
    <n v="7"/>
    <s v="Customer Not Found"/>
    <x v="7"/>
    <x v="24"/>
    <x v="5"/>
    <s v="Price Missing"/>
    <n v="0"/>
  </r>
  <r>
    <s v="ORD01894"/>
    <s v="CUST0475"/>
    <s v="PRD0095"/>
    <n v="7"/>
    <s v="Customer Not Found"/>
    <x v="7"/>
    <x v="24"/>
    <x v="5"/>
    <s v="Price Missing"/>
    <n v="0"/>
  </r>
  <r>
    <s v="ORD01895"/>
    <s v="CUST0634"/>
    <s v="PRD0124"/>
    <n v="7"/>
    <s v="Customer Not Found"/>
    <x v="7"/>
    <x v="24"/>
    <x v="5"/>
    <s v="Price Missing"/>
    <n v="0"/>
  </r>
  <r>
    <s v="ORD01896"/>
    <s v="CUST0690"/>
    <s v="PRD0488"/>
    <n v="10"/>
    <s v="Customer Not Found"/>
    <x v="7"/>
    <x v="24"/>
    <x v="5"/>
    <s v="Price Missing"/>
    <n v="0"/>
  </r>
  <r>
    <s v="ORD01897"/>
    <s v="CUST0021"/>
    <s v="PRD0363"/>
    <n v="5"/>
    <s v="Customer Not Found"/>
    <x v="7"/>
    <x v="24"/>
    <x v="5"/>
    <s v="Price Missing"/>
    <n v="0"/>
  </r>
  <r>
    <s v="ORD01898"/>
    <s v="CUST0489"/>
    <s v="PRD0471"/>
    <n v="7"/>
    <s v="Customer Not Found"/>
    <x v="7"/>
    <x v="24"/>
    <x v="5"/>
    <s v="Price Missing"/>
    <n v="0"/>
  </r>
  <r>
    <s v="ORD01899"/>
    <s v="CUST0227"/>
    <s v="PRD0113"/>
    <n v="5"/>
    <s v="Customer Not Found"/>
    <x v="7"/>
    <x v="24"/>
    <x v="5"/>
    <s v="Price Missing"/>
    <n v="0"/>
  </r>
  <r>
    <s v="ORD01900"/>
    <s v="CUST0707"/>
    <s v="PRD0176"/>
    <n v="2"/>
    <s v="Customer Not Found"/>
    <x v="7"/>
    <x v="24"/>
    <x v="5"/>
    <s v="Price Missing"/>
    <n v="0"/>
  </r>
  <r>
    <s v="ORD01901"/>
    <s v="CUST0872"/>
    <s v="PRD0297"/>
    <n v="6"/>
    <s v="Customer Not Found"/>
    <x v="7"/>
    <x v="24"/>
    <x v="5"/>
    <s v="Price Missing"/>
    <n v="0"/>
  </r>
  <r>
    <s v="ORD01902"/>
    <s v="CUST0752"/>
    <s v="PRD0035"/>
    <n v="1"/>
    <s v="Customer Not Found"/>
    <x v="7"/>
    <x v="24"/>
    <x v="5"/>
    <s v="Price Missing"/>
    <n v="0"/>
  </r>
  <r>
    <s v="ORD01903"/>
    <s v="CUST0590"/>
    <s v="PRD0104"/>
    <n v="2"/>
    <s v="Customer Not Found"/>
    <x v="7"/>
    <x v="24"/>
    <x v="5"/>
    <s v="Price Missing"/>
    <n v="0"/>
  </r>
  <r>
    <s v="ORD01904"/>
    <s v="CUST0296"/>
    <s v="PRD0361"/>
    <n v="1"/>
    <s v="Customer Not Found"/>
    <x v="7"/>
    <x v="24"/>
    <x v="5"/>
    <s v="Price Missing"/>
    <n v="0"/>
  </r>
  <r>
    <s v="ORD01905"/>
    <s v="CUST0131"/>
    <s v="PRD0377"/>
    <n v="10"/>
    <s v="Customer Not Found"/>
    <x v="7"/>
    <x v="24"/>
    <x v="5"/>
    <s v="Price Missing"/>
    <n v="0"/>
  </r>
  <r>
    <s v="ORD01906"/>
    <s v="CUST0103"/>
    <s v="PRD0103"/>
    <n v="8"/>
    <s v="Customer Not Found"/>
    <x v="7"/>
    <x v="24"/>
    <x v="5"/>
    <s v="Price Missing"/>
    <n v="0"/>
  </r>
  <r>
    <s v="ORD01907"/>
    <s v="CUST0599"/>
    <s v="PRD0491"/>
    <n v="10"/>
    <s v="Customer Not Found"/>
    <x v="7"/>
    <x v="24"/>
    <x v="5"/>
    <s v="Price Missing"/>
    <n v="0"/>
  </r>
  <r>
    <s v="ORD01908"/>
    <s v="CUST0507"/>
    <s v="PRD0041"/>
    <n v="6"/>
    <s v="Customer Not Found"/>
    <x v="7"/>
    <x v="24"/>
    <x v="5"/>
    <s v="Price Missing"/>
    <n v="0"/>
  </r>
  <r>
    <s v="ORD01909"/>
    <s v="CUST0239"/>
    <s v="PRD0198"/>
    <n v="1"/>
    <s v="Customer Not Found"/>
    <x v="7"/>
    <x v="24"/>
    <x v="5"/>
    <s v="Price Missing"/>
    <n v="0"/>
  </r>
  <r>
    <s v="ORD01910"/>
    <s v="CUST0288"/>
    <s v="PRD0318"/>
    <n v="10"/>
    <s v="Customer Not Found"/>
    <x v="7"/>
    <x v="24"/>
    <x v="5"/>
    <s v="Price Missing"/>
    <n v="0"/>
  </r>
  <r>
    <s v="ORD01911"/>
    <s v="CUST0317"/>
    <s v="PRD0376"/>
    <n v="8"/>
    <s v="Customer Not Found"/>
    <x v="7"/>
    <x v="24"/>
    <x v="5"/>
    <s v="Price Missing"/>
    <n v="0"/>
  </r>
  <r>
    <s v="ORD01912"/>
    <s v="CUST0691"/>
    <s v="PRD0248"/>
    <n v="3"/>
    <s v="Customer Not Found"/>
    <x v="7"/>
    <x v="24"/>
    <x v="5"/>
    <s v="Price Missing"/>
    <n v="0"/>
  </r>
  <r>
    <s v="ORD01913"/>
    <s v="CUST0138"/>
    <s v="PRD0078"/>
    <n v="6"/>
    <s v="Customer Not Found"/>
    <x v="7"/>
    <x v="24"/>
    <x v="5"/>
    <s v="Price Missing"/>
    <n v="0"/>
  </r>
  <r>
    <s v="ORD01914"/>
    <s v="CUST0885"/>
    <s v="PRD0470"/>
    <n v="2"/>
    <s v="Customer Not Found"/>
    <x v="7"/>
    <x v="24"/>
    <x v="5"/>
    <s v="Price Missing"/>
    <n v="0"/>
  </r>
  <r>
    <s v="ORD01915"/>
    <s v="CUST0283"/>
    <s v="PRD0322"/>
    <n v="9"/>
    <s v="Customer Not Found"/>
    <x v="7"/>
    <x v="24"/>
    <x v="5"/>
    <s v="Price Missing"/>
    <n v="0"/>
  </r>
  <r>
    <s v="ORD01916"/>
    <s v="CUST0092"/>
    <s v="PRD0474"/>
    <n v="4"/>
    <s v="Customer Not Found"/>
    <x v="7"/>
    <x v="24"/>
    <x v="5"/>
    <s v="Price Missing"/>
    <n v="0"/>
  </r>
  <r>
    <s v="ORD01917"/>
    <s v="CUST0849"/>
    <s v="PRD0400"/>
    <n v="6"/>
    <s v="Customer Not Found"/>
    <x v="7"/>
    <x v="24"/>
    <x v="5"/>
    <s v="Price Missing"/>
    <n v="0"/>
  </r>
  <r>
    <s v="ORD01918"/>
    <s v="CUST0547"/>
    <s v="PRD0133"/>
    <n v="7"/>
    <s v="Customer Not Found"/>
    <x v="7"/>
    <x v="24"/>
    <x v="5"/>
    <s v="Price Missing"/>
    <n v="0"/>
  </r>
  <r>
    <s v="ORD01919"/>
    <s v="CUST0994"/>
    <s v="PRD0057"/>
    <n v="8"/>
    <s v="Customer Not Found"/>
    <x v="7"/>
    <x v="24"/>
    <x v="5"/>
    <s v="Price Missing"/>
    <n v="0"/>
  </r>
  <r>
    <s v="ORD01920"/>
    <s v="CUST0596"/>
    <s v="PRD0114"/>
    <n v="2"/>
    <s v="Customer Not Found"/>
    <x v="7"/>
    <x v="24"/>
    <x v="5"/>
    <s v="Price Missing"/>
    <n v="0"/>
  </r>
  <r>
    <s v="ORD01921"/>
    <s v="CUST0658"/>
    <s v="PRD0259"/>
    <n v="2"/>
    <s v="Customer Not Found"/>
    <x v="7"/>
    <x v="24"/>
    <x v="5"/>
    <s v="Price Missing"/>
    <n v="0"/>
  </r>
  <r>
    <s v="ORD01922"/>
    <s v="CUST0356"/>
    <s v="PRD0071"/>
    <n v="5"/>
    <s v="Customer Not Found"/>
    <x v="7"/>
    <x v="24"/>
    <x v="5"/>
    <s v="Price Missing"/>
    <n v="0"/>
  </r>
  <r>
    <s v="ORD01923"/>
    <s v="CUST0241"/>
    <s v="PRD0009"/>
    <n v="10"/>
    <s v="Customer Not Found"/>
    <x v="7"/>
    <x v="24"/>
    <x v="5"/>
    <s v="Price Missing"/>
    <n v="0"/>
  </r>
  <r>
    <s v="ORD01924"/>
    <s v="CUST0012"/>
    <s v="PRD0489"/>
    <n v="1"/>
    <s v="Customer Not Found"/>
    <x v="7"/>
    <x v="24"/>
    <x v="5"/>
    <s v="Price Missing"/>
    <n v="0"/>
  </r>
  <r>
    <s v="ORD01925"/>
    <s v="CUST0338"/>
    <s v="PRD0323"/>
    <n v="7"/>
    <s v="Customer Not Found"/>
    <x v="7"/>
    <x v="24"/>
    <x v="5"/>
    <s v="Price Missing"/>
    <n v="0"/>
  </r>
  <r>
    <s v="ORD01926"/>
    <s v="CUST0431"/>
    <s v="PRD0091"/>
    <n v="7"/>
    <s v="Customer Not Found"/>
    <x v="7"/>
    <x v="24"/>
    <x v="5"/>
    <s v="Price Missing"/>
    <n v="0"/>
  </r>
  <r>
    <s v="ORD01927"/>
    <s v="CUST0895"/>
    <s v="PRD0435"/>
    <n v="2"/>
    <s v="Customer Not Found"/>
    <x v="7"/>
    <x v="24"/>
    <x v="5"/>
    <s v="Price Missing"/>
    <n v="0"/>
  </r>
  <r>
    <s v="ORD01928"/>
    <s v="CUST0876"/>
    <s v="PRD0366"/>
    <n v="10"/>
    <s v="Customer Not Found"/>
    <x v="7"/>
    <x v="24"/>
    <x v="5"/>
    <s v="Price Missing"/>
    <n v="0"/>
  </r>
  <r>
    <s v="ORD01929"/>
    <s v="CUST0181"/>
    <s v="PRD0048"/>
    <n v="2"/>
    <s v="Customer Not Found"/>
    <x v="7"/>
    <x v="24"/>
    <x v="5"/>
    <s v="Price Missing"/>
    <n v="0"/>
  </r>
  <r>
    <s v="ORD01930"/>
    <s v="CUST0182"/>
    <s v="PRD0400"/>
    <n v="4"/>
    <s v="Customer Not Found"/>
    <x v="7"/>
    <x v="24"/>
    <x v="5"/>
    <s v="Price Missing"/>
    <n v="0"/>
  </r>
  <r>
    <s v="ORD01931"/>
    <s v="CUST0417"/>
    <s v="PRD0498"/>
    <n v="6"/>
    <s v="Customer Not Found"/>
    <x v="7"/>
    <x v="24"/>
    <x v="5"/>
    <s v="Price Missing"/>
    <n v="0"/>
  </r>
  <r>
    <s v="ORD01932"/>
    <s v="CUST0591"/>
    <s v="PRD0236"/>
    <n v="8"/>
    <s v="Customer Not Found"/>
    <x v="7"/>
    <x v="24"/>
    <x v="5"/>
    <s v="Price Missing"/>
    <n v="0"/>
  </r>
  <r>
    <s v="ORD01933"/>
    <s v="CUST0629"/>
    <s v="PRD0383"/>
    <n v="8"/>
    <s v="Customer Not Found"/>
    <x v="7"/>
    <x v="24"/>
    <x v="5"/>
    <s v="Price Missing"/>
    <n v="0"/>
  </r>
  <r>
    <s v="ORD01934"/>
    <s v="CUST0073"/>
    <s v="PRD0263"/>
    <n v="6"/>
    <s v="Customer Not Found"/>
    <x v="7"/>
    <x v="24"/>
    <x v="5"/>
    <s v="Price Missing"/>
    <n v="0"/>
  </r>
  <r>
    <s v="ORD01935"/>
    <s v="CUST0013"/>
    <s v="PRD0106"/>
    <n v="10"/>
    <s v="Customer Not Found"/>
    <x v="7"/>
    <x v="24"/>
    <x v="5"/>
    <s v="Price Missing"/>
    <n v="0"/>
  </r>
  <r>
    <s v="ORD01936"/>
    <s v="CUST0548"/>
    <s v="PRD0019"/>
    <n v="3"/>
    <s v="Customer Not Found"/>
    <x v="7"/>
    <x v="24"/>
    <x v="5"/>
    <s v="Price Missing"/>
    <n v="0"/>
  </r>
  <r>
    <s v="ORD01937"/>
    <s v="CUST0878"/>
    <s v="PRD0412"/>
    <n v="6"/>
    <s v="Customer Not Found"/>
    <x v="7"/>
    <x v="24"/>
    <x v="5"/>
    <s v="Price Missing"/>
    <n v="0"/>
  </r>
  <r>
    <s v="ORD01938"/>
    <s v="CUST0308"/>
    <s v="PRD0063"/>
    <n v="3"/>
    <s v="Customer Not Found"/>
    <x v="7"/>
    <x v="24"/>
    <x v="5"/>
    <s v="Price Missing"/>
    <n v="0"/>
  </r>
  <r>
    <s v="ORD01939"/>
    <s v="CUST0382"/>
    <s v="PRD0097"/>
    <n v="1"/>
    <s v="Customer Not Found"/>
    <x v="7"/>
    <x v="24"/>
    <x v="5"/>
    <s v="Price Missing"/>
    <n v="0"/>
  </r>
  <r>
    <s v="ORD01940"/>
    <s v="CUST0055"/>
    <s v="PRD0013"/>
    <n v="5"/>
    <s v="Customer Not Found"/>
    <x v="7"/>
    <x v="24"/>
    <x v="5"/>
    <s v="Price Missing"/>
    <n v="0"/>
  </r>
  <r>
    <s v="ORD01941"/>
    <s v="CUST0353"/>
    <s v="PRD0450"/>
    <n v="9"/>
    <s v="Customer Not Found"/>
    <x v="7"/>
    <x v="24"/>
    <x v="5"/>
    <s v="Price Missing"/>
    <n v="0"/>
  </r>
  <r>
    <s v="ORD01942"/>
    <s v="CUST0390"/>
    <s v="PRD0160"/>
    <n v="3"/>
    <s v="Customer Not Found"/>
    <x v="7"/>
    <x v="24"/>
    <x v="5"/>
    <s v="Price Missing"/>
    <n v="0"/>
  </r>
  <r>
    <s v="ORD01943"/>
    <s v="CUST0343"/>
    <s v="PRD0306"/>
    <n v="3"/>
    <s v="Customer Not Found"/>
    <x v="7"/>
    <x v="24"/>
    <x v="5"/>
    <s v="Price Missing"/>
    <n v="0"/>
  </r>
  <r>
    <s v="ORD01944"/>
    <s v="CUST0777"/>
    <s v="PRD0478"/>
    <n v="4"/>
    <s v="Customer Not Found"/>
    <x v="7"/>
    <x v="24"/>
    <x v="5"/>
    <s v="Price Missing"/>
    <n v="0"/>
  </r>
  <r>
    <s v="ORD01945"/>
    <s v="CUST0391"/>
    <s v="PRD0430"/>
    <n v="4"/>
    <s v="Customer Not Found"/>
    <x v="7"/>
    <x v="24"/>
    <x v="5"/>
    <s v="Price Missing"/>
    <n v="0"/>
  </r>
  <r>
    <s v="ORD01946"/>
    <s v="CUST0614"/>
    <s v="PRD0048"/>
    <n v="9"/>
    <s v="Customer Not Found"/>
    <x v="7"/>
    <x v="24"/>
    <x v="5"/>
    <s v="Price Missing"/>
    <n v="0"/>
  </r>
  <r>
    <s v="ORD01947"/>
    <s v="CUST0270"/>
    <s v="PRD0028"/>
    <n v="3"/>
    <s v="Customer Not Found"/>
    <x v="7"/>
    <x v="24"/>
    <x v="5"/>
    <s v="Price Missing"/>
    <n v="0"/>
  </r>
  <r>
    <s v="ORD01948"/>
    <s v="CUST0945"/>
    <s v="PRD0273"/>
    <n v="9"/>
    <s v="Customer Not Found"/>
    <x v="7"/>
    <x v="24"/>
    <x v="5"/>
    <s v="Price Missing"/>
    <n v="0"/>
  </r>
  <r>
    <s v="ORD01949"/>
    <s v="CUST0037"/>
    <s v="PRD0262"/>
    <n v="1"/>
    <s v="Customer Not Found"/>
    <x v="7"/>
    <x v="24"/>
    <x v="5"/>
    <s v="Price Missing"/>
    <n v="0"/>
  </r>
  <r>
    <s v="ORD01950"/>
    <s v="CUST0257"/>
    <s v="PRD0213"/>
    <n v="9"/>
    <s v="Customer Not Found"/>
    <x v="7"/>
    <x v="24"/>
    <x v="5"/>
    <s v="Price Missing"/>
    <n v="0"/>
  </r>
  <r>
    <s v="ORD01951"/>
    <s v="CUST0113"/>
    <s v="PRD0210"/>
    <n v="3"/>
    <s v="Customer Not Found"/>
    <x v="7"/>
    <x v="24"/>
    <x v="5"/>
    <s v="Price Missing"/>
    <n v="0"/>
  </r>
  <r>
    <s v="ORD01952"/>
    <s v="CUST0926"/>
    <s v="PRD0180"/>
    <n v="4"/>
    <s v="Customer Not Found"/>
    <x v="7"/>
    <x v="24"/>
    <x v="5"/>
    <s v="Price Missing"/>
    <n v="0"/>
  </r>
  <r>
    <s v="ORD01953"/>
    <s v="CUST0673"/>
    <s v="PRD0422"/>
    <n v="10"/>
    <s v="Customer Not Found"/>
    <x v="7"/>
    <x v="24"/>
    <x v="5"/>
    <s v="Price Missing"/>
    <n v="0"/>
  </r>
  <r>
    <s v="ORD01954"/>
    <s v="CUST0125"/>
    <s v="PRD0370"/>
    <n v="5"/>
    <s v="Customer Not Found"/>
    <x v="7"/>
    <x v="24"/>
    <x v="5"/>
    <s v="Price Missing"/>
    <n v="0"/>
  </r>
  <r>
    <s v="ORD01955"/>
    <s v="CUST0670"/>
    <s v="PRD0441"/>
    <n v="7"/>
    <s v="Customer Not Found"/>
    <x v="7"/>
    <x v="24"/>
    <x v="5"/>
    <s v="Price Missing"/>
    <n v="0"/>
  </r>
  <r>
    <s v="ORD01956"/>
    <s v="CUST0259"/>
    <s v="PRD0465"/>
    <n v="3"/>
    <s v="Customer Not Found"/>
    <x v="7"/>
    <x v="24"/>
    <x v="5"/>
    <s v="Price Missing"/>
    <n v="0"/>
  </r>
  <r>
    <s v="ORD01957"/>
    <s v="CUST0912"/>
    <s v="PRD0038"/>
    <n v="4"/>
    <s v="Customer Not Found"/>
    <x v="7"/>
    <x v="24"/>
    <x v="5"/>
    <s v="Price Missing"/>
    <n v="0"/>
  </r>
  <r>
    <s v="ORD01958"/>
    <s v="CUST0756"/>
    <s v="PRD0138"/>
    <n v="3"/>
    <s v="Customer Not Found"/>
    <x v="7"/>
    <x v="24"/>
    <x v="5"/>
    <s v="Price Missing"/>
    <n v="0"/>
  </r>
  <r>
    <s v="ORD01959"/>
    <s v="CUST0983"/>
    <s v="PRD0175"/>
    <n v="2"/>
    <s v="Customer Not Found"/>
    <x v="7"/>
    <x v="24"/>
    <x v="5"/>
    <s v="Price Missing"/>
    <n v="0"/>
  </r>
  <r>
    <s v="ORD01960"/>
    <s v="CUST0905"/>
    <s v="PRD0364"/>
    <n v="5"/>
    <s v="Customer Not Found"/>
    <x v="7"/>
    <x v="24"/>
    <x v="5"/>
    <s v="Price Missing"/>
    <n v="0"/>
  </r>
  <r>
    <s v="ORD01961"/>
    <s v="CUST0868"/>
    <s v="PRD0274"/>
    <n v="3"/>
    <s v="Customer Not Found"/>
    <x v="7"/>
    <x v="24"/>
    <x v="5"/>
    <s v="Price Missing"/>
    <n v="0"/>
  </r>
  <r>
    <s v="ORD01962"/>
    <s v="CUST0862"/>
    <s v="PRD0145"/>
    <n v="6"/>
    <s v="Customer Not Found"/>
    <x v="7"/>
    <x v="24"/>
    <x v="5"/>
    <s v="Price Missing"/>
    <n v="0"/>
  </r>
  <r>
    <s v="ORD01963"/>
    <s v="CUST0447"/>
    <s v="PRD0003"/>
    <n v="9"/>
    <s v="Customer Not Found"/>
    <x v="7"/>
    <x v="24"/>
    <x v="5"/>
    <s v="Price Missing"/>
    <n v="0"/>
  </r>
  <r>
    <s v="ORD01964"/>
    <s v="CUST0233"/>
    <s v="PRD0411"/>
    <n v="6"/>
    <s v="Customer Not Found"/>
    <x v="7"/>
    <x v="24"/>
    <x v="5"/>
    <s v="Price Missing"/>
    <n v="0"/>
  </r>
  <r>
    <s v="ORD01965"/>
    <s v="CUST0904"/>
    <s v="PRD0298"/>
    <n v="7"/>
    <s v="Customer Not Found"/>
    <x v="7"/>
    <x v="24"/>
    <x v="5"/>
    <s v="Price Missing"/>
    <n v="0"/>
  </r>
  <r>
    <s v="ORD01966"/>
    <s v="CUST0072"/>
    <s v="PRD0455"/>
    <n v="1"/>
    <s v="Customer Not Found"/>
    <x v="7"/>
    <x v="24"/>
    <x v="5"/>
    <s v="Price Missing"/>
    <n v="0"/>
  </r>
  <r>
    <s v="ORD01967"/>
    <s v="CUST0528"/>
    <s v="PRD0088"/>
    <n v="10"/>
    <s v="Customer Not Found"/>
    <x v="7"/>
    <x v="24"/>
    <x v="5"/>
    <s v="Price Missing"/>
    <n v="0"/>
  </r>
  <r>
    <s v="ORD01968"/>
    <s v="CUST0746"/>
    <s v="PRD0346"/>
    <n v="2"/>
    <s v="Customer Not Found"/>
    <x v="7"/>
    <x v="24"/>
    <x v="5"/>
    <s v="Price Missing"/>
    <n v="0"/>
  </r>
  <r>
    <s v="ORD01969"/>
    <s v="CUST0083"/>
    <s v="PRD0292"/>
    <n v="8"/>
    <s v="Customer Not Found"/>
    <x v="7"/>
    <x v="24"/>
    <x v="5"/>
    <s v="Price Missing"/>
    <n v="0"/>
  </r>
  <r>
    <s v="ORD01970"/>
    <s v="CUST0138"/>
    <s v="PRD0448"/>
    <n v="4"/>
    <s v="Customer Not Found"/>
    <x v="7"/>
    <x v="24"/>
    <x v="5"/>
    <s v="Price Missing"/>
    <n v="0"/>
  </r>
  <r>
    <s v="ORD01971"/>
    <s v="CUST0155"/>
    <s v="PRD0448"/>
    <n v="7"/>
    <s v="Customer Not Found"/>
    <x v="7"/>
    <x v="24"/>
    <x v="5"/>
    <s v="Price Missing"/>
    <n v="0"/>
  </r>
  <r>
    <s v="ORD01972"/>
    <s v="CUST0005"/>
    <s v="PRD0241"/>
    <n v="7"/>
    <s v="Customer Not Found"/>
    <x v="7"/>
    <x v="24"/>
    <x v="5"/>
    <s v="Price Missing"/>
    <n v="0"/>
  </r>
  <r>
    <s v="ORD01973"/>
    <s v="CUST0215"/>
    <s v="PRD0368"/>
    <n v="4"/>
    <s v="Customer Not Found"/>
    <x v="7"/>
    <x v="24"/>
    <x v="5"/>
    <s v="Price Missing"/>
    <n v="0"/>
  </r>
  <r>
    <s v="ORD01974"/>
    <s v="CUST0330"/>
    <s v="PRD0282"/>
    <n v="10"/>
    <s v="Customer Not Found"/>
    <x v="7"/>
    <x v="24"/>
    <x v="5"/>
    <s v="Price Missing"/>
    <n v="0"/>
  </r>
  <r>
    <s v="ORD01975"/>
    <s v="CUST0754"/>
    <s v="PRD0392"/>
    <n v="10"/>
    <s v="Customer Not Found"/>
    <x v="7"/>
    <x v="24"/>
    <x v="5"/>
    <s v="Price Missing"/>
    <n v="0"/>
  </r>
  <r>
    <s v="ORD01976"/>
    <s v="CUST0345"/>
    <s v="PRD0383"/>
    <n v="5"/>
    <s v="Customer Not Found"/>
    <x v="7"/>
    <x v="24"/>
    <x v="5"/>
    <s v="Price Missing"/>
    <n v="0"/>
  </r>
  <r>
    <s v="ORD01977"/>
    <s v="CUST0729"/>
    <s v="PRD0398"/>
    <n v="7"/>
    <s v="Customer Not Found"/>
    <x v="7"/>
    <x v="24"/>
    <x v="5"/>
    <s v="Price Missing"/>
    <n v="0"/>
  </r>
  <r>
    <s v="ORD01978"/>
    <s v="CUST0408"/>
    <s v="PRD0245"/>
    <n v="10"/>
    <s v="Customer Not Found"/>
    <x v="7"/>
    <x v="24"/>
    <x v="5"/>
    <s v="Price Missing"/>
    <n v="0"/>
  </r>
  <r>
    <s v="ORD01979"/>
    <s v="CUST0074"/>
    <s v="PRD0387"/>
    <n v="6"/>
    <s v="Customer Not Found"/>
    <x v="7"/>
    <x v="24"/>
    <x v="5"/>
    <s v="Price Missing"/>
    <n v="0"/>
  </r>
  <r>
    <s v="ORD01980"/>
    <s v="CUST0904"/>
    <s v="PRD0387"/>
    <n v="1"/>
    <s v="Customer Not Found"/>
    <x v="7"/>
    <x v="24"/>
    <x v="5"/>
    <s v="Price Missing"/>
    <n v="0"/>
  </r>
  <r>
    <s v="ORD01981"/>
    <s v="CUST0328"/>
    <s v="PRD0309"/>
    <n v="5"/>
    <s v="Customer Not Found"/>
    <x v="7"/>
    <x v="24"/>
    <x v="5"/>
    <s v="Price Missing"/>
    <n v="0"/>
  </r>
  <r>
    <s v="ORD01982"/>
    <s v="CUST0401"/>
    <s v="PRD0342"/>
    <n v="7"/>
    <s v="Customer Not Found"/>
    <x v="7"/>
    <x v="24"/>
    <x v="5"/>
    <s v="Price Missing"/>
    <n v="0"/>
  </r>
  <r>
    <s v="ORD01983"/>
    <s v="CUST0727"/>
    <s v="PRD0180"/>
    <n v="6"/>
    <s v="Customer Not Found"/>
    <x v="7"/>
    <x v="24"/>
    <x v="5"/>
    <s v="Price Missing"/>
    <n v="0"/>
  </r>
  <r>
    <s v="ORD01984"/>
    <s v="CUST0426"/>
    <s v="PRD0471"/>
    <n v="9"/>
    <s v="Customer Not Found"/>
    <x v="7"/>
    <x v="24"/>
    <x v="5"/>
    <s v="Price Missing"/>
    <n v="0"/>
  </r>
  <r>
    <s v="ORD01985"/>
    <s v="CUST0726"/>
    <s v="PRD0155"/>
    <n v="2"/>
    <s v="Customer Not Found"/>
    <x v="7"/>
    <x v="24"/>
    <x v="5"/>
    <s v="Price Missing"/>
    <n v="0"/>
  </r>
  <r>
    <s v="ORD01986"/>
    <s v="CUST0450"/>
    <s v="PRD0070"/>
    <n v="6"/>
    <s v="Customer Not Found"/>
    <x v="7"/>
    <x v="24"/>
    <x v="5"/>
    <s v="Price Missing"/>
    <n v="0"/>
  </r>
  <r>
    <s v="ORD01987"/>
    <s v="CUST0342"/>
    <s v="PRD0361"/>
    <n v="5"/>
    <s v="Customer Not Found"/>
    <x v="7"/>
    <x v="24"/>
    <x v="5"/>
    <s v="Price Missing"/>
    <n v="0"/>
  </r>
  <r>
    <s v="ORD01988"/>
    <s v="CUST0568"/>
    <s v="PRD0359"/>
    <n v="9"/>
    <s v="Customer Not Found"/>
    <x v="7"/>
    <x v="24"/>
    <x v="5"/>
    <s v="Price Missing"/>
    <n v="0"/>
  </r>
  <r>
    <s v="ORD01989"/>
    <s v="CUST0105"/>
    <s v="PRD0402"/>
    <n v="9"/>
    <s v="Customer Not Found"/>
    <x v="7"/>
    <x v="24"/>
    <x v="5"/>
    <s v="Price Missing"/>
    <n v="0"/>
  </r>
  <r>
    <s v="ORD01990"/>
    <s v="CUST0975"/>
    <s v="PRD0251"/>
    <n v="9"/>
    <s v="Customer Not Found"/>
    <x v="7"/>
    <x v="24"/>
    <x v="5"/>
    <s v="Price Missing"/>
    <n v="0"/>
  </r>
  <r>
    <s v="ORD01991"/>
    <s v="CUST0771"/>
    <s v="PRD0051"/>
    <n v="2"/>
    <s v="Customer Not Found"/>
    <x v="7"/>
    <x v="24"/>
    <x v="5"/>
    <s v="Price Missing"/>
    <n v="0"/>
  </r>
  <r>
    <s v="ORD01992"/>
    <s v="CUST0458"/>
    <s v="PRD0073"/>
    <n v="5"/>
    <s v="Customer Not Found"/>
    <x v="7"/>
    <x v="24"/>
    <x v="5"/>
    <s v="Price Missing"/>
    <n v="0"/>
  </r>
  <r>
    <s v="ORD01993"/>
    <s v="CUST0405"/>
    <s v="PRD0433"/>
    <n v="7"/>
    <s v="Customer Not Found"/>
    <x v="7"/>
    <x v="24"/>
    <x v="5"/>
    <s v="Price Missing"/>
    <n v="0"/>
  </r>
  <r>
    <s v="ORD01994"/>
    <s v="CUST0623"/>
    <s v="PRD0237"/>
    <n v="10"/>
    <s v="Customer Not Found"/>
    <x v="7"/>
    <x v="24"/>
    <x v="5"/>
    <s v="Price Missing"/>
    <n v="0"/>
  </r>
  <r>
    <s v="ORD01995"/>
    <s v="CUST0168"/>
    <s v="PRD0476"/>
    <n v="3"/>
    <s v="Customer Not Found"/>
    <x v="7"/>
    <x v="24"/>
    <x v="5"/>
    <s v="Price Missing"/>
    <n v="0"/>
  </r>
  <r>
    <s v="ORD01996"/>
    <s v="CUST0577"/>
    <s v="PRD0096"/>
    <n v="8"/>
    <s v="Customer Not Found"/>
    <x v="7"/>
    <x v="24"/>
    <x v="5"/>
    <s v="Price Missing"/>
    <n v="0"/>
  </r>
  <r>
    <s v="ORD01997"/>
    <s v="CUST0233"/>
    <s v="PRD0464"/>
    <n v="7"/>
    <s v="Customer Not Found"/>
    <x v="7"/>
    <x v="24"/>
    <x v="5"/>
    <s v="Price Missing"/>
    <n v="0"/>
  </r>
  <r>
    <s v="ORD01998"/>
    <s v="CUST0417"/>
    <s v="PRD0283"/>
    <n v="6"/>
    <s v="Customer Not Found"/>
    <x v="7"/>
    <x v="24"/>
    <x v="5"/>
    <s v="Price Missing"/>
    <n v="0"/>
  </r>
  <r>
    <s v="ORD01999"/>
    <s v="CUST0244"/>
    <s v="PRD0143"/>
    <n v="2"/>
    <s v="Customer Not Found"/>
    <x v="7"/>
    <x v="24"/>
    <x v="5"/>
    <s v="Price Missing"/>
    <n v="0"/>
  </r>
  <r>
    <s v="ORD02000"/>
    <s v="CUST0452"/>
    <s v="PRD0412"/>
    <n v="5"/>
    <s v="Customer Not Found"/>
    <x v="7"/>
    <x v="24"/>
    <x v="5"/>
    <s v="Price Missing"/>
    <n v="0"/>
  </r>
  <r>
    <s v="ORD02001"/>
    <s v="CUST0031"/>
    <s v="PRD0128"/>
    <n v="3"/>
    <s v="Customer Not Found"/>
    <x v="7"/>
    <x v="24"/>
    <x v="5"/>
    <s v="Price Missing"/>
    <n v="0"/>
  </r>
  <r>
    <s v="ORD02002"/>
    <s v="CUST0381"/>
    <s v="PRD0315"/>
    <n v="7"/>
    <s v="Customer Not Found"/>
    <x v="7"/>
    <x v="24"/>
    <x v="5"/>
    <s v="Price Missing"/>
    <n v="0"/>
  </r>
  <r>
    <s v="ORD02003"/>
    <s v="CUST0190"/>
    <s v="PRD0386"/>
    <n v="6"/>
    <s v="Customer Not Found"/>
    <x v="7"/>
    <x v="24"/>
    <x v="5"/>
    <s v="Price Missing"/>
    <n v="0"/>
  </r>
  <r>
    <s v="ORD02004"/>
    <s v="CUST0858"/>
    <s v="PRD0217"/>
    <n v="9"/>
    <s v="Customer Not Found"/>
    <x v="7"/>
    <x v="24"/>
    <x v="5"/>
    <s v="Price Missing"/>
    <n v="0"/>
  </r>
  <r>
    <s v="ORD02005"/>
    <s v="CUST0470"/>
    <s v="PRD0404"/>
    <n v="9"/>
    <s v="Customer Not Found"/>
    <x v="7"/>
    <x v="24"/>
    <x v="5"/>
    <s v="Price Missing"/>
    <n v="0"/>
  </r>
  <r>
    <s v="ORD02006"/>
    <s v="CUST0084"/>
    <s v="PRD0331"/>
    <n v="4"/>
    <s v="Customer Not Found"/>
    <x v="7"/>
    <x v="24"/>
    <x v="5"/>
    <s v="Price Missing"/>
    <n v="0"/>
  </r>
  <r>
    <s v="ORD02007"/>
    <s v="CUST0639"/>
    <s v="PRD0088"/>
    <n v="6"/>
    <s v="Customer Not Found"/>
    <x v="7"/>
    <x v="24"/>
    <x v="5"/>
    <s v="Price Missing"/>
    <n v="0"/>
  </r>
  <r>
    <s v="ORD02008"/>
    <s v="CUST0763"/>
    <s v="PRD0299"/>
    <n v="6"/>
    <s v="Customer Not Found"/>
    <x v="7"/>
    <x v="24"/>
    <x v="5"/>
    <s v="Price Missing"/>
    <n v="0"/>
  </r>
  <r>
    <s v="ORD02009"/>
    <s v="CUST0082"/>
    <s v="PRD0289"/>
    <n v="9"/>
    <s v="Customer Not Found"/>
    <x v="7"/>
    <x v="24"/>
    <x v="5"/>
    <s v="Price Missing"/>
    <n v="0"/>
  </r>
  <r>
    <s v="ORD02010"/>
    <s v="CUST0720"/>
    <s v="PRD0235"/>
    <n v="6"/>
    <s v="Customer Not Found"/>
    <x v="7"/>
    <x v="24"/>
    <x v="5"/>
    <s v="Price Missing"/>
    <n v="0"/>
  </r>
  <r>
    <s v="ORD02011"/>
    <s v="CUST0101"/>
    <s v="PRD0345"/>
    <n v="4"/>
    <s v="Customer Not Found"/>
    <x v="7"/>
    <x v="24"/>
    <x v="5"/>
    <s v="Price Missing"/>
    <n v="0"/>
  </r>
  <r>
    <s v="ORD02012"/>
    <s v="CUST0918"/>
    <s v="PRD0336"/>
    <n v="4"/>
    <s v="Customer Not Found"/>
    <x v="7"/>
    <x v="24"/>
    <x v="5"/>
    <s v="Price Missing"/>
    <n v="0"/>
  </r>
  <r>
    <s v="ORD02013"/>
    <s v="CUST0663"/>
    <s v="PRD0101"/>
    <n v="9"/>
    <s v="Customer Not Found"/>
    <x v="7"/>
    <x v="24"/>
    <x v="5"/>
    <s v="Price Missing"/>
    <n v="0"/>
  </r>
  <r>
    <s v="ORD02014"/>
    <s v="CUST0275"/>
    <s v="PRD0015"/>
    <n v="9"/>
    <s v="Customer Not Found"/>
    <x v="7"/>
    <x v="24"/>
    <x v="5"/>
    <s v="Price Missing"/>
    <n v="0"/>
  </r>
  <r>
    <s v="ORD02015"/>
    <s v="CUST0636"/>
    <s v="PRD0452"/>
    <n v="1"/>
    <s v="Customer Not Found"/>
    <x v="7"/>
    <x v="24"/>
    <x v="5"/>
    <s v="Price Missing"/>
    <n v="0"/>
  </r>
  <r>
    <s v="ORD02016"/>
    <s v="CUST0201"/>
    <s v="PRD0226"/>
    <n v="5"/>
    <s v="Customer Not Found"/>
    <x v="7"/>
    <x v="24"/>
    <x v="5"/>
    <s v="Price Missing"/>
    <n v="0"/>
  </r>
  <r>
    <s v="ORD02017"/>
    <s v="CUST0897"/>
    <s v="PRD0424"/>
    <n v="9"/>
    <s v="Customer Not Found"/>
    <x v="7"/>
    <x v="24"/>
    <x v="5"/>
    <s v="Price Missing"/>
    <n v="0"/>
  </r>
  <r>
    <s v="ORD02018"/>
    <s v="CUST0690"/>
    <s v="PRD0347"/>
    <n v="5"/>
    <s v="Customer Not Found"/>
    <x v="7"/>
    <x v="24"/>
    <x v="5"/>
    <s v="Price Missing"/>
    <n v="0"/>
  </r>
  <r>
    <s v="ORD02019"/>
    <s v="CUST0099"/>
    <s v="PRD0044"/>
    <n v="3"/>
    <s v="Customer Not Found"/>
    <x v="7"/>
    <x v="24"/>
    <x v="5"/>
    <s v="Price Missing"/>
    <n v="0"/>
  </r>
  <r>
    <s v="ORD02020"/>
    <s v="CUST0027"/>
    <s v="PRD0373"/>
    <n v="8"/>
    <s v="Customer Not Found"/>
    <x v="7"/>
    <x v="24"/>
    <x v="5"/>
    <s v="Price Missing"/>
    <n v="0"/>
  </r>
  <r>
    <s v="ORD02021"/>
    <s v="CUST0817"/>
    <s v="PRD0085"/>
    <n v="10"/>
    <s v="Customer Not Found"/>
    <x v="7"/>
    <x v="24"/>
    <x v="5"/>
    <s v="Price Missing"/>
    <n v="0"/>
  </r>
  <r>
    <s v="ORD02022"/>
    <s v="CUST0573"/>
    <s v="PRD0223"/>
    <n v="7"/>
    <s v="Customer Not Found"/>
    <x v="7"/>
    <x v="24"/>
    <x v="5"/>
    <s v="Price Missing"/>
    <n v="0"/>
  </r>
  <r>
    <s v="ORD02023"/>
    <s v="CUST0151"/>
    <s v="PRD0332"/>
    <n v="3"/>
    <s v="Customer Not Found"/>
    <x v="7"/>
    <x v="24"/>
    <x v="5"/>
    <s v="Price Missing"/>
    <n v="0"/>
  </r>
  <r>
    <s v="ORD02024"/>
    <s v="CUST0559"/>
    <s v="PRD0256"/>
    <n v="1"/>
    <s v="Customer Not Found"/>
    <x v="7"/>
    <x v="24"/>
    <x v="5"/>
    <s v="Price Missing"/>
    <n v="0"/>
  </r>
  <r>
    <s v="ORD02025"/>
    <s v="CUST0834"/>
    <s v="PRD0072"/>
    <n v="3"/>
    <s v="Customer Not Found"/>
    <x v="7"/>
    <x v="24"/>
    <x v="5"/>
    <s v="Price Missing"/>
    <n v="0"/>
  </r>
  <r>
    <s v="ORD02026"/>
    <s v="CUST0481"/>
    <s v="PRD0325"/>
    <n v="2"/>
    <s v="Customer Not Found"/>
    <x v="7"/>
    <x v="24"/>
    <x v="5"/>
    <s v="Price Missing"/>
    <n v="0"/>
  </r>
  <r>
    <s v="ORD02027"/>
    <s v="CUST0709"/>
    <s v="PRD0205"/>
    <n v="6"/>
    <s v="Customer Not Found"/>
    <x v="7"/>
    <x v="24"/>
    <x v="5"/>
    <s v="Price Missing"/>
    <n v="0"/>
  </r>
  <r>
    <s v="ORD02028"/>
    <s v="CUST0719"/>
    <s v="PRD0034"/>
    <n v="9"/>
    <s v="Customer Not Found"/>
    <x v="7"/>
    <x v="24"/>
    <x v="5"/>
    <s v="Price Missing"/>
    <n v="0"/>
  </r>
  <r>
    <s v="ORD02029"/>
    <s v="CUST0867"/>
    <s v="PRD0079"/>
    <n v="7"/>
    <s v="Customer Not Found"/>
    <x v="7"/>
    <x v="24"/>
    <x v="5"/>
    <s v="Price Missing"/>
    <n v="0"/>
  </r>
  <r>
    <s v="ORD02030"/>
    <s v="CUST0807"/>
    <s v="PRD0360"/>
    <n v="6"/>
    <s v="Customer Not Found"/>
    <x v="7"/>
    <x v="24"/>
    <x v="5"/>
    <s v="Price Missing"/>
    <n v="0"/>
  </r>
  <r>
    <s v="ORD02031"/>
    <s v="CUST0107"/>
    <s v="PRD0486"/>
    <n v="9"/>
    <s v="Customer Not Found"/>
    <x v="7"/>
    <x v="24"/>
    <x v="5"/>
    <s v="Price Missing"/>
    <n v="0"/>
  </r>
  <r>
    <s v="ORD02032"/>
    <s v="CUST0137"/>
    <s v="PRD0057"/>
    <n v="3"/>
    <s v="Customer Not Found"/>
    <x v="7"/>
    <x v="24"/>
    <x v="5"/>
    <s v="Price Missing"/>
    <n v="0"/>
  </r>
  <r>
    <s v="ORD02033"/>
    <s v="CUST0664"/>
    <s v="PRD0417"/>
    <n v="10"/>
    <s v="Customer Not Found"/>
    <x v="7"/>
    <x v="24"/>
    <x v="5"/>
    <s v="Price Missing"/>
    <n v="0"/>
  </r>
  <r>
    <s v="ORD02034"/>
    <s v="CUST0811"/>
    <s v="PRD0423"/>
    <n v="10"/>
    <s v="Customer Not Found"/>
    <x v="7"/>
    <x v="24"/>
    <x v="5"/>
    <s v="Price Missing"/>
    <n v="0"/>
  </r>
  <r>
    <s v="ORD02035"/>
    <s v="CUST0244"/>
    <s v="PRD0396"/>
    <n v="7"/>
    <s v="Customer Not Found"/>
    <x v="7"/>
    <x v="24"/>
    <x v="5"/>
    <s v="Price Missing"/>
    <n v="0"/>
  </r>
  <r>
    <s v="ORD02036"/>
    <s v="CUST0214"/>
    <s v="PRD0131"/>
    <n v="5"/>
    <s v="Customer Not Found"/>
    <x v="7"/>
    <x v="24"/>
    <x v="5"/>
    <s v="Price Missing"/>
    <n v="0"/>
  </r>
  <r>
    <s v="ORD02037"/>
    <s v="CUST0020"/>
    <s v="PRD0463"/>
    <n v="7"/>
    <s v="Customer Not Found"/>
    <x v="7"/>
    <x v="24"/>
    <x v="5"/>
    <s v="Price Missing"/>
    <n v="0"/>
  </r>
  <r>
    <s v="ORD02038"/>
    <s v="CUST0021"/>
    <s v="PRD0262"/>
    <n v="2"/>
    <s v="Customer Not Found"/>
    <x v="7"/>
    <x v="24"/>
    <x v="5"/>
    <s v="Price Missing"/>
    <n v="0"/>
  </r>
  <r>
    <s v="ORD02039"/>
    <s v="CUST0762"/>
    <s v="PRD0422"/>
    <n v="1"/>
    <s v="Customer Not Found"/>
    <x v="7"/>
    <x v="24"/>
    <x v="5"/>
    <s v="Price Missing"/>
    <n v="0"/>
  </r>
  <r>
    <s v="ORD02040"/>
    <s v="CUST0259"/>
    <s v="PRD0120"/>
    <n v="4"/>
    <s v="Customer Not Found"/>
    <x v="7"/>
    <x v="24"/>
    <x v="5"/>
    <s v="Price Missing"/>
    <n v="0"/>
  </r>
  <r>
    <s v="ORD02041"/>
    <s v="CUST0312"/>
    <s v="PRD0166"/>
    <n v="6"/>
    <s v="Customer Not Found"/>
    <x v="7"/>
    <x v="24"/>
    <x v="5"/>
    <s v="Price Missing"/>
    <n v="0"/>
  </r>
  <r>
    <s v="ORD02042"/>
    <s v="CUST0169"/>
    <s v="PRD0470"/>
    <n v="8"/>
    <s v="Customer Not Found"/>
    <x v="7"/>
    <x v="24"/>
    <x v="5"/>
    <s v="Price Missing"/>
    <n v="0"/>
  </r>
  <r>
    <s v="ORD02043"/>
    <s v="CUST0777"/>
    <s v="PRD0110"/>
    <n v="4"/>
    <s v="Customer Not Found"/>
    <x v="7"/>
    <x v="24"/>
    <x v="5"/>
    <s v="Price Missing"/>
    <n v="0"/>
  </r>
  <r>
    <s v="ORD02044"/>
    <s v="CUST0186"/>
    <s v="PRD0457"/>
    <n v="4"/>
    <s v="Customer Not Found"/>
    <x v="7"/>
    <x v="24"/>
    <x v="5"/>
    <s v="Price Missing"/>
    <n v="0"/>
  </r>
  <r>
    <s v="ORD02045"/>
    <s v="CUST0487"/>
    <s v="PRD0074"/>
    <n v="3"/>
    <s v="Customer Not Found"/>
    <x v="7"/>
    <x v="24"/>
    <x v="5"/>
    <s v="Price Missing"/>
    <n v="0"/>
  </r>
  <r>
    <s v="ORD02046"/>
    <s v="CUST0385"/>
    <s v="PRD0023"/>
    <n v="2"/>
    <s v="Customer Not Found"/>
    <x v="7"/>
    <x v="24"/>
    <x v="5"/>
    <s v="Price Missing"/>
    <n v="0"/>
  </r>
  <r>
    <s v="ORD02047"/>
    <s v="CUST0699"/>
    <s v="PRD0153"/>
    <n v="2"/>
    <s v="Customer Not Found"/>
    <x v="7"/>
    <x v="24"/>
    <x v="5"/>
    <s v="Price Missing"/>
    <n v="0"/>
  </r>
  <r>
    <s v="ORD02048"/>
    <s v="CUST0938"/>
    <s v="PRD0067"/>
    <n v="5"/>
    <s v="Customer Not Found"/>
    <x v="7"/>
    <x v="24"/>
    <x v="5"/>
    <s v="Price Missing"/>
    <n v="0"/>
  </r>
  <r>
    <s v="ORD02049"/>
    <s v="CUST0864"/>
    <s v="PRD0066"/>
    <n v="1"/>
    <s v="Customer Not Found"/>
    <x v="7"/>
    <x v="24"/>
    <x v="5"/>
    <s v="Price Missing"/>
    <n v="0"/>
  </r>
  <r>
    <s v="ORD02050"/>
    <s v="CUST0263"/>
    <s v="PRD0114"/>
    <n v="9"/>
    <s v="Customer Not Found"/>
    <x v="7"/>
    <x v="24"/>
    <x v="5"/>
    <s v="Price Missing"/>
    <n v="0"/>
  </r>
  <r>
    <s v="ORD02051"/>
    <s v="CUST0610"/>
    <s v="PRD0069"/>
    <n v="10"/>
    <s v="Customer Not Found"/>
    <x v="7"/>
    <x v="24"/>
    <x v="5"/>
    <s v="Price Missing"/>
    <n v="0"/>
  </r>
  <r>
    <s v="ORD02052"/>
    <s v="CUST0422"/>
    <s v="PRD0188"/>
    <n v="1"/>
    <s v="Customer Not Found"/>
    <x v="7"/>
    <x v="24"/>
    <x v="5"/>
    <s v="Price Missing"/>
    <n v="0"/>
  </r>
  <r>
    <s v="ORD02053"/>
    <s v="CUST0629"/>
    <s v="PRD0490"/>
    <n v="6"/>
    <s v="Customer Not Found"/>
    <x v="7"/>
    <x v="24"/>
    <x v="5"/>
    <s v="Price Missing"/>
    <n v="0"/>
  </r>
  <r>
    <s v="ORD02054"/>
    <s v="CUST0831"/>
    <s v="PRD0191"/>
    <n v="2"/>
    <s v="Customer Not Found"/>
    <x v="7"/>
    <x v="24"/>
    <x v="5"/>
    <s v="Price Missing"/>
    <n v="0"/>
  </r>
  <r>
    <s v="ORD02055"/>
    <s v="CUST0962"/>
    <s v="PRD0349"/>
    <n v="4"/>
    <s v="Customer Not Found"/>
    <x v="7"/>
    <x v="24"/>
    <x v="5"/>
    <s v="Price Missing"/>
    <n v="0"/>
  </r>
  <r>
    <s v="ORD02056"/>
    <s v="CUST0657"/>
    <s v="PRD0242"/>
    <n v="1"/>
    <s v="Customer Not Found"/>
    <x v="7"/>
    <x v="24"/>
    <x v="5"/>
    <s v="Price Missing"/>
    <n v="0"/>
  </r>
  <r>
    <s v="ORD02057"/>
    <s v="CUST0291"/>
    <s v="PRD0014"/>
    <n v="1"/>
    <s v="Customer Not Found"/>
    <x v="7"/>
    <x v="24"/>
    <x v="5"/>
    <s v="Price Missing"/>
    <n v="0"/>
  </r>
  <r>
    <s v="ORD02058"/>
    <s v="CUST0033"/>
    <s v="PRD0212"/>
    <n v="8"/>
    <s v="Customer Not Found"/>
    <x v="7"/>
    <x v="24"/>
    <x v="5"/>
    <s v="Price Missing"/>
    <n v="0"/>
  </r>
  <r>
    <s v="ORD02059"/>
    <s v="CUST0552"/>
    <s v="PRD0217"/>
    <n v="4"/>
    <s v="Customer Not Found"/>
    <x v="7"/>
    <x v="24"/>
    <x v="5"/>
    <s v="Price Missing"/>
    <n v="0"/>
  </r>
  <r>
    <s v="ORD02060"/>
    <s v="CUST0137"/>
    <s v="PRD0486"/>
    <n v="7"/>
    <s v="Customer Not Found"/>
    <x v="7"/>
    <x v="24"/>
    <x v="5"/>
    <s v="Price Missing"/>
    <n v="0"/>
  </r>
  <r>
    <s v="ORD02061"/>
    <s v="CUST0614"/>
    <s v="PRD0299"/>
    <n v="2"/>
    <s v="Customer Not Found"/>
    <x v="7"/>
    <x v="24"/>
    <x v="5"/>
    <s v="Price Missing"/>
    <n v="0"/>
  </r>
  <r>
    <s v="ORD02062"/>
    <s v="CUST0007"/>
    <s v="PRD0246"/>
    <n v="6"/>
    <s v="Customer Not Found"/>
    <x v="7"/>
    <x v="24"/>
    <x v="5"/>
    <s v="Price Missing"/>
    <n v="0"/>
  </r>
  <r>
    <s v="ORD02063"/>
    <s v="CUST0550"/>
    <s v="PRD0085"/>
    <n v="2"/>
    <s v="Customer Not Found"/>
    <x v="7"/>
    <x v="24"/>
    <x v="5"/>
    <s v="Price Missing"/>
    <n v="0"/>
  </r>
  <r>
    <s v="ORD02064"/>
    <s v="CUST0268"/>
    <s v="PRD0157"/>
    <n v="10"/>
    <s v="Customer Not Found"/>
    <x v="7"/>
    <x v="24"/>
    <x v="5"/>
    <s v="Price Missing"/>
    <n v="0"/>
  </r>
  <r>
    <s v="ORD02065"/>
    <s v="CUST0527"/>
    <s v="PRD0314"/>
    <n v="1"/>
    <s v="Customer Not Found"/>
    <x v="7"/>
    <x v="24"/>
    <x v="5"/>
    <s v="Price Missing"/>
    <n v="0"/>
  </r>
  <r>
    <s v="ORD02066"/>
    <s v="CUST0605"/>
    <s v="PRD0476"/>
    <n v="7"/>
    <s v="Customer Not Found"/>
    <x v="7"/>
    <x v="24"/>
    <x v="5"/>
    <s v="Price Missing"/>
    <n v="0"/>
  </r>
  <r>
    <s v="ORD02067"/>
    <s v="CUST0791"/>
    <s v="PRD0467"/>
    <n v="6"/>
    <s v="Customer Not Found"/>
    <x v="7"/>
    <x v="24"/>
    <x v="5"/>
    <s v="Price Missing"/>
    <n v="0"/>
  </r>
  <r>
    <s v="ORD02068"/>
    <s v="CUST0273"/>
    <s v="PRD0013"/>
    <n v="5"/>
    <s v="Customer Not Found"/>
    <x v="7"/>
    <x v="24"/>
    <x v="5"/>
    <s v="Price Missing"/>
    <n v="0"/>
  </r>
  <r>
    <s v="ORD02069"/>
    <s v="CUST0821"/>
    <s v="PRD0030"/>
    <n v="6"/>
    <s v="Customer Not Found"/>
    <x v="7"/>
    <x v="24"/>
    <x v="5"/>
    <s v="Price Missing"/>
    <n v="0"/>
  </r>
  <r>
    <s v="ORD02070"/>
    <s v="CUST0992"/>
    <s v="PRD0364"/>
    <n v="9"/>
    <s v="Customer Not Found"/>
    <x v="7"/>
    <x v="24"/>
    <x v="5"/>
    <s v="Price Missing"/>
    <n v="0"/>
  </r>
  <r>
    <s v="ORD02071"/>
    <s v="CUST0524"/>
    <s v="PRD0023"/>
    <n v="7"/>
    <s v="Customer Not Found"/>
    <x v="7"/>
    <x v="24"/>
    <x v="5"/>
    <s v="Price Missing"/>
    <n v="0"/>
  </r>
  <r>
    <s v="ORD02072"/>
    <s v="CUST0549"/>
    <s v="PRD0367"/>
    <n v="5"/>
    <s v="Customer Not Found"/>
    <x v="7"/>
    <x v="24"/>
    <x v="5"/>
    <s v="Price Missing"/>
    <n v="0"/>
  </r>
  <r>
    <s v="ORD02073"/>
    <s v="CUST0102"/>
    <s v="PRD0005"/>
    <n v="10"/>
    <s v="Customer Not Found"/>
    <x v="7"/>
    <x v="24"/>
    <x v="5"/>
    <s v="Price Missing"/>
    <n v="0"/>
  </r>
  <r>
    <s v="ORD02074"/>
    <s v="CUST0704"/>
    <s v="PRD0458"/>
    <n v="8"/>
    <s v="Customer Not Found"/>
    <x v="7"/>
    <x v="24"/>
    <x v="5"/>
    <s v="Price Missing"/>
    <n v="0"/>
  </r>
  <r>
    <s v="ORD02075"/>
    <s v="CUST0770"/>
    <s v="PRD0376"/>
    <n v="10"/>
    <s v="Customer Not Found"/>
    <x v="7"/>
    <x v="24"/>
    <x v="5"/>
    <s v="Price Missing"/>
    <n v="0"/>
  </r>
  <r>
    <s v="ORD02076"/>
    <s v="CUST0825"/>
    <s v="PRD0024"/>
    <n v="9"/>
    <s v="Customer Not Found"/>
    <x v="7"/>
    <x v="24"/>
    <x v="5"/>
    <s v="Price Missing"/>
    <n v="0"/>
  </r>
  <r>
    <s v="ORD02077"/>
    <s v="CUST0581"/>
    <s v="PRD0266"/>
    <n v="8"/>
    <s v="Customer Not Found"/>
    <x v="7"/>
    <x v="24"/>
    <x v="5"/>
    <s v="Price Missing"/>
    <n v="0"/>
  </r>
  <r>
    <s v="ORD02078"/>
    <s v="CUST0398"/>
    <s v="PRD0412"/>
    <n v="5"/>
    <s v="Customer Not Found"/>
    <x v="7"/>
    <x v="24"/>
    <x v="5"/>
    <s v="Price Missing"/>
    <n v="0"/>
  </r>
  <r>
    <s v="ORD02079"/>
    <s v="CUST0409"/>
    <s v="PRD0403"/>
    <n v="8"/>
    <s v="Customer Not Found"/>
    <x v="7"/>
    <x v="24"/>
    <x v="5"/>
    <s v="Price Missing"/>
    <n v="0"/>
  </r>
  <r>
    <s v="ORD02080"/>
    <s v="CUST0696"/>
    <s v="PRD0181"/>
    <n v="1"/>
    <s v="Customer Not Found"/>
    <x v="7"/>
    <x v="24"/>
    <x v="5"/>
    <s v="Price Missing"/>
    <n v="0"/>
  </r>
  <r>
    <s v="ORD02081"/>
    <s v="CUST0482"/>
    <s v="PRD0055"/>
    <n v="3"/>
    <s v="Customer Not Found"/>
    <x v="7"/>
    <x v="24"/>
    <x v="5"/>
    <s v="Price Missing"/>
    <n v="0"/>
  </r>
  <r>
    <s v="ORD02082"/>
    <s v="CUST0194"/>
    <s v="PRD0357"/>
    <n v="4"/>
    <s v="Customer Not Found"/>
    <x v="7"/>
    <x v="24"/>
    <x v="5"/>
    <s v="Price Missing"/>
    <n v="0"/>
  </r>
  <r>
    <s v="ORD02083"/>
    <s v="CUST0886"/>
    <s v="PRD0404"/>
    <n v="10"/>
    <s v="Customer Not Found"/>
    <x v="7"/>
    <x v="24"/>
    <x v="5"/>
    <s v="Price Missing"/>
    <n v="0"/>
  </r>
  <r>
    <s v="ORD02084"/>
    <s v="CUST0487"/>
    <s v="PRD0100"/>
    <n v="7"/>
    <s v="Customer Not Found"/>
    <x v="7"/>
    <x v="24"/>
    <x v="5"/>
    <s v="Price Missing"/>
    <n v="0"/>
  </r>
  <r>
    <s v="ORD02085"/>
    <s v="CUST0514"/>
    <s v="PRD0220"/>
    <n v="8"/>
    <s v="Customer Not Found"/>
    <x v="7"/>
    <x v="24"/>
    <x v="5"/>
    <s v="Price Missing"/>
    <n v="0"/>
  </r>
  <r>
    <s v="ORD02086"/>
    <s v="CUST0376"/>
    <s v="PRD0278"/>
    <n v="8"/>
    <s v="Customer Not Found"/>
    <x v="7"/>
    <x v="24"/>
    <x v="5"/>
    <s v="Price Missing"/>
    <n v="0"/>
  </r>
  <r>
    <s v="ORD02087"/>
    <s v="CUST0602"/>
    <s v="PRD0295"/>
    <n v="4"/>
    <s v="Customer Not Found"/>
    <x v="7"/>
    <x v="24"/>
    <x v="5"/>
    <s v="Price Missing"/>
    <n v="0"/>
  </r>
  <r>
    <s v="ORD02088"/>
    <s v="CUST0186"/>
    <s v="PRD0331"/>
    <n v="2"/>
    <s v="Customer Not Found"/>
    <x v="7"/>
    <x v="24"/>
    <x v="5"/>
    <s v="Price Missing"/>
    <n v="0"/>
  </r>
  <r>
    <s v="ORD02089"/>
    <s v="CUST0548"/>
    <s v="PRD0499"/>
    <n v="5"/>
    <s v="Customer Not Found"/>
    <x v="7"/>
    <x v="24"/>
    <x v="5"/>
    <s v="Price Missing"/>
    <n v="0"/>
  </r>
  <r>
    <s v="ORD02090"/>
    <s v="CUST0064"/>
    <s v="PRD0326"/>
    <n v="5"/>
    <s v="Customer Not Found"/>
    <x v="7"/>
    <x v="24"/>
    <x v="5"/>
    <s v="Price Missing"/>
    <n v="0"/>
  </r>
  <r>
    <s v="ORD02091"/>
    <s v="CUST0889"/>
    <s v="PRD0010"/>
    <n v="8"/>
    <s v="Customer Not Found"/>
    <x v="7"/>
    <x v="24"/>
    <x v="5"/>
    <s v="Price Missing"/>
    <n v="0"/>
  </r>
  <r>
    <s v="ORD02092"/>
    <s v="CUST0830"/>
    <s v="PRD0336"/>
    <n v="2"/>
    <s v="Customer Not Found"/>
    <x v="7"/>
    <x v="24"/>
    <x v="5"/>
    <s v="Price Missing"/>
    <n v="0"/>
  </r>
  <r>
    <s v="ORD02093"/>
    <s v="CUST0424"/>
    <s v="PRD0347"/>
    <n v="6"/>
    <s v="Customer Not Found"/>
    <x v="7"/>
    <x v="24"/>
    <x v="5"/>
    <s v="Price Missing"/>
    <n v="0"/>
  </r>
  <r>
    <s v="ORD02094"/>
    <s v="CUST0893"/>
    <s v="PRD0158"/>
    <n v="9"/>
    <s v="Customer Not Found"/>
    <x v="7"/>
    <x v="24"/>
    <x v="5"/>
    <s v="Price Missing"/>
    <n v="0"/>
  </r>
  <r>
    <s v="ORD02095"/>
    <s v="CUST0958"/>
    <s v="PRD0345"/>
    <n v="4"/>
    <s v="Customer Not Found"/>
    <x v="7"/>
    <x v="24"/>
    <x v="5"/>
    <s v="Price Missing"/>
    <n v="0"/>
  </r>
  <r>
    <s v="ORD02096"/>
    <s v="CUST0042"/>
    <s v="PRD0239"/>
    <n v="1"/>
    <s v="Customer Not Found"/>
    <x v="7"/>
    <x v="24"/>
    <x v="5"/>
    <s v="Price Missing"/>
    <n v="0"/>
  </r>
  <r>
    <s v="ORD02097"/>
    <s v="CUST0675"/>
    <s v="PRD0319"/>
    <n v="9"/>
    <s v="Customer Not Found"/>
    <x v="7"/>
    <x v="24"/>
    <x v="5"/>
    <s v="Price Missing"/>
    <n v="0"/>
  </r>
  <r>
    <s v="ORD02098"/>
    <s v="CUST0944"/>
    <s v="PRD0396"/>
    <n v="1"/>
    <s v="Customer Not Found"/>
    <x v="7"/>
    <x v="24"/>
    <x v="5"/>
    <s v="Price Missing"/>
    <n v="0"/>
  </r>
  <r>
    <s v="ORD02099"/>
    <s v="CUST0185"/>
    <s v="PRD0194"/>
    <n v="10"/>
    <s v="Customer Not Found"/>
    <x v="7"/>
    <x v="24"/>
    <x v="5"/>
    <s v="Price Missing"/>
    <n v="0"/>
  </r>
  <r>
    <s v="ORD02100"/>
    <s v="CUST0573"/>
    <s v="PRD0182"/>
    <n v="5"/>
    <s v="Customer Not Found"/>
    <x v="7"/>
    <x v="24"/>
    <x v="5"/>
    <s v="Price Missing"/>
    <n v="0"/>
  </r>
  <r>
    <s v="ORD02101"/>
    <s v="CUST0049"/>
    <s v="PRD0125"/>
    <n v="3"/>
    <s v="Customer Not Found"/>
    <x v="7"/>
    <x v="24"/>
    <x v="5"/>
    <s v="Price Missing"/>
    <n v="0"/>
  </r>
  <r>
    <s v="ORD02102"/>
    <s v="CUST0033"/>
    <s v="PRD0293"/>
    <n v="8"/>
    <s v="Customer Not Found"/>
    <x v="7"/>
    <x v="24"/>
    <x v="5"/>
    <s v="Price Missing"/>
    <n v="0"/>
  </r>
  <r>
    <s v="ORD02103"/>
    <s v="CUST0706"/>
    <s v="PRD0428"/>
    <n v="5"/>
    <s v="Customer Not Found"/>
    <x v="7"/>
    <x v="24"/>
    <x v="5"/>
    <s v="Price Missing"/>
    <n v="0"/>
  </r>
  <r>
    <s v="ORD02104"/>
    <s v="CUST0671"/>
    <s v="PRD0228"/>
    <n v="8"/>
    <s v="Customer Not Found"/>
    <x v="7"/>
    <x v="24"/>
    <x v="5"/>
    <s v="Price Missing"/>
    <n v="0"/>
  </r>
  <r>
    <s v="ORD02105"/>
    <s v="CUST0063"/>
    <s v="PRD0445"/>
    <n v="6"/>
    <s v="Customer Not Found"/>
    <x v="7"/>
    <x v="24"/>
    <x v="5"/>
    <s v="Price Missing"/>
    <n v="0"/>
  </r>
  <r>
    <s v="ORD02106"/>
    <s v="CUST0487"/>
    <s v="PRD0335"/>
    <n v="5"/>
    <s v="Customer Not Found"/>
    <x v="7"/>
    <x v="24"/>
    <x v="5"/>
    <s v="Price Missing"/>
    <n v="0"/>
  </r>
  <r>
    <s v="ORD02107"/>
    <s v="CUST0151"/>
    <s v="PRD0031"/>
    <n v="7"/>
    <s v="Customer Not Found"/>
    <x v="7"/>
    <x v="24"/>
    <x v="5"/>
    <s v="Price Missing"/>
    <n v="0"/>
  </r>
  <r>
    <s v="ORD02108"/>
    <s v="CUST0423"/>
    <s v="PRD0015"/>
    <n v="4"/>
    <s v="Customer Not Found"/>
    <x v="7"/>
    <x v="24"/>
    <x v="5"/>
    <s v="Price Missing"/>
    <n v="0"/>
  </r>
  <r>
    <s v="ORD02109"/>
    <s v="CUST0799"/>
    <s v="PRD0364"/>
    <n v="7"/>
    <s v="Customer Not Found"/>
    <x v="7"/>
    <x v="24"/>
    <x v="5"/>
    <s v="Price Missing"/>
    <n v="0"/>
  </r>
  <r>
    <s v="ORD02110"/>
    <s v="CUST0851"/>
    <s v="PRD0422"/>
    <n v="9"/>
    <s v="Customer Not Found"/>
    <x v="7"/>
    <x v="24"/>
    <x v="5"/>
    <s v="Price Missing"/>
    <n v="0"/>
  </r>
  <r>
    <s v="ORD02111"/>
    <s v="CUST0032"/>
    <s v="PRD0044"/>
    <n v="1"/>
    <s v="Customer Not Found"/>
    <x v="7"/>
    <x v="24"/>
    <x v="5"/>
    <s v="Price Missing"/>
    <n v="0"/>
  </r>
  <r>
    <s v="ORD02112"/>
    <s v="CUST0213"/>
    <s v="PRD0427"/>
    <n v="1"/>
    <s v="Customer Not Found"/>
    <x v="7"/>
    <x v="24"/>
    <x v="5"/>
    <s v="Price Missing"/>
    <n v="0"/>
  </r>
  <r>
    <s v="ORD02113"/>
    <s v="CUST0834"/>
    <s v="PRD0037"/>
    <n v="10"/>
    <s v="Customer Not Found"/>
    <x v="7"/>
    <x v="24"/>
    <x v="5"/>
    <s v="Price Missing"/>
    <n v="0"/>
  </r>
  <r>
    <s v="ORD02114"/>
    <s v="CUST0352"/>
    <s v="PRD0255"/>
    <n v="2"/>
    <s v="Customer Not Found"/>
    <x v="7"/>
    <x v="24"/>
    <x v="5"/>
    <s v="Price Missing"/>
    <n v="0"/>
  </r>
  <r>
    <s v="ORD02115"/>
    <s v="CUST0711"/>
    <s v="PRD0088"/>
    <n v="10"/>
    <s v="Customer Not Found"/>
    <x v="7"/>
    <x v="24"/>
    <x v="5"/>
    <s v="Price Missing"/>
    <n v="0"/>
  </r>
  <r>
    <s v="ORD02116"/>
    <s v="CUST0153"/>
    <s v="PRD0493"/>
    <n v="4"/>
    <s v="Customer Not Found"/>
    <x v="7"/>
    <x v="24"/>
    <x v="5"/>
    <s v="Price Missing"/>
    <n v="0"/>
  </r>
  <r>
    <s v="ORD02117"/>
    <s v="CUST0884"/>
    <s v="PRD0495"/>
    <n v="1"/>
    <s v="Customer Not Found"/>
    <x v="7"/>
    <x v="24"/>
    <x v="5"/>
    <s v="Price Missing"/>
    <n v="0"/>
  </r>
  <r>
    <s v="ORD02118"/>
    <s v="CUST0760"/>
    <s v="PRD0021"/>
    <n v="9"/>
    <s v="Customer Not Found"/>
    <x v="7"/>
    <x v="24"/>
    <x v="5"/>
    <s v="Price Missing"/>
    <n v="0"/>
  </r>
  <r>
    <s v="ORD02119"/>
    <s v="CUST0784"/>
    <s v="PRD0450"/>
    <n v="6"/>
    <s v="Customer Not Found"/>
    <x v="7"/>
    <x v="24"/>
    <x v="5"/>
    <s v="Price Missing"/>
    <n v="0"/>
  </r>
  <r>
    <s v="ORD02120"/>
    <s v="CUST0431"/>
    <s v="PRD0249"/>
    <n v="5"/>
    <s v="Customer Not Found"/>
    <x v="7"/>
    <x v="24"/>
    <x v="5"/>
    <s v="Price Missing"/>
    <n v="0"/>
  </r>
  <r>
    <s v="ORD02121"/>
    <s v="CUST0634"/>
    <s v="PRD0093"/>
    <n v="6"/>
    <s v="Customer Not Found"/>
    <x v="7"/>
    <x v="24"/>
    <x v="5"/>
    <s v="Price Missing"/>
    <n v="0"/>
  </r>
  <r>
    <s v="ORD02122"/>
    <s v="CUST0794"/>
    <s v="PRD0453"/>
    <n v="8"/>
    <s v="Customer Not Found"/>
    <x v="7"/>
    <x v="24"/>
    <x v="5"/>
    <s v="Price Missing"/>
    <n v="0"/>
  </r>
  <r>
    <s v="ORD02123"/>
    <s v="CUST0876"/>
    <s v="PRD0134"/>
    <n v="5"/>
    <s v="Customer Not Found"/>
    <x v="7"/>
    <x v="24"/>
    <x v="5"/>
    <s v="Price Missing"/>
    <n v="0"/>
  </r>
  <r>
    <s v="ORD02124"/>
    <s v="CUST0625"/>
    <s v="PRD0371"/>
    <n v="7"/>
    <s v="Customer Not Found"/>
    <x v="7"/>
    <x v="24"/>
    <x v="5"/>
    <s v="Price Missing"/>
    <n v="0"/>
  </r>
  <r>
    <s v="ORD02125"/>
    <s v="CUST0084"/>
    <s v="PRD0456"/>
    <n v="5"/>
    <s v="Customer Not Found"/>
    <x v="7"/>
    <x v="24"/>
    <x v="5"/>
    <s v="Price Missing"/>
    <n v="0"/>
  </r>
  <r>
    <s v="ORD02126"/>
    <s v="CUST0902"/>
    <s v="PRD0253"/>
    <n v="2"/>
    <s v="Customer Not Found"/>
    <x v="7"/>
    <x v="24"/>
    <x v="5"/>
    <s v="Price Missing"/>
    <n v="0"/>
  </r>
  <r>
    <s v="ORD02127"/>
    <s v="CUST0283"/>
    <s v="PRD0104"/>
    <n v="10"/>
    <s v="Customer Not Found"/>
    <x v="7"/>
    <x v="24"/>
    <x v="5"/>
    <s v="Price Missing"/>
    <n v="0"/>
  </r>
  <r>
    <s v="ORD02128"/>
    <s v="CUST0674"/>
    <s v="PRD0064"/>
    <n v="5"/>
    <s v="Customer Not Found"/>
    <x v="7"/>
    <x v="24"/>
    <x v="5"/>
    <s v="Price Missing"/>
    <n v="0"/>
  </r>
  <r>
    <s v="ORD02129"/>
    <s v="CUST0210"/>
    <s v="PRD0121"/>
    <n v="4"/>
    <s v="Customer Not Found"/>
    <x v="7"/>
    <x v="24"/>
    <x v="5"/>
    <s v="Price Missing"/>
    <n v="0"/>
  </r>
  <r>
    <s v="ORD02130"/>
    <s v="CUST0452"/>
    <s v="PRD0497"/>
    <n v="9"/>
    <s v="Customer Not Found"/>
    <x v="7"/>
    <x v="24"/>
    <x v="5"/>
    <s v="Price Missing"/>
    <n v="0"/>
  </r>
  <r>
    <s v="ORD02131"/>
    <s v="CUST0726"/>
    <s v="PRD0474"/>
    <n v="3"/>
    <s v="Customer Not Found"/>
    <x v="7"/>
    <x v="24"/>
    <x v="5"/>
    <s v="Price Missing"/>
    <n v="0"/>
  </r>
  <r>
    <s v="ORD02132"/>
    <s v="CUST0645"/>
    <s v="PRD0422"/>
    <n v="7"/>
    <s v="Customer Not Found"/>
    <x v="7"/>
    <x v="24"/>
    <x v="5"/>
    <s v="Price Missing"/>
    <n v="0"/>
  </r>
  <r>
    <s v="ORD02133"/>
    <s v="CUST0912"/>
    <s v="PRD0026"/>
    <n v="7"/>
    <s v="Customer Not Found"/>
    <x v="7"/>
    <x v="24"/>
    <x v="5"/>
    <s v="Price Missing"/>
    <n v="0"/>
  </r>
  <r>
    <s v="ORD02134"/>
    <s v="CUST0961"/>
    <s v="PRD0294"/>
    <n v="1"/>
    <s v="Customer Not Found"/>
    <x v="7"/>
    <x v="24"/>
    <x v="5"/>
    <s v="Price Missing"/>
    <n v="0"/>
  </r>
  <r>
    <s v="ORD02135"/>
    <s v="CUST0389"/>
    <s v="PRD0389"/>
    <n v="4"/>
    <s v="Customer Not Found"/>
    <x v="7"/>
    <x v="24"/>
    <x v="5"/>
    <s v="Price Missing"/>
    <n v="0"/>
  </r>
  <r>
    <s v="ORD02136"/>
    <s v="CUST0747"/>
    <s v="PRD0267"/>
    <n v="8"/>
    <s v="Customer Not Found"/>
    <x v="7"/>
    <x v="24"/>
    <x v="5"/>
    <s v="Price Missing"/>
    <n v="0"/>
  </r>
  <r>
    <s v="ORD02137"/>
    <s v="CUST0050"/>
    <s v="PRD0145"/>
    <n v="1"/>
    <s v="Customer Not Found"/>
    <x v="7"/>
    <x v="24"/>
    <x v="5"/>
    <s v="Price Missing"/>
    <n v="0"/>
  </r>
  <r>
    <s v="ORD02138"/>
    <s v="CUST0163"/>
    <s v="PRD0002"/>
    <n v="3"/>
    <s v="Customer Not Found"/>
    <x v="7"/>
    <x v="24"/>
    <x v="5"/>
    <s v="Price Missing"/>
    <n v="0"/>
  </r>
  <r>
    <s v="ORD02139"/>
    <s v="CUST0309"/>
    <s v="PRD0395"/>
    <n v="7"/>
    <s v="Customer Not Found"/>
    <x v="7"/>
    <x v="24"/>
    <x v="5"/>
    <s v="Price Missing"/>
    <n v="0"/>
  </r>
  <r>
    <s v="ORD02140"/>
    <s v="CUST0269"/>
    <s v="PRD0276"/>
    <n v="3"/>
    <s v="Customer Not Found"/>
    <x v="7"/>
    <x v="24"/>
    <x v="5"/>
    <s v="Price Missing"/>
    <n v="0"/>
  </r>
  <r>
    <s v="ORD02141"/>
    <s v="CUST0935"/>
    <s v="PRD0081"/>
    <n v="9"/>
    <s v="Customer Not Found"/>
    <x v="7"/>
    <x v="24"/>
    <x v="5"/>
    <s v="Price Missing"/>
    <n v="0"/>
  </r>
  <r>
    <s v="ORD02142"/>
    <s v="CUST0147"/>
    <s v="PRD0378"/>
    <n v="6"/>
    <s v="Customer Not Found"/>
    <x v="7"/>
    <x v="24"/>
    <x v="5"/>
    <s v="Price Missing"/>
    <n v="0"/>
  </r>
  <r>
    <s v="ORD02143"/>
    <s v="CUST0154"/>
    <s v="PRD0043"/>
    <n v="6"/>
    <s v="Customer Not Found"/>
    <x v="7"/>
    <x v="24"/>
    <x v="5"/>
    <s v="Price Missing"/>
    <n v="0"/>
  </r>
  <r>
    <s v="ORD02144"/>
    <s v="CUST0801"/>
    <s v="PRD0191"/>
    <n v="1"/>
    <s v="Customer Not Found"/>
    <x v="7"/>
    <x v="24"/>
    <x v="5"/>
    <s v="Price Missing"/>
    <n v="0"/>
  </r>
  <r>
    <s v="ORD02145"/>
    <s v="CUST0789"/>
    <s v="PRD0204"/>
    <n v="6"/>
    <s v="Customer Not Found"/>
    <x v="7"/>
    <x v="24"/>
    <x v="5"/>
    <s v="Price Missing"/>
    <n v="0"/>
  </r>
  <r>
    <s v="ORD02146"/>
    <s v="CUST0837"/>
    <s v="PRD0439"/>
    <n v="4"/>
    <s v="Customer Not Found"/>
    <x v="7"/>
    <x v="24"/>
    <x v="5"/>
    <s v="Price Missing"/>
    <n v="0"/>
  </r>
  <r>
    <s v="ORD02147"/>
    <s v="CUST0224"/>
    <s v="PRD0285"/>
    <n v="2"/>
    <s v="Customer Not Found"/>
    <x v="7"/>
    <x v="24"/>
    <x v="5"/>
    <s v="Price Missing"/>
    <n v="0"/>
  </r>
  <r>
    <s v="ORD02148"/>
    <s v="CUST0869"/>
    <s v="PRD0442"/>
    <n v="2"/>
    <s v="Customer Not Found"/>
    <x v="7"/>
    <x v="24"/>
    <x v="5"/>
    <s v="Price Missing"/>
    <n v="0"/>
  </r>
  <r>
    <s v="ORD02149"/>
    <s v="CUST0979"/>
    <s v="PRD0333"/>
    <n v="5"/>
    <s v="Customer Not Found"/>
    <x v="7"/>
    <x v="24"/>
    <x v="5"/>
    <s v="Price Missing"/>
    <n v="0"/>
  </r>
  <r>
    <s v="ORD02150"/>
    <s v="CUST0048"/>
    <s v="PRD0358"/>
    <n v="4"/>
    <s v="Customer Not Found"/>
    <x v="7"/>
    <x v="24"/>
    <x v="5"/>
    <s v="Price Missing"/>
    <n v="0"/>
  </r>
  <r>
    <s v="ORD02151"/>
    <s v="CUST0506"/>
    <s v="PRD0477"/>
    <n v="3"/>
    <s v="Customer Not Found"/>
    <x v="7"/>
    <x v="24"/>
    <x v="5"/>
    <s v="Price Missing"/>
    <n v="0"/>
  </r>
  <r>
    <s v="ORD02152"/>
    <s v="CUST0986"/>
    <s v="PRD0182"/>
    <n v="5"/>
    <s v="Customer Not Found"/>
    <x v="7"/>
    <x v="24"/>
    <x v="5"/>
    <s v="Price Missing"/>
    <n v="0"/>
  </r>
  <r>
    <s v="ORD02153"/>
    <s v="CUST0153"/>
    <s v="PRD0494"/>
    <n v="3"/>
    <s v="Customer Not Found"/>
    <x v="7"/>
    <x v="24"/>
    <x v="5"/>
    <s v="Price Missing"/>
    <n v="0"/>
  </r>
  <r>
    <s v="ORD02154"/>
    <s v="CUST0396"/>
    <s v="PRD0190"/>
    <n v="8"/>
    <s v="Customer Not Found"/>
    <x v="7"/>
    <x v="24"/>
    <x v="5"/>
    <s v="Price Missing"/>
    <n v="0"/>
  </r>
  <r>
    <s v="ORD02155"/>
    <s v="CUST0751"/>
    <s v="PRD0466"/>
    <n v="9"/>
    <s v="Customer Not Found"/>
    <x v="7"/>
    <x v="24"/>
    <x v="5"/>
    <s v="Price Missing"/>
    <n v="0"/>
  </r>
  <r>
    <s v="ORD02156"/>
    <s v="CUST0308"/>
    <s v="PRD0121"/>
    <n v="8"/>
    <s v="Customer Not Found"/>
    <x v="7"/>
    <x v="24"/>
    <x v="5"/>
    <s v="Price Missing"/>
    <n v="0"/>
  </r>
  <r>
    <s v="ORD02157"/>
    <s v="CUST0973"/>
    <s v="PRD0481"/>
    <n v="7"/>
    <s v="Customer Not Found"/>
    <x v="7"/>
    <x v="24"/>
    <x v="5"/>
    <s v="Price Missing"/>
    <n v="0"/>
  </r>
  <r>
    <s v="ORD02158"/>
    <s v="CUST0132"/>
    <s v="PRD0062"/>
    <n v="6"/>
    <s v="Customer Not Found"/>
    <x v="7"/>
    <x v="24"/>
    <x v="5"/>
    <s v="Price Missing"/>
    <n v="0"/>
  </r>
  <r>
    <s v="ORD02159"/>
    <s v="CUST0125"/>
    <s v="PRD0237"/>
    <n v="3"/>
    <s v="Customer Not Found"/>
    <x v="7"/>
    <x v="24"/>
    <x v="5"/>
    <s v="Price Missing"/>
    <n v="0"/>
  </r>
  <r>
    <s v="ORD02160"/>
    <s v="CUST0200"/>
    <s v="PRD0413"/>
    <n v="8"/>
    <s v="Customer Not Found"/>
    <x v="7"/>
    <x v="24"/>
    <x v="5"/>
    <s v="Price Missing"/>
    <n v="0"/>
  </r>
  <r>
    <s v="ORD02161"/>
    <s v="CUST0362"/>
    <s v="PRD0361"/>
    <n v="9"/>
    <s v="Customer Not Found"/>
    <x v="7"/>
    <x v="24"/>
    <x v="5"/>
    <s v="Price Missing"/>
    <n v="0"/>
  </r>
  <r>
    <s v="ORD02162"/>
    <s v="CUST0827"/>
    <s v="PRD0200"/>
    <n v="7"/>
    <s v="Customer Not Found"/>
    <x v="7"/>
    <x v="24"/>
    <x v="5"/>
    <s v="Price Missing"/>
    <n v="0"/>
  </r>
  <r>
    <s v="ORD02163"/>
    <s v="CUST0772"/>
    <s v="PRD0138"/>
    <n v="10"/>
    <s v="Customer Not Found"/>
    <x v="7"/>
    <x v="24"/>
    <x v="5"/>
    <s v="Price Missing"/>
    <n v="0"/>
  </r>
  <r>
    <s v="ORD02164"/>
    <s v="CUST0060"/>
    <s v="PRD0319"/>
    <n v="2"/>
    <s v="Customer Not Found"/>
    <x v="7"/>
    <x v="24"/>
    <x v="5"/>
    <s v="Price Missing"/>
    <n v="0"/>
  </r>
  <r>
    <s v="ORD02165"/>
    <s v="CUST0324"/>
    <s v="PRD0310"/>
    <n v="6"/>
    <s v="Customer Not Found"/>
    <x v="7"/>
    <x v="24"/>
    <x v="5"/>
    <s v="Price Missing"/>
    <n v="0"/>
  </r>
  <r>
    <s v="ORD02166"/>
    <s v="CUST0973"/>
    <s v="PRD0250"/>
    <n v="7"/>
    <s v="Customer Not Found"/>
    <x v="7"/>
    <x v="24"/>
    <x v="5"/>
    <s v="Price Missing"/>
    <n v="0"/>
  </r>
  <r>
    <s v="ORD02167"/>
    <s v="CUST0267"/>
    <s v="PRD0132"/>
    <n v="8"/>
    <s v="Customer Not Found"/>
    <x v="7"/>
    <x v="24"/>
    <x v="5"/>
    <s v="Price Missing"/>
    <n v="0"/>
  </r>
  <r>
    <s v="ORD02168"/>
    <s v="CUST0840"/>
    <s v="PRD0497"/>
    <n v="10"/>
    <s v="Customer Not Found"/>
    <x v="7"/>
    <x v="24"/>
    <x v="5"/>
    <s v="Price Missing"/>
    <n v="0"/>
  </r>
  <r>
    <s v="ORD02169"/>
    <s v="CUST0859"/>
    <s v="PRD0032"/>
    <n v="8"/>
    <s v="Customer Not Found"/>
    <x v="7"/>
    <x v="24"/>
    <x v="5"/>
    <s v="Price Missing"/>
    <n v="0"/>
  </r>
  <r>
    <s v="ORD02170"/>
    <s v="CUST0936"/>
    <s v="PRD0488"/>
    <n v="8"/>
    <s v="Customer Not Found"/>
    <x v="7"/>
    <x v="24"/>
    <x v="5"/>
    <s v="Price Missing"/>
    <n v="0"/>
  </r>
  <r>
    <s v="ORD02171"/>
    <s v="CUST0534"/>
    <s v="PRD0306"/>
    <n v="5"/>
    <s v="Customer Not Found"/>
    <x v="7"/>
    <x v="24"/>
    <x v="5"/>
    <s v="Price Missing"/>
    <n v="0"/>
  </r>
  <r>
    <s v="ORD02172"/>
    <s v="CUST0238"/>
    <s v="PRD0065"/>
    <n v="3"/>
    <s v="Customer Not Found"/>
    <x v="7"/>
    <x v="24"/>
    <x v="5"/>
    <s v="Price Missing"/>
    <n v="0"/>
  </r>
  <r>
    <s v="ORD02173"/>
    <s v="CUST0052"/>
    <s v="PRD0433"/>
    <n v="3"/>
    <s v="Customer Not Found"/>
    <x v="7"/>
    <x v="24"/>
    <x v="5"/>
    <s v="Price Missing"/>
    <n v="0"/>
  </r>
  <r>
    <s v="ORD02174"/>
    <s v="CUST0088"/>
    <s v="PRD0112"/>
    <n v="9"/>
    <s v="Customer Not Found"/>
    <x v="7"/>
    <x v="24"/>
    <x v="5"/>
    <s v="Price Missing"/>
    <n v="0"/>
  </r>
  <r>
    <s v="ORD02175"/>
    <s v="CUST0036"/>
    <s v="PRD0061"/>
    <n v="9"/>
    <s v="Customer Not Found"/>
    <x v="7"/>
    <x v="24"/>
    <x v="5"/>
    <s v="Price Missing"/>
    <n v="0"/>
  </r>
  <r>
    <s v="ORD02176"/>
    <s v="CUST0868"/>
    <s v="PRD0157"/>
    <n v="2"/>
    <s v="Customer Not Found"/>
    <x v="7"/>
    <x v="24"/>
    <x v="5"/>
    <s v="Price Missing"/>
    <n v="0"/>
  </r>
  <r>
    <s v="ORD02177"/>
    <s v="CUST0644"/>
    <s v="PRD0246"/>
    <n v="10"/>
    <s v="Customer Not Found"/>
    <x v="7"/>
    <x v="24"/>
    <x v="5"/>
    <s v="Price Missing"/>
    <n v="0"/>
  </r>
  <r>
    <s v="ORD02178"/>
    <s v="CUST0197"/>
    <s v="PRD0209"/>
    <n v="6"/>
    <s v="Customer Not Found"/>
    <x v="7"/>
    <x v="24"/>
    <x v="5"/>
    <s v="Price Missing"/>
    <n v="0"/>
  </r>
  <r>
    <s v="ORD02179"/>
    <s v="CUST0051"/>
    <s v="PRD0238"/>
    <n v="9"/>
    <s v="Customer Not Found"/>
    <x v="7"/>
    <x v="24"/>
    <x v="5"/>
    <s v="Price Missing"/>
    <n v="0"/>
  </r>
  <r>
    <s v="ORD02180"/>
    <s v="CUST0174"/>
    <s v="PRD0075"/>
    <n v="7"/>
    <s v="Customer Not Found"/>
    <x v="7"/>
    <x v="24"/>
    <x v="5"/>
    <s v="Price Missing"/>
    <n v="0"/>
  </r>
  <r>
    <s v="ORD02181"/>
    <s v="CUST0290"/>
    <s v="PRD0179"/>
    <n v="3"/>
    <s v="Customer Not Found"/>
    <x v="7"/>
    <x v="24"/>
    <x v="5"/>
    <s v="Price Missing"/>
    <n v="0"/>
  </r>
  <r>
    <s v="ORD02182"/>
    <s v="CUST0139"/>
    <s v="PRD0090"/>
    <n v="5"/>
    <s v="Customer Not Found"/>
    <x v="7"/>
    <x v="24"/>
    <x v="5"/>
    <s v="Price Missing"/>
    <n v="0"/>
  </r>
  <r>
    <s v="ORD02183"/>
    <s v="CUST0116"/>
    <s v="PRD0281"/>
    <n v="4"/>
    <s v="Customer Not Found"/>
    <x v="7"/>
    <x v="24"/>
    <x v="5"/>
    <s v="Price Missing"/>
    <n v="0"/>
  </r>
  <r>
    <s v="ORD02184"/>
    <s v="CUST0274"/>
    <s v="PRD0409"/>
    <n v="3"/>
    <s v="Customer Not Found"/>
    <x v="7"/>
    <x v="24"/>
    <x v="5"/>
    <s v="Price Missing"/>
    <n v="0"/>
  </r>
  <r>
    <s v="ORD02185"/>
    <s v="CUST0194"/>
    <s v="PRD0111"/>
    <n v="9"/>
    <s v="Customer Not Found"/>
    <x v="7"/>
    <x v="24"/>
    <x v="5"/>
    <s v="Price Missing"/>
    <n v="0"/>
  </r>
  <r>
    <s v="ORD02186"/>
    <s v="CUST0641"/>
    <s v="PRD0111"/>
    <n v="8"/>
    <s v="Customer Not Found"/>
    <x v="7"/>
    <x v="24"/>
    <x v="5"/>
    <s v="Price Missing"/>
    <n v="0"/>
  </r>
  <r>
    <s v="ORD02187"/>
    <s v="CUST0091"/>
    <s v="PRD0486"/>
    <n v="3"/>
    <s v="Customer Not Found"/>
    <x v="7"/>
    <x v="24"/>
    <x v="5"/>
    <s v="Price Missing"/>
    <n v="0"/>
  </r>
  <r>
    <s v="ORD02188"/>
    <s v="CUST0297"/>
    <s v="PRD0127"/>
    <n v="3"/>
    <s v="Customer Not Found"/>
    <x v="7"/>
    <x v="24"/>
    <x v="5"/>
    <s v="Price Missing"/>
    <n v="0"/>
  </r>
  <r>
    <s v="ORD02189"/>
    <s v="CUST0402"/>
    <s v="PRD0094"/>
    <n v="5"/>
    <s v="Customer Not Found"/>
    <x v="7"/>
    <x v="24"/>
    <x v="5"/>
    <s v="Price Missing"/>
    <n v="0"/>
  </r>
  <r>
    <s v="ORD02190"/>
    <s v="CUST0919"/>
    <s v="PRD0065"/>
    <n v="10"/>
    <s v="Customer Not Found"/>
    <x v="7"/>
    <x v="24"/>
    <x v="5"/>
    <s v="Price Missing"/>
    <n v="0"/>
  </r>
  <r>
    <s v="ORD02191"/>
    <s v="CUST0485"/>
    <s v="PRD0105"/>
    <n v="1"/>
    <s v="Customer Not Found"/>
    <x v="7"/>
    <x v="24"/>
    <x v="5"/>
    <s v="Price Missing"/>
    <n v="0"/>
  </r>
  <r>
    <s v="ORD02192"/>
    <s v="CUST0264"/>
    <s v="PRD0478"/>
    <n v="1"/>
    <s v="Customer Not Found"/>
    <x v="7"/>
    <x v="24"/>
    <x v="5"/>
    <s v="Price Missing"/>
    <n v="0"/>
  </r>
  <r>
    <s v="ORD02193"/>
    <s v="CUST0961"/>
    <s v="PRD0385"/>
    <n v="10"/>
    <s v="Customer Not Found"/>
    <x v="7"/>
    <x v="24"/>
    <x v="5"/>
    <s v="Price Missing"/>
    <n v="0"/>
  </r>
  <r>
    <s v="ORD02194"/>
    <s v="CUST0435"/>
    <s v="PRD0039"/>
    <n v="7"/>
    <s v="Customer Not Found"/>
    <x v="7"/>
    <x v="24"/>
    <x v="5"/>
    <s v="Price Missing"/>
    <n v="0"/>
  </r>
  <r>
    <s v="ORD02195"/>
    <s v="CUST0899"/>
    <s v="PRD0492"/>
    <n v="1"/>
    <s v="Customer Not Found"/>
    <x v="7"/>
    <x v="24"/>
    <x v="5"/>
    <s v="Price Missing"/>
    <n v="0"/>
  </r>
  <r>
    <s v="ORD02196"/>
    <s v="CUST0433"/>
    <s v="PRD0163"/>
    <n v="5"/>
    <s v="Customer Not Found"/>
    <x v="7"/>
    <x v="24"/>
    <x v="5"/>
    <s v="Price Missing"/>
    <n v="0"/>
  </r>
  <r>
    <s v="ORD02197"/>
    <s v="CUST0641"/>
    <s v="PRD0367"/>
    <n v="8"/>
    <s v="Customer Not Found"/>
    <x v="7"/>
    <x v="24"/>
    <x v="5"/>
    <s v="Price Missing"/>
    <n v="0"/>
  </r>
  <r>
    <s v="ORD02198"/>
    <s v="CUST0791"/>
    <s v="PRD0385"/>
    <n v="1"/>
    <s v="Customer Not Found"/>
    <x v="7"/>
    <x v="24"/>
    <x v="5"/>
    <s v="Price Missing"/>
    <n v="0"/>
  </r>
  <r>
    <s v="ORD02199"/>
    <s v="CUST0563"/>
    <s v="PRD0391"/>
    <n v="6"/>
    <s v="Customer Not Found"/>
    <x v="7"/>
    <x v="24"/>
    <x v="5"/>
    <s v="Price Missing"/>
    <n v="0"/>
  </r>
  <r>
    <s v="ORD02200"/>
    <s v="CUST0775"/>
    <s v="PRD0247"/>
    <n v="7"/>
    <s v="Customer Not Found"/>
    <x v="7"/>
    <x v="24"/>
    <x v="5"/>
    <s v="Price Missing"/>
    <n v="0"/>
  </r>
  <r>
    <s v="ORD02201"/>
    <s v="CUST0456"/>
    <s v="PRD0067"/>
    <n v="2"/>
    <s v="Customer Not Found"/>
    <x v="7"/>
    <x v="24"/>
    <x v="5"/>
    <s v="Price Missing"/>
    <n v="0"/>
  </r>
  <r>
    <s v="ORD02202"/>
    <s v="CUST0268"/>
    <s v="PRD0287"/>
    <n v="5"/>
    <s v="Customer Not Found"/>
    <x v="7"/>
    <x v="24"/>
    <x v="5"/>
    <s v="Price Missing"/>
    <n v="0"/>
  </r>
  <r>
    <s v="ORD02203"/>
    <s v="CUST0882"/>
    <s v="PRD0230"/>
    <n v="5"/>
    <s v="Customer Not Found"/>
    <x v="7"/>
    <x v="24"/>
    <x v="5"/>
    <s v="Price Missing"/>
    <n v="0"/>
  </r>
  <r>
    <s v="ORD02204"/>
    <s v="CUST0675"/>
    <s v="PRD0431"/>
    <n v="7"/>
    <s v="Customer Not Found"/>
    <x v="7"/>
    <x v="24"/>
    <x v="5"/>
    <s v="Price Missing"/>
    <n v="0"/>
  </r>
  <r>
    <s v="ORD02205"/>
    <s v="CUST0709"/>
    <s v="PRD0193"/>
    <n v="1"/>
    <s v="Customer Not Found"/>
    <x v="7"/>
    <x v="24"/>
    <x v="5"/>
    <s v="Price Missing"/>
    <n v="0"/>
  </r>
  <r>
    <s v="ORD02206"/>
    <s v="CUST0740"/>
    <s v="PRD0310"/>
    <n v="10"/>
    <s v="Customer Not Found"/>
    <x v="7"/>
    <x v="24"/>
    <x v="5"/>
    <s v="Price Missing"/>
    <n v="0"/>
  </r>
  <r>
    <s v="ORD02207"/>
    <s v="CUST0802"/>
    <s v="PRD0186"/>
    <n v="10"/>
    <s v="Customer Not Found"/>
    <x v="7"/>
    <x v="24"/>
    <x v="5"/>
    <s v="Price Missing"/>
    <n v="0"/>
  </r>
  <r>
    <s v="ORD02208"/>
    <s v="CUST0486"/>
    <s v="PRD0423"/>
    <n v="9"/>
    <s v="Customer Not Found"/>
    <x v="7"/>
    <x v="24"/>
    <x v="5"/>
    <s v="Price Missing"/>
    <n v="0"/>
  </r>
  <r>
    <s v="ORD02209"/>
    <s v="CUST0269"/>
    <s v="PRD0382"/>
    <n v="2"/>
    <s v="Customer Not Found"/>
    <x v="7"/>
    <x v="24"/>
    <x v="5"/>
    <s v="Price Missing"/>
    <n v="0"/>
  </r>
  <r>
    <s v="ORD02210"/>
    <s v="CUST0176"/>
    <s v="PRD0486"/>
    <n v="3"/>
    <s v="Customer Not Found"/>
    <x v="7"/>
    <x v="24"/>
    <x v="5"/>
    <s v="Price Missing"/>
    <n v="0"/>
  </r>
  <r>
    <s v="ORD02211"/>
    <s v="CUST0345"/>
    <s v="PRD0343"/>
    <n v="3"/>
    <s v="Customer Not Found"/>
    <x v="7"/>
    <x v="24"/>
    <x v="5"/>
    <s v="Price Missing"/>
    <n v="0"/>
  </r>
  <r>
    <s v="ORD02212"/>
    <s v="CUST0885"/>
    <s v="PRD0242"/>
    <n v="2"/>
    <s v="Customer Not Found"/>
    <x v="7"/>
    <x v="24"/>
    <x v="5"/>
    <s v="Price Missing"/>
    <n v="0"/>
  </r>
  <r>
    <s v="ORD02213"/>
    <s v="CUST0080"/>
    <s v="PRD0383"/>
    <n v="2"/>
    <s v="Customer Not Found"/>
    <x v="7"/>
    <x v="24"/>
    <x v="5"/>
    <s v="Price Missing"/>
    <n v="0"/>
  </r>
  <r>
    <s v="ORD02214"/>
    <s v="CUST0402"/>
    <s v="PRD0389"/>
    <n v="10"/>
    <s v="Customer Not Found"/>
    <x v="7"/>
    <x v="24"/>
    <x v="5"/>
    <s v="Price Missing"/>
    <n v="0"/>
  </r>
  <r>
    <s v="ORD02215"/>
    <s v="CUST0291"/>
    <s v="PRD0097"/>
    <n v="2"/>
    <s v="Customer Not Found"/>
    <x v="7"/>
    <x v="24"/>
    <x v="5"/>
    <s v="Price Missing"/>
    <n v="0"/>
  </r>
  <r>
    <s v="ORD02216"/>
    <s v="CUST0935"/>
    <s v="PRD0219"/>
    <n v="6"/>
    <s v="Customer Not Found"/>
    <x v="7"/>
    <x v="24"/>
    <x v="5"/>
    <s v="Price Missing"/>
    <n v="0"/>
  </r>
  <r>
    <s v="ORD02217"/>
    <s v="CUST0955"/>
    <s v="PRD0479"/>
    <n v="8"/>
    <s v="Customer Not Found"/>
    <x v="7"/>
    <x v="24"/>
    <x v="5"/>
    <s v="Price Missing"/>
    <n v="0"/>
  </r>
  <r>
    <s v="ORD02218"/>
    <s v="CUST0409"/>
    <s v="PRD0431"/>
    <n v="7"/>
    <s v="Customer Not Found"/>
    <x v="7"/>
    <x v="24"/>
    <x v="5"/>
    <s v="Price Missing"/>
    <n v="0"/>
  </r>
  <r>
    <s v="ORD02219"/>
    <s v="CUST0571"/>
    <s v="PRD0493"/>
    <n v="8"/>
    <s v="Customer Not Found"/>
    <x v="7"/>
    <x v="24"/>
    <x v="5"/>
    <s v="Price Missing"/>
    <n v="0"/>
  </r>
  <r>
    <s v="ORD02220"/>
    <s v="CUST0727"/>
    <s v="PRD0039"/>
    <n v="2"/>
    <s v="Customer Not Found"/>
    <x v="7"/>
    <x v="24"/>
    <x v="5"/>
    <s v="Price Missing"/>
    <n v="0"/>
  </r>
  <r>
    <s v="ORD02221"/>
    <s v="CUST0747"/>
    <s v="PRD0156"/>
    <n v="8"/>
    <s v="Customer Not Found"/>
    <x v="7"/>
    <x v="24"/>
    <x v="5"/>
    <s v="Price Missing"/>
    <n v="0"/>
  </r>
  <r>
    <s v="ORD02222"/>
    <s v="CUST0306"/>
    <s v="PRD0139"/>
    <n v="6"/>
    <s v="Customer Not Found"/>
    <x v="7"/>
    <x v="24"/>
    <x v="5"/>
    <s v="Price Missing"/>
    <n v="0"/>
  </r>
  <r>
    <s v="ORD02223"/>
    <s v="CUST0485"/>
    <s v="PRD0133"/>
    <n v="9"/>
    <s v="Customer Not Found"/>
    <x v="7"/>
    <x v="24"/>
    <x v="5"/>
    <s v="Price Missing"/>
    <n v="0"/>
  </r>
  <r>
    <s v="ORD02224"/>
    <s v="CUST0824"/>
    <s v="PRD0497"/>
    <n v="2"/>
    <s v="Customer Not Found"/>
    <x v="7"/>
    <x v="24"/>
    <x v="5"/>
    <s v="Price Missing"/>
    <n v="0"/>
  </r>
  <r>
    <s v="ORD02225"/>
    <s v="CUST0161"/>
    <s v="PRD0072"/>
    <n v="6"/>
    <s v="Customer Not Found"/>
    <x v="7"/>
    <x v="24"/>
    <x v="5"/>
    <s v="Price Missing"/>
    <n v="0"/>
  </r>
  <r>
    <s v="ORD02226"/>
    <s v="CUST0010"/>
    <s v="PRD0187"/>
    <n v="6"/>
    <s v="Customer Not Found"/>
    <x v="7"/>
    <x v="24"/>
    <x v="5"/>
    <s v="Price Missing"/>
    <n v="0"/>
  </r>
  <r>
    <s v="ORD02227"/>
    <s v="CUST0555"/>
    <s v="PRD0042"/>
    <n v="6"/>
    <s v="Customer Not Found"/>
    <x v="7"/>
    <x v="24"/>
    <x v="5"/>
    <s v="Price Missing"/>
    <n v="0"/>
  </r>
  <r>
    <s v="ORD02228"/>
    <s v="CUST0698"/>
    <s v="PRD0003"/>
    <n v="9"/>
    <s v="Customer Not Found"/>
    <x v="7"/>
    <x v="24"/>
    <x v="5"/>
    <s v="Price Missing"/>
    <n v="0"/>
  </r>
  <r>
    <s v="ORD02229"/>
    <s v="CUST0039"/>
    <s v="PRD0460"/>
    <n v="10"/>
    <s v="Customer Not Found"/>
    <x v="7"/>
    <x v="24"/>
    <x v="5"/>
    <s v="Price Missing"/>
    <n v="0"/>
  </r>
  <r>
    <s v="ORD02230"/>
    <s v="CUST0140"/>
    <s v="PRD0216"/>
    <n v="7"/>
    <s v="Customer Not Found"/>
    <x v="7"/>
    <x v="24"/>
    <x v="5"/>
    <s v="Price Missing"/>
    <n v="0"/>
  </r>
  <r>
    <s v="ORD02231"/>
    <s v="CUST0519"/>
    <s v="PRD0338"/>
    <n v="8"/>
    <s v="Customer Not Found"/>
    <x v="7"/>
    <x v="24"/>
    <x v="5"/>
    <s v="Price Missing"/>
    <n v="0"/>
  </r>
  <r>
    <s v="ORD02232"/>
    <s v="CUST0168"/>
    <s v="PRD0355"/>
    <n v="9"/>
    <s v="Customer Not Found"/>
    <x v="7"/>
    <x v="24"/>
    <x v="5"/>
    <s v="Price Missing"/>
    <n v="0"/>
  </r>
  <r>
    <s v="ORD02233"/>
    <s v="CUST0666"/>
    <s v="PRD0314"/>
    <n v="3"/>
    <s v="Customer Not Found"/>
    <x v="7"/>
    <x v="24"/>
    <x v="5"/>
    <s v="Price Missing"/>
    <n v="0"/>
  </r>
  <r>
    <s v="ORD02234"/>
    <s v="CUST0723"/>
    <s v="PRD0285"/>
    <n v="6"/>
    <s v="Customer Not Found"/>
    <x v="7"/>
    <x v="24"/>
    <x v="5"/>
    <s v="Price Missing"/>
    <n v="0"/>
  </r>
  <r>
    <s v="ORD02235"/>
    <s v="CUST0874"/>
    <s v="PRD0388"/>
    <n v="5"/>
    <s v="Customer Not Found"/>
    <x v="7"/>
    <x v="24"/>
    <x v="5"/>
    <s v="Price Missing"/>
    <n v="0"/>
  </r>
  <r>
    <s v="ORD02236"/>
    <s v="CUST0488"/>
    <s v="PRD0114"/>
    <n v="2"/>
    <s v="Customer Not Found"/>
    <x v="7"/>
    <x v="24"/>
    <x v="5"/>
    <s v="Price Missing"/>
    <n v="0"/>
  </r>
  <r>
    <s v="ORD02237"/>
    <s v="CUST0543"/>
    <s v="PRD0139"/>
    <n v="10"/>
    <s v="Customer Not Found"/>
    <x v="7"/>
    <x v="24"/>
    <x v="5"/>
    <s v="Price Missing"/>
    <n v="0"/>
  </r>
  <r>
    <s v="ORD02238"/>
    <s v="CUST0098"/>
    <s v="PRD0476"/>
    <n v="5"/>
    <s v="Customer Not Found"/>
    <x v="7"/>
    <x v="24"/>
    <x v="5"/>
    <s v="Price Missing"/>
    <n v="0"/>
  </r>
  <r>
    <s v="ORD02239"/>
    <s v="CUST0174"/>
    <s v="PRD0413"/>
    <n v="7"/>
    <s v="Customer Not Found"/>
    <x v="7"/>
    <x v="24"/>
    <x v="5"/>
    <s v="Price Missing"/>
    <n v="0"/>
  </r>
  <r>
    <s v="ORD02240"/>
    <s v="CUST0555"/>
    <s v="PRD0293"/>
    <n v="4"/>
    <s v="Customer Not Found"/>
    <x v="7"/>
    <x v="24"/>
    <x v="5"/>
    <s v="Price Missing"/>
    <n v="0"/>
  </r>
  <r>
    <s v="ORD02241"/>
    <s v="CUST0684"/>
    <s v="PRD0042"/>
    <n v="8"/>
    <s v="Customer Not Found"/>
    <x v="7"/>
    <x v="24"/>
    <x v="5"/>
    <s v="Price Missing"/>
    <n v="0"/>
  </r>
  <r>
    <s v="ORD02242"/>
    <s v="CUST0407"/>
    <s v="PRD0049"/>
    <n v="6"/>
    <s v="Customer Not Found"/>
    <x v="7"/>
    <x v="24"/>
    <x v="5"/>
    <s v="Price Missing"/>
    <n v="0"/>
  </r>
  <r>
    <s v="ORD02243"/>
    <s v="CUST0408"/>
    <s v="PRD0401"/>
    <n v="5"/>
    <s v="Customer Not Found"/>
    <x v="7"/>
    <x v="24"/>
    <x v="5"/>
    <s v="Price Missing"/>
    <n v="0"/>
  </r>
  <r>
    <s v="ORD02244"/>
    <s v="CUST0705"/>
    <s v="PRD0481"/>
    <n v="9"/>
    <s v="Customer Not Found"/>
    <x v="7"/>
    <x v="24"/>
    <x v="5"/>
    <s v="Price Missing"/>
    <n v="0"/>
  </r>
  <r>
    <s v="ORD02245"/>
    <s v="CUST0305"/>
    <s v="PRD0239"/>
    <n v="6"/>
    <s v="Customer Not Found"/>
    <x v="7"/>
    <x v="24"/>
    <x v="5"/>
    <s v="Price Missing"/>
    <n v="0"/>
  </r>
  <r>
    <s v="ORD02246"/>
    <s v="CUST0213"/>
    <s v="PRD0338"/>
    <n v="5"/>
    <s v="Customer Not Found"/>
    <x v="7"/>
    <x v="24"/>
    <x v="5"/>
    <s v="Price Missing"/>
    <n v="0"/>
  </r>
  <r>
    <s v="ORD02247"/>
    <s v="CUST0017"/>
    <s v="PRD0325"/>
    <n v="4"/>
    <s v="Customer Not Found"/>
    <x v="7"/>
    <x v="24"/>
    <x v="5"/>
    <s v="Price Missing"/>
    <n v="0"/>
  </r>
  <r>
    <s v="ORD02248"/>
    <s v="CUST0048"/>
    <s v="PRD0418"/>
    <n v="5"/>
    <s v="Customer Not Found"/>
    <x v="7"/>
    <x v="24"/>
    <x v="5"/>
    <s v="Price Missing"/>
    <n v="0"/>
  </r>
  <r>
    <s v="ORD02249"/>
    <s v="CUST0475"/>
    <s v="PRD0346"/>
    <n v="2"/>
    <s v="Customer Not Found"/>
    <x v="7"/>
    <x v="24"/>
    <x v="5"/>
    <s v="Price Missing"/>
    <n v="0"/>
  </r>
  <r>
    <s v="ORD02250"/>
    <s v="CUST0816"/>
    <s v="PRD0110"/>
    <n v="8"/>
    <s v="Customer Not Found"/>
    <x v="7"/>
    <x v="24"/>
    <x v="5"/>
    <s v="Price Missing"/>
    <n v="0"/>
  </r>
  <r>
    <s v="ORD02251"/>
    <s v="CUST0782"/>
    <s v="PRD0242"/>
    <n v="9"/>
    <s v="Customer Not Found"/>
    <x v="7"/>
    <x v="24"/>
    <x v="5"/>
    <s v="Price Missing"/>
    <n v="0"/>
  </r>
  <r>
    <s v="ORD02252"/>
    <s v="CUST0996"/>
    <s v="PRD0433"/>
    <n v="6"/>
    <s v="Customer Not Found"/>
    <x v="7"/>
    <x v="24"/>
    <x v="5"/>
    <s v="Price Missing"/>
    <n v="0"/>
  </r>
  <r>
    <s v="ORD02253"/>
    <s v="CUST0886"/>
    <s v="PRD0165"/>
    <n v="2"/>
    <s v="Customer Not Found"/>
    <x v="7"/>
    <x v="24"/>
    <x v="5"/>
    <s v="Price Missing"/>
    <n v="0"/>
  </r>
  <r>
    <s v="ORD02254"/>
    <s v="CUST0023"/>
    <s v="PRD0062"/>
    <n v="4"/>
    <s v="Customer Not Found"/>
    <x v="7"/>
    <x v="24"/>
    <x v="5"/>
    <s v="Price Missing"/>
    <n v="0"/>
  </r>
  <r>
    <s v="ORD02255"/>
    <s v="CUST0591"/>
    <s v="PRD0107"/>
    <n v="9"/>
    <s v="Customer Not Found"/>
    <x v="7"/>
    <x v="24"/>
    <x v="5"/>
    <s v="Price Missing"/>
    <n v="0"/>
  </r>
  <r>
    <s v="ORD02256"/>
    <s v="CUST0057"/>
    <s v="PRD0264"/>
    <n v="4"/>
    <s v="Customer Not Found"/>
    <x v="7"/>
    <x v="24"/>
    <x v="5"/>
    <s v="Price Missing"/>
    <n v="0"/>
  </r>
  <r>
    <s v="ORD02257"/>
    <s v="CUST0124"/>
    <s v="PRD0179"/>
    <n v="10"/>
    <s v="Customer Not Found"/>
    <x v="7"/>
    <x v="24"/>
    <x v="5"/>
    <s v="Price Missing"/>
    <n v="0"/>
  </r>
  <r>
    <s v="ORD02258"/>
    <s v="CUST0011"/>
    <s v="PRD0492"/>
    <n v="10"/>
    <s v="Customer Not Found"/>
    <x v="7"/>
    <x v="24"/>
    <x v="5"/>
    <s v="Price Missing"/>
    <n v="0"/>
  </r>
  <r>
    <s v="ORD02259"/>
    <s v="CUST0790"/>
    <s v="PRD0422"/>
    <n v="6"/>
    <s v="Customer Not Found"/>
    <x v="7"/>
    <x v="24"/>
    <x v="5"/>
    <s v="Price Missing"/>
    <n v="0"/>
  </r>
  <r>
    <s v="ORD02260"/>
    <s v="CUST0489"/>
    <s v="PRD0226"/>
    <n v="4"/>
    <s v="Customer Not Found"/>
    <x v="7"/>
    <x v="24"/>
    <x v="5"/>
    <s v="Price Missing"/>
    <n v="0"/>
  </r>
  <r>
    <s v="ORD02261"/>
    <s v="CUST0174"/>
    <s v="PRD0130"/>
    <n v="5"/>
    <s v="Customer Not Found"/>
    <x v="7"/>
    <x v="24"/>
    <x v="5"/>
    <s v="Price Missing"/>
    <n v="0"/>
  </r>
  <r>
    <s v="ORD02262"/>
    <s v="CUST0392"/>
    <s v="PRD0328"/>
    <n v="7"/>
    <s v="Customer Not Found"/>
    <x v="7"/>
    <x v="24"/>
    <x v="5"/>
    <s v="Price Missing"/>
    <n v="0"/>
  </r>
  <r>
    <s v="ORD02263"/>
    <s v="CUST0062"/>
    <s v="PRD0404"/>
    <n v="4"/>
    <s v="Customer Not Found"/>
    <x v="7"/>
    <x v="24"/>
    <x v="5"/>
    <s v="Price Missing"/>
    <n v="0"/>
  </r>
  <r>
    <s v="ORD02264"/>
    <s v="CUST0547"/>
    <s v="PRD0042"/>
    <n v="1"/>
    <s v="Customer Not Found"/>
    <x v="7"/>
    <x v="24"/>
    <x v="5"/>
    <s v="Price Missing"/>
    <n v="0"/>
  </r>
  <r>
    <s v="ORD02265"/>
    <s v="CUST0167"/>
    <s v="PRD0037"/>
    <n v="5"/>
    <s v="Customer Not Found"/>
    <x v="7"/>
    <x v="24"/>
    <x v="5"/>
    <s v="Price Missing"/>
    <n v="0"/>
  </r>
  <r>
    <s v="ORD02266"/>
    <s v="CUST0225"/>
    <s v="PRD0438"/>
    <n v="10"/>
    <s v="Customer Not Found"/>
    <x v="7"/>
    <x v="24"/>
    <x v="5"/>
    <s v="Price Missing"/>
    <n v="0"/>
  </r>
  <r>
    <s v="ORD02267"/>
    <s v="CUST0854"/>
    <s v="PRD0359"/>
    <n v="3"/>
    <s v="Customer Not Found"/>
    <x v="7"/>
    <x v="24"/>
    <x v="5"/>
    <s v="Price Missing"/>
    <n v="0"/>
  </r>
  <r>
    <s v="ORD02268"/>
    <s v="CUST0153"/>
    <s v="PRD0113"/>
    <n v="7"/>
    <s v="Customer Not Found"/>
    <x v="7"/>
    <x v="24"/>
    <x v="5"/>
    <s v="Price Missing"/>
    <n v="0"/>
  </r>
  <r>
    <s v="ORD02269"/>
    <s v="CUST0919"/>
    <s v="PRD0407"/>
    <n v="7"/>
    <s v="Customer Not Found"/>
    <x v="7"/>
    <x v="24"/>
    <x v="5"/>
    <s v="Price Missing"/>
    <n v="0"/>
  </r>
  <r>
    <s v="ORD02270"/>
    <s v="CUST0888"/>
    <s v="PRD0090"/>
    <n v="8"/>
    <s v="Customer Not Found"/>
    <x v="7"/>
    <x v="24"/>
    <x v="5"/>
    <s v="Price Missing"/>
    <n v="0"/>
  </r>
  <r>
    <s v="ORD02271"/>
    <s v="CUST0491"/>
    <s v="PRD0189"/>
    <n v="5"/>
    <s v="Customer Not Found"/>
    <x v="7"/>
    <x v="24"/>
    <x v="5"/>
    <s v="Price Missing"/>
    <n v="0"/>
  </r>
  <r>
    <s v="ORD02272"/>
    <s v="CUST0075"/>
    <s v="PRD0370"/>
    <n v="6"/>
    <s v="Customer Not Found"/>
    <x v="7"/>
    <x v="24"/>
    <x v="5"/>
    <s v="Price Missing"/>
    <n v="0"/>
  </r>
  <r>
    <s v="ORD02273"/>
    <s v="CUST0227"/>
    <s v="PRD0290"/>
    <n v="10"/>
    <s v="Customer Not Found"/>
    <x v="7"/>
    <x v="24"/>
    <x v="5"/>
    <s v="Price Missing"/>
    <n v="0"/>
  </r>
  <r>
    <s v="ORD02274"/>
    <s v="CUST0585"/>
    <s v="PRD0098"/>
    <n v="1"/>
    <s v="Customer Not Found"/>
    <x v="7"/>
    <x v="24"/>
    <x v="5"/>
    <s v="Price Missing"/>
    <n v="0"/>
  </r>
  <r>
    <s v="ORD02275"/>
    <s v="CUST1000"/>
    <s v="PRD0262"/>
    <n v="10"/>
    <s v="Customer Not Found"/>
    <x v="7"/>
    <x v="24"/>
    <x v="5"/>
    <s v="Price Missing"/>
    <n v="0"/>
  </r>
  <r>
    <s v="ORD02276"/>
    <s v="CUST0055"/>
    <s v="PRD0313"/>
    <n v="7"/>
    <s v="Customer Not Found"/>
    <x v="7"/>
    <x v="24"/>
    <x v="5"/>
    <s v="Price Missing"/>
    <n v="0"/>
  </r>
  <r>
    <s v="ORD02277"/>
    <s v="CUST0448"/>
    <s v="PRD0290"/>
    <n v="2"/>
    <s v="Customer Not Found"/>
    <x v="7"/>
    <x v="24"/>
    <x v="5"/>
    <s v="Price Missing"/>
    <n v="0"/>
  </r>
  <r>
    <s v="ORD02278"/>
    <s v="CUST0182"/>
    <s v="PRD0452"/>
    <n v="6"/>
    <s v="Customer Not Found"/>
    <x v="7"/>
    <x v="24"/>
    <x v="5"/>
    <s v="Price Missing"/>
    <n v="0"/>
  </r>
  <r>
    <s v="ORD02279"/>
    <s v="CUST0648"/>
    <s v="PRD0457"/>
    <n v="6"/>
    <s v="Customer Not Found"/>
    <x v="7"/>
    <x v="24"/>
    <x v="5"/>
    <s v="Price Missing"/>
    <n v="0"/>
  </r>
  <r>
    <s v="ORD02280"/>
    <s v="CUST0631"/>
    <s v="PRD0003"/>
    <n v="7"/>
    <s v="Customer Not Found"/>
    <x v="7"/>
    <x v="24"/>
    <x v="5"/>
    <s v="Price Missing"/>
    <n v="0"/>
  </r>
  <r>
    <s v="ORD02281"/>
    <s v="CUST0363"/>
    <s v="PRD0351"/>
    <n v="8"/>
    <s v="Customer Not Found"/>
    <x v="7"/>
    <x v="24"/>
    <x v="5"/>
    <s v="Price Missing"/>
    <n v="0"/>
  </r>
  <r>
    <s v="ORD02282"/>
    <s v="CUST0537"/>
    <s v="PRD0339"/>
    <n v="4"/>
    <s v="Customer Not Found"/>
    <x v="7"/>
    <x v="24"/>
    <x v="5"/>
    <s v="Price Missing"/>
    <n v="0"/>
  </r>
  <r>
    <s v="ORD02283"/>
    <s v="CUST0183"/>
    <s v="PRD0147"/>
    <n v="3"/>
    <s v="Customer Not Found"/>
    <x v="7"/>
    <x v="24"/>
    <x v="5"/>
    <s v="Price Missing"/>
    <n v="0"/>
  </r>
  <r>
    <s v="ORD02284"/>
    <s v="CUST0328"/>
    <s v="PRD0378"/>
    <n v="8"/>
    <s v="Customer Not Found"/>
    <x v="7"/>
    <x v="24"/>
    <x v="5"/>
    <s v="Price Missing"/>
    <n v="0"/>
  </r>
  <r>
    <s v="ORD02285"/>
    <s v="CUST0525"/>
    <s v="PRD0030"/>
    <n v="3"/>
    <s v="Customer Not Found"/>
    <x v="7"/>
    <x v="24"/>
    <x v="5"/>
    <s v="Price Missing"/>
    <n v="0"/>
  </r>
  <r>
    <s v="ORD02286"/>
    <s v="CUST0432"/>
    <s v="PRD0320"/>
    <n v="9"/>
    <s v="Customer Not Found"/>
    <x v="7"/>
    <x v="24"/>
    <x v="5"/>
    <s v="Price Missing"/>
    <n v="0"/>
  </r>
  <r>
    <s v="ORD02287"/>
    <s v="CUST0916"/>
    <s v="PRD0402"/>
    <n v="4"/>
    <s v="Customer Not Found"/>
    <x v="7"/>
    <x v="24"/>
    <x v="5"/>
    <s v="Price Missing"/>
    <n v="0"/>
  </r>
  <r>
    <s v="ORD02288"/>
    <s v="CUST0573"/>
    <s v="PRD0386"/>
    <n v="3"/>
    <s v="Customer Not Found"/>
    <x v="7"/>
    <x v="24"/>
    <x v="5"/>
    <s v="Price Missing"/>
    <n v="0"/>
  </r>
  <r>
    <s v="ORD02289"/>
    <s v="CUST0452"/>
    <s v="PRD0065"/>
    <n v="8"/>
    <s v="Customer Not Found"/>
    <x v="7"/>
    <x v="24"/>
    <x v="5"/>
    <s v="Price Missing"/>
    <n v="0"/>
  </r>
  <r>
    <s v="ORD02290"/>
    <s v="CUST0373"/>
    <s v="PRD0117"/>
    <n v="8"/>
    <s v="Customer Not Found"/>
    <x v="7"/>
    <x v="24"/>
    <x v="5"/>
    <s v="Price Missing"/>
    <n v="0"/>
  </r>
  <r>
    <s v="ORD02291"/>
    <s v="CUST0245"/>
    <s v="PRD0338"/>
    <n v="5"/>
    <s v="Customer Not Found"/>
    <x v="7"/>
    <x v="24"/>
    <x v="5"/>
    <s v="Price Missing"/>
    <n v="0"/>
  </r>
  <r>
    <s v="ORD02292"/>
    <s v="CUST0067"/>
    <s v="PRD0300"/>
    <n v="6"/>
    <s v="Customer Not Found"/>
    <x v="7"/>
    <x v="24"/>
    <x v="5"/>
    <s v="Price Missing"/>
    <n v="0"/>
  </r>
  <r>
    <s v="ORD02293"/>
    <s v="CUST0346"/>
    <s v="PRD0254"/>
    <n v="7"/>
    <s v="Customer Not Found"/>
    <x v="7"/>
    <x v="24"/>
    <x v="5"/>
    <s v="Price Missing"/>
    <n v="0"/>
  </r>
  <r>
    <s v="ORD02294"/>
    <s v="CUST0562"/>
    <s v="PRD0393"/>
    <n v="3"/>
    <s v="Customer Not Found"/>
    <x v="7"/>
    <x v="24"/>
    <x v="5"/>
    <s v="Price Missing"/>
    <n v="0"/>
  </r>
  <r>
    <s v="ORD02295"/>
    <s v="CUST0497"/>
    <s v="PRD0208"/>
    <n v="2"/>
    <s v="Customer Not Found"/>
    <x v="7"/>
    <x v="24"/>
    <x v="5"/>
    <s v="Price Missing"/>
    <n v="0"/>
  </r>
  <r>
    <s v="ORD02296"/>
    <s v="CUST0038"/>
    <s v="PRD0446"/>
    <n v="9"/>
    <s v="Customer Not Found"/>
    <x v="7"/>
    <x v="24"/>
    <x v="5"/>
    <s v="Price Missing"/>
    <n v="0"/>
  </r>
  <r>
    <s v="ORD02297"/>
    <s v="CUST0770"/>
    <s v="PRD0010"/>
    <n v="7"/>
    <s v="Customer Not Found"/>
    <x v="7"/>
    <x v="24"/>
    <x v="5"/>
    <s v="Price Missing"/>
    <n v="0"/>
  </r>
  <r>
    <s v="ORD02298"/>
    <s v="CUST0090"/>
    <s v="PRD0130"/>
    <n v="7"/>
    <s v="Customer Not Found"/>
    <x v="7"/>
    <x v="24"/>
    <x v="5"/>
    <s v="Price Missing"/>
    <n v="0"/>
  </r>
  <r>
    <s v="ORD02299"/>
    <s v="CUST0555"/>
    <s v="PRD0185"/>
    <n v="5"/>
    <s v="Customer Not Found"/>
    <x v="7"/>
    <x v="24"/>
    <x v="5"/>
    <s v="Price Missing"/>
    <n v="0"/>
  </r>
  <r>
    <s v="ORD02300"/>
    <s v="CUST0981"/>
    <s v="PRD0280"/>
    <n v="8"/>
    <s v="Customer Not Found"/>
    <x v="7"/>
    <x v="24"/>
    <x v="5"/>
    <s v="Price Missing"/>
    <n v="0"/>
  </r>
  <r>
    <s v="ORD02301"/>
    <s v="CUST0692"/>
    <s v="PRD0123"/>
    <n v="9"/>
    <s v="Customer Not Found"/>
    <x v="7"/>
    <x v="24"/>
    <x v="5"/>
    <s v="Price Missing"/>
    <n v="0"/>
  </r>
  <r>
    <s v="ORD02302"/>
    <s v="CUST0133"/>
    <s v="PRD0242"/>
    <n v="1"/>
    <s v="Customer Not Found"/>
    <x v="7"/>
    <x v="24"/>
    <x v="5"/>
    <s v="Price Missing"/>
    <n v="0"/>
  </r>
  <r>
    <s v="ORD02303"/>
    <s v="CUST0573"/>
    <s v="PRD0404"/>
    <n v="10"/>
    <s v="Customer Not Found"/>
    <x v="7"/>
    <x v="24"/>
    <x v="5"/>
    <s v="Price Missing"/>
    <n v="0"/>
  </r>
  <r>
    <s v="ORD02304"/>
    <s v="CUST0746"/>
    <s v="PRD0333"/>
    <n v="3"/>
    <s v="Customer Not Found"/>
    <x v="7"/>
    <x v="24"/>
    <x v="5"/>
    <s v="Price Missing"/>
    <n v="0"/>
  </r>
  <r>
    <s v="ORD02305"/>
    <s v="CUST0927"/>
    <s v="PRD0345"/>
    <n v="6"/>
    <s v="Customer Not Found"/>
    <x v="7"/>
    <x v="24"/>
    <x v="5"/>
    <s v="Price Missing"/>
    <n v="0"/>
  </r>
  <r>
    <s v="ORD02306"/>
    <s v="CUST0913"/>
    <s v="PRD0006"/>
    <n v="7"/>
    <s v="Customer Not Found"/>
    <x v="7"/>
    <x v="24"/>
    <x v="5"/>
    <s v="Price Missing"/>
    <n v="0"/>
  </r>
  <r>
    <s v="ORD02307"/>
    <s v="CUST0024"/>
    <s v="PRD0163"/>
    <n v="9"/>
    <s v="Customer Not Found"/>
    <x v="7"/>
    <x v="24"/>
    <x v="5"/>
    <s v="Price Missing"/>
    <n v="0"/>
  </r>
  <r>
    <s v="ORD02308"/>
    <s v="CUST0566"/>
    <s v="PRD0263"/>
    <n v="6"/>
    <s v="Customer Not Found"/>
    <x v="7"/>
    <x v="24"/>
    <x v="5"/>
    <s v="Price Missing"/>
    <n v="0"/>
  </r>
  <r>
    <s v="ORD02309"/>
    <s v="CUST0409"/>
    <s v="PRD0410"/>
    <n v="2"/>
    <s v="Customer Not Found"/>
    <x v="7"/>
    <x v="24"/>
    <x v="5"/>
    <s v="Price Missing"/>
    <n v="0"/>
  </r>
  <r>
    <s v="ORD02310"/>
    <s v="CUST0507"/>
    <s v="PRD0406"/>
    <n v="3"/>
    <s v="Customer Not Found"/>
    <x v="7"/>
    <x v="24"/>
    <x v="5"/>
    <s v="Price Missing"/>
    <n v="0"/>
  </r>
  <r>
    <s v="ORD02311"/>
    <s v="CUST0374"/>
    <s v="PRD0066"/>
    <n v="8"/>
    <s v="Customer Not Found"/>
    <x v="7"/>
    <x v="24"/>
    <x v="5"/>
    <s v="Price Missing"/>
    <n v="0"/>
  </r>
  <r>
    <s v="ORD02312"/>
    <s v="CUST0759"/>
    <s v="PRD0354"/>
    <n v="2"/>
    <s v="Customer Not Found"/>
    <x v="7"/>
    <x v="24"/>
    <x v="5"/>
    <s v="Price Missing"/>
    <n v="0"/>
  </r>
  <r>
    <s v="ORD02313"/>
    <s v="CUST0667"/>
    <s v="PRD0087"/>
    <n v="7"/>
    <s v="Customer Not Found"/>
    <x v="7"/>
    <x v="24"/>
    <x v="5"/>
    <s v="Price Missing"/>
    <n v="0"/>
  </r>
  <r>
    <s v="ORD02314"/>
    <s v="CUST0713"/>
    <s v="PRD0139"/>
    <n v="7"/>
    <s v="Customer Not Found"/>
    <x v="7"/>
    <x v="24"/>
    <x v="5"/>
    <s v="Price Missing"/>
    <n v="0"/>
  </r>
  <r>
    <s v="ORD02315"/>
    <s v="CUST0394"/>
    <s v="PRD0210"/>
    <n v="4"/>
    <s v="Customer Not Found"/>
    <x v="7"/>
    <x v="24"/>
    <x v="5"/>
    <s v="Price Missing"/>
    <n v="0"/>
  </r>
  <r>
    <s v="ORD02316"/>
    <s v="CUST0133"/>
    <s v="PRD0325"/>
    <n v="6"/>
    <s v="Customer Not Found"/>
    <x v="7"/>
    <x v="24"/>
    <x v="5"/>
    <s v="Price Missing"/>
    <n v="0"/>
  </r>
  <r>
    <s v="ORD02317"/>
    <s v="CUST0074"/>
    <s v="PRD0270"/>
    <n v="6"/>
    <s v="Customer Not Found"/>
    <x v="7"/>
    <x v="24"/>
    <x v="5"/>
    <s v="Price Missing"/>
    <n v="0"/>
  </r>
  <r>
    <s v="ORD02318"/>
    <s v="CUST0778"/>
    <s v="PRD0460"/>
    <n v="10"/>
    <s v="Customer Not Found"/>
    <x v="7"/>
    <x v="24"/>
    <x v="5"/>
    <s v="Price Missing"/>
    <n v="0"/>
  </r>
  <r>
    <s v="ORD02319"/>
    <s v="CUST0676"/>
    <s v="PRD0385"/>
    <n v="3"/>
    <s v="Customer Not Found"/>
    <x v="7"/>
    <x v="24"/>
    <x v="5"/>
    <s v="Price Missing"/>
    <n v="0"/>
  </r>
  <r>
    <s v="ORD02320"/>
    <s v="CUST0833"/>
    <s v="PRD0011"/>
    <n v="9"/>
    <s v="Customer Not Found"/>
    <x v="7"/>
    <x v="24"/>
    <x v="5"/>
    <s v="Price Missing"/>
    <n v="0"/>
  </r>
  <r>
    <s v="ORD02321"/>
    <s v="CUST0395"/>
    <s v="PRD0006"/>
    <n v="1"/>
    <s v="Customer Not Found"/>
    <x v="7"/>
    <x v="24"/>
    <x v="5"/>
    <s v="Price Missing"/>
    <n v="0"/>
  </r>
  <r>
    <s v="ORD02322"/>
    <s v="CUST0249"/>
    <s v="PRD0173"/>
    <n v="3"/>
    <s v="Customer Not Found"/>
    <x v="7"/>
    <x v="24"/>
    <x v="5"/>
    <s v="Price Missing"/>
    <n v="0"/>
  </r>
  <r>
    <s v="ORD02323"/>
    <s v="CUST0045"/>
    <s v="PRD0400"/>
    <n v="6"/>
    <s v="Customer Not Found"/>
    <x v="7"/>
    <x v="24"/>
    <x v="5"/>
    <s v="Price Missing"/>
    <n v="0"/>
  </r>
  <r>
    <s v="ORD02324"/>
    <s v="CUST0482"/>
    <s v="PRD0407"/>
    <n v="7"/>
    <s v="Customer Not Found"/>
    <x v="7"/>
    <x v="24"/>
    <x v="5"/>
    <s v="Price Missing"/>
    <n v="0"/>
  </r>
  <r>
    <s v="ORD02325"/>
    <s v="CUST0645"/>
    <s v="PRD0067"/>
    <n v="9"/>
    <s v="Customer Not Found"/>
    <x v="7"/>
    <x v="24"/>
    <x v="5"/>
    <s v="Price Missing"/>
    <n v="0"/>
  </r>
  <r>
    <s v="ORD02326"/>
    <s v="CUST0161"/>
    <s v="PRD0401"/>
    <n v="2"/>
    <s v="Customer Not Found"/>
    <x v="7"/>
    <x v="24"/>
    <x v="5"/>
    <s v="Price Missing"/>
    <n v="0"/>
  </r>
  <r>
    <s v="ORD02327"/>
    <s v="CUST0189"/>
    <s v="PRD0157"/>
    <n v="9"/>
    <s v="Customer Not Found"/>
    <x v="7"/>
    <x v="24"/>
    <x v="5"/>
    <s v="Price Missing"/>
    <n v="0"/>
  </r>
  <r>
    <s v="ORD02328"/>
    <s v="CUST0948"/>
    <s v="PRD0420"/>
    <n v="3"/>
    <s v="Customer Not Found"/>
    <x v="7"/>
    <x v="24"/>
    <x v="5"/>
    <s v="Price Missing"/>
    <n v="0"/>
  </r>
  <r>
    <s v="ORD02329"/>
    <s v="CUST0917"/>
    <s v="PRD0126"/>
    <n v="10"/>
    <s v="Customer Not Found"/>
    <x v="7"/>
    <x v="24"/>
    <x v="5"/>
    <s v="Price Missing"/>
    <n v="0"/>
  </r>
  <r>
    <s v="ORD02330"/>
    <s v="CUST0766"/>
    <s v="PRD0291"/>
    <n v="6"/>
    <s v="Customer Not Found"/>
    <x v="7"/>
    <x v="24"/>
    <x v="5"/>
    <s v="Price Missing"/>
    <n v="0"/>
  </r>
  <r>
    <s v="ORD02331"/>
    <s v="CUST0662"/>
    <s v="PRD0493"/>
    <n v="8"/>
    <s v="Customer Not Found"/>
    <x v="7"/>
    <x v="24"/>
    <x v="5"/>
    <s v="Price Missing"/>
    <n v="0"/>
  </r>
  <r>
    <s v="ORD02332"/>
    <s v="CUST0386"/>
    <s v="PRD0342"/>
    <n v="7"/>
    <s v="Customer Not Found"/>
    <x v="7"/>
    <x v="24"/>
    <x v="5"/>
    <s v="Price Missing"/>
    <n v="0"/>
  </r>
  <r>
    <s v="ORD02333"/>
    <s v="CUST0343"/>
    <s v="PRD0280"/>
    <n v="7"/>
    <s v="Customer Not Found"/>
    <x v="7"/>
    <x v="24"/>
    <x v="5"/>
    <s v="Price Missing"/>
    <n v="0"/>
  </r>
  <r>
    <s v="ORD02334"/>
    <s v="CUST0253"/>
    <s v="PRD0078"/>
    <n v="9"/>
    <s v="Customer Not Found"/>
    <x v="7"/>
    <x v="24"/>
    <x v="5"/>
    <s v="Price Missing"/>
    <n v="0"/>
  </r>
  <r>
    <s v="ORD02335"/>
    <s v="CUST0634"/>
    <s v="PRD0238"/>
    <n v="5"/>
    <s v="Customer Not Found"/>
    <x v="7"/>
    <x v="24"/>
    <x v="5"/>
    <s v="Price Missing"/>
    <n v="0"/>
  </r>
  <r>
    <s v="ORD02336"/>
    <s v="CUST0953"/>
    <s v="PRD0458"/>
    <n v="10"/>
    <s v="Customer Not Found"/>
    <x v="7"/>
    <x v="24"/>
    <x v="5"/>
    <s v="Price Missing"/>
    <n v="0"/>
  </r>
  <r>
    <s v="ORD02337"/>
    <s v="CUST0781"/>
    <s v="PRD0070"/>
    <n v="6"/>
    <s v="Customer Not Found"/>
    <x v="7"/>
    <x v="24"/>
    <x v="5"/>
    <s v="Price Missing"/>
    <n v="0"/>
  </r>
  <r>
    <s v="ORD02338"/>
    <s v="CUST0514"/>
    <s v="PRD0335"/>
    <n v="2"/>
    <s v="Customer Not Found"/>
    <x v="7"/>
    <x v="24"/>
    <x v="5"/>
    <s v="Price Missing"/>
    <n v="0"/>
  </r>
  <r>
    <s v="ORD02339"/>
    <s v="CUST0203"/>
    <s v="PRD0087"/>
    <n v="3"/>
    <s v="Customer Not Found"/>
    <x v="7"/>
    <x v="24"/>
    <x v="5"/>
    <s v="Price Missing"/>
    <n v="0"/>
  </r>
  <r>
    <s v="ORD02340"/>
    <s v="CUST0339"/>
    <s v="PRD0070"/>
    <n v="1"/>
    <s v="Customer Not Found"/>
    <x v="7"/>
    <x v="24"/>
    <x v="5"/>
    <s v="Price Missing"/>
    <n v="0"/>
  </r>
  <r>
    <s v="ORD02341"/>
    <s v="CUST0553"/>
    <s v="PRD0013"/>
    <n v="4"/>
    <s v="Customer Not Found"/>
    <x v="7"/>
    <x v="24"/>
    <x v="5"/>
    <s v="Price Missing"/>
    <n v="0"/>
  </r>
  <r>
    <s v="ORD02342"/>
    <s v="CUST0382"/>
    <s v="PRD0187"/>
    <n v="4"/>
    <s v="Customer Not Found"/>
    <x v="7"/>
    <x v="24"/>
    <x v="5"/>
    <s v="Price Missing"/>
    <n v="0"/>
  </r>
  <r>
    <s v="ORD02343"/>
    <s v="CUST0264"/>
    <s v="PRD0117"/>
    <n v="5"/>
    <s v="Customer Not Found"/>
    <x v="7"/>
    <x v="24"/>
    <x v="5"/>
    <s v="Price Missing"/>
    <n v="0"/>
  </r>
  <r>
    <s v="ORD02344"/>
    <s v="CUST0440"/>
    <s v="PRD0346"/>
    <n v="1"/>
    <s v="Customer Not Found"/>
    <x v="7"/>
    <x v="24"/>
    <x v="5"/>
    <s v="Price Missing"/>
    <n v="0"/>
  </r>
  <r>
    <s v="ORD02345"/>
    <s v="CUST0787"/>
    <s v="PRD0003"/>
    <n v="1"/>
    <s v="Customer Not Found"/>
    <x v="7"/>
    <x v="24"/>
    <x v="5"/>
    <s v="Price Missing"/>
    <n v="0"/>
  </r>
  <r>
    <s v="ORD02346"/>
    <s v="CUST0240"/>
    <s v="PRD0257"/>
    <n v="4"/>
    <s v="Customer Not Found"/>
    <x v="7"/>
    <x v="24"/>
    <x v="5"/>
    <s v="Price Missing"/>
    <n v="0"/>
  </r>
  <r>
    <s v="ORD02347"/>
    <s v="CUST0871"/>
    <s v="PRD0355"/>
    <n v="3"/>
    <s v="Customer Not Found"/>
    <x v="7"/>
    <x v="24"/>
    <x v="5"/>
    <s v="Price Missing"/>
    <n v="0"/>
  </r>
  <r>
    <s v="ORD02348"/>
    <s v="CUST0489"/>
    <s v="PRD0257"/>
    <n v="1"/>
    <s v="Customer Not Found"/>
    <x v="7"/>
    <x v="24"/>
    <x v="5"/>
    <s v="Price Missing"/>
    <n v="0"/>
  </r>
  <r>
    <s v="ORD02349"/>
    <s v="CUST0479"/>
    <s v="PRD0311"/>
    <n v="5"/>
    <s v="Customer Not Found"/>
    <x v="7"/>
    <x v="24"/>
    <x v="5"/>
    <s v="Price Missing"/>
    <n v="0"/>
  </r>
  <r>
    <s v="ORD02350"/>
    <s v="CUST0234"/>
    <s v="PRD0213"/>
    <n v="6"/>
    <s v="Customer Not Found"/>
    <x v="7"/>
    <x v="24"/>
    <x v="5"/>
    <s v="Price Missing"/>
    <n v="0"/>
  </r>
  <r>
    <s v="ORD02351"/>
    <s v="CUST0396"/>
    <s v="PRD0205"/>
    <n v="2"/>
    <s v="Customer Not Found"/>
    <x v="7"/>
    <x v="24"/>
    <x v="5"/>
    <s v="Price Missing"/>
    <n v="0"/>
  </r>
  <r>
    <s v="ORD02352"/>
    <s v="CUST0446"/>
    <s v="PRD0374"/>
    <n v="7"/>
    <s v="Customer Not Found"/>
    <x v="7"/>
    <x v="24"/>
    <x v="5"/>
    <s v="Price Missing"/>
    <n v="0"/>
  </r>
  <r>
    <s v="ORD02353"/>
    <s v="CUST0532"/>
    <s v="PRD0376"/>
    <n v="3"/>
    <s v="Customer Not Found"/>
    <x v="7"/>
    <x v="24"/>
    <x v="5"/>
    <s v="Price Missing"/>
    <n v="0"/>
  </r>
  <r>
    <s v="ORD02354"/>
    <s v="CUST0049"/>
    <s v="PRD0341"/>
    <n v="5"/>
    <s v="Customer Not Found"/>
    <x v="7"/>
    <x v="24"/>
    <x v="5"/>
    <s v="Price Missing"/>
    <n v="0"/>
  </r>
  <r>
    <s v="ORD02355"/>
    <s v="CUST0389"/>
    <s v="PRD0212"/>
    <n v="6"/>
    <s v="Customer Not Found"/>
    <x v="7"/>
    <x v="24"/>
    <x v="5"/>
    <s v="Price Missing"/>
    <n v="0"/>
  </r>
  <r>
    <s v="ORD02356"/>
    <s v="CUST0368"/>
    <s v="PRD0172"/>
    <n v="2"/>
    <s v="Customer Not Found"/>
    <x v="7"/>
    <x v="24"/>
    <x v="5"/>
    <s v="Price Missing"/>
    <n v="0"/>
  </r>
  <r>
    <s v="ORD02357"/>
    <s v="CUST0093"/>
    <s v="PRD0177"/>
    <n v="8"/>
    <s v="Customer Not Found"/>
    <x v="7"/>
    <x v="24"/>
    <x v="5"/>
    <s v="Price Missing"/>
    <n v="0"/>
  </r>
  <r>
    <s v="ORD02358"/>
    <s v="CUST0327"/>
    <s v="PRD0275"/>
    <n v="1"/>
    <s v="Customer Not Found"/>
    <x v="7"/>
    <x v="24"/>
    <x v="5"/>
    <s v="Price Missing"/>
    <n v="0"/>
  </r>
  <r>
    <s v="ORD02359"/>
    <s v="CUST0116"/>
    <s v="PRD0447"/>
    <n v="3"/>
    <s v="Customer Not Found"/>
    <x v="7"/>
    <x v="24"/>
    <x v="5"/>
    <s v="Price Missing"/>
    <n v="0"/>
  </r>
  <r>
    <s v="ORD02360"/>
    <s v="CUST0324"/>
    <s v="PRD0258"/>
    <n v="9"/>
    <s v="Customer Not Found"/>
    <x v="7"/>
    <x v="24"/>
    <x v="5"/>
    <s v="Price Missing"/>
    <n v="0"/>
  </r>
  <r>
    <s v="ORD02361"/>
    <s v="CUST0091"/>
    <s v="PRD0477"/>
    <n v="10"/>
    <s v="Customer Not Found"/>
    <x v="7"/>
    <x v="24"/>
    <x v="5"/>
    <s v="Price Missing"/>
    <n v="0"/>
  </r>
  <r>
    <s v="ORD02362"/>
    <s v="CUST0939"/>
    <s v="PRD0083"/>
    <n v="3"/>
    <s v="Customer Not Found"/>
    <x v="7"/>
    <x v="24"/>
    <x v="5"/>
    <s v="Price Missing"/>
    <n v="0"/>
  </r>
  <r>
    <s v="ORD02363"/>
    <s v="CUST0805"/>
    <s v="PRD0222"/>
    <n v="2"/>
    <s v="Customer Not Found"/>
    <x v="7"/>
    <x v="24"/>
    <x v="5"/>
    <s v="Price Missing"/>
    <n v="0"/>
  </r>
  <r>
    <s v="ORD02364"/>
    <s v="CUST0155"/>
    <s v="PRD0365"/>
    <n v="6"/>
    <s v="Customer Not Found"/>
    <x v="7"/>
    <x v="24"/>
    <x v="5"/>
    <s v="Price Missing"/>
    <n v="0"/>
  </r>
  <r>
    <s v="ORD02365"/>
    <s v="CUST0454"/>
    <s v="PRD0271"/>
    <n v="1"/>
    <s v="Customer Not Found"/>
    <x v="7"/>
    <x v="24"/>
    <x v="5"/>
    <s v="Price Missing"/>
    <n v="0"/>
  </r>
  <r>
    <s v="ORD02366"/>
    <s v="CUST0123"/>
    <s v="PRD0078"/>
    <n v="4"/>
    <s v="Customer Not Found"/>
    <x v="7"/>
    <x v="24"/>
    <x v="5"/>
    <s v="Price Missing"/>
    <n v="0"/>
  </r>
  <r>
    <s v="ORD02367"/>
    <s v="CUST0850"/>
    <s v="PRD0144"/>
    <n v="2"/>
    <s v="Customer Not Found"/>
    <x v="7"/>
    <x v="24"/>
    <x v="5"/>
    <s v="Price Missing"/>
    <n v="0"/>
  </r>
  <r>
    <s v="ORD02368"/>
    <s v="CUST0247"/>
    <s v="PRD0485"/>
    <n v="3"/>
    <s v="Customer Not Found"/>
    <x v="7"/>
    <x v="24"/>
    <x v="5"/>
    <s v="Price Missing"/>
    <n v="0"/>
  </r>
  <r>
    <s v="ORD02369"/>
    <s v="CUST0805"/>
    <s v="PRD0369"/>
    <n v="1"/>
    <s v="Customer Not Found"/>
    <x v="7"/>
    <x v="24"/>
    <x v="5"/>
    <s v="Price Missing"/>
    <n v="0"/>
  </r>
  <r>
    <s v="ORD02370"/>
    <s v="CUST0204"/>
    <s v="PRD0152"/>
    <n v="1"/>
    <s v="Customer Not Found"/>
    <x v="7"/>
    <x v="24"/>
    <x v="5"/>
    <s v="Price Missing"/>
    <n v="0"/>
  </r>
  <r>
    <s v="ORD02371"/>
    <s v="CUST0981"/>
    <s v="PRD0406"/>
    <n v="4"/>
    <s v="Customer Not Found"/>
    <x v="7"/>
    <x v="24"/>
    <x v="5"/>
    <s v="Price Missing"/>
    <n v="0"/>
  </r>
  <r>
    <s v="ORD02372"/>
    <s v="CUST0128"/>
    <s v="PRD0476"/>
    <n v="6"/>
    <s v="Customer Not Found"/>
    <x v="7"/>
    <x v="24"/>
    <x v="5"/>
    <s v="Price Missing"/>
    <n v="0"/>
  </r>
  <r>
    <s v="ORD02373"/>
    <s v="CUST0524"/>
    <s v="PRD0457"/>
    <n v="4"/>
    <s v="Customer Not Found"/>
    <x v="7"/>
    <x v="24"/>
    <x v="5"/>
    <s v="Price Missing"/>
    <n v="0"/>
  </r>
  <r>
    <s v="ORD02374"/>
    <s v="CUST0667"/>
    <s v="PRD0050"/>
    <n v="4"/>
    <s v="Customer Not Found"/>
    <x v="7"/>
    <x v="24"/>
    <x v="5"/>
    <s v="Price Missing"/>
    <n v="0"/>
  </r>
  <r>
    <s v="ORD02375"/>
    <s v="CUST0377"/>
    <s v="PRD0322"/>
    <n v="6"/>
    <s v="Customer Not Found"/>
    <x v="7"/>
    <x v="24"/>
    <x v="5"/>
    <s v="Price Missing"/>
    <n v="0"/>
  </r>
  <r>
    <s v="ORD02376"/>
    <s v="CUST0759"/>
    <s v="PRD0104"/>
    <n v="4"/>
    <s v="Customer Not Found"/>
    <x v="7"/>
    <x v="24"/>
    <x v="5"/>
    <s v="Price Missing"/>
    <n v="0"/>
  </r>
  <r>
    <s v="ORD02377"/>
    <s v="CUST0370"/>
    <s v="PRD0330"/>
    <n v="5"/>
    <s v="Customer Not Found"/>
    <x v="7"/>
    <x v="24"/>
    <x v="5"/>
    <s v="Price Missing"/>
    <n v="0"/>
  </r>
  <r>
    <s v="ORD02378"/>
    <s v="CUST0951"/>
    <s v="PRD0377"/>
    <n v="7"/>
    <s v="Customer Not Found"/>
    <x v="7"/>
    <x v="24"/>
    <x v="5"/>
    <s v="Price Missing"/>
    <n v="0"/>
  </r>
  <r>
    <s v="ORD02379"/>
    <s v="CUST0959"/>
    <s v="PRD0440"/>
    <n v="9"/>
    <s v="Customer Not Found"/>
    <x v="7"/>
    <x v="24"/>
    <x v="5"/>
    <s v="Price Missing"/>
    <n v="0"/>
  </r>
  <r>
    <s v="ORD02380"/>
    <s v="CUST0131"/>
    <s v="PRD0103"/>
    <n v="3"/>
    <s v="Customer Not Found"/>
    <x v="7"/>
    <x v="24"/>
    <x v="5"/>
    <s v="Price Missing"/>
    <n v="0"/>
  </r>
  <r>
    <s v="ORD02381"/>
    <s v="CUST0690"/>
    <s v="PRD0402"/>
    <n v="10"/>
    <s v="Customer Not Found"/>
    <x v="7"/>
    <x v="24"/>
    <x v="5"/>
    <s v="Price Missing"/>
    <n v="0"/>
  </r>
  <r>
    <s v="ORD02382"/>
    <s v="CUST0002"/>
    <s v="PRD0240"/>
    <n v="3"/>
    <s v="Customer Not Found"/>
    <x v="7"/>
    <x v="24"/>
    <x v="5"/>
    <s v="Price Missing"/>
    <n v="0"/>
  </r>
  <r>
    <s v="ORD02383"/>
    <s v="CUST0935"/>
    <s v="PRD0041"/>
    <n v="3"/>
    <s v="Customer Not Found"/>
    <x v="7"/>
    <x v="24"/>
    <x v="5"/>
    <s v="Price Missing"/>
    <n v="0"/>
  </r>
  <r>
    <s v="ORD02384"/>
    <s v="CUST0794"/>
    <s v="PRD0254"/>
    <n v="6"/>
    <s v="Customer Not Found"/>
    <x v="7"/>
    <x v="24"/>
    <x v="5"/>
    <s v="Price Missing"/>
    <n v="0"/>
  </r>
  <r>
    <s v="ORD02385"/>
    <s v="CUST0024"/>
    <s v="PRD0136"/>
    <n v="5"/>
    <s v="Customer Not Found"/>
    <x v="7"/>
    <x v="24"/>
    <x v="5"/>
    <s v="Price Missing"/>
    <n v="0"/>
  </r>
  <r>
    <s v="ORD02386"/>
    <s v="CUST0943"/>
    <s v="PRD0468"/>
    <n v="7"/>
    <s v="Customer Not Found"/>
    <x v="7"/>
    <x v="24"/>
    <x v="5"/>
    <s v="Price Missing"/>
    <n v="0"/>
  </r>
  <r>
    <s v="ORD02387"/>
    <s v="CUST0983"/>
    <s v="PRD0446"/>
    <n v="9"/>
    <s v="Customer Not Found"/>
    <x v="7"/>
    <x v="24"/>
    <x v="5"/>
    <s v="Price Missing"/>
    <n v="0"/>
  </r>
  <r>
    <s v="ORD02388"/>
    <s v="CUST0901"/>
    <s v="PRD0442"/>
    <n v="2"/>
    <s v="Customer Not Found"/>
    <x v="7"/>
    <x v="24"/>
    <x v="5"/>
    <s v="Price Missing"/>
    <n v="0"/>
  </r>
  <r>
    <s v="ORD02389"/>
    <s v="CUST0169"/>
    <s v="PRD0007"/>
    <n v="1"/>
    <s v="Customer Not Found"/>
    <x v="7"/>
    <x v="24"/>
    <x v="5"/>
    <s v="Price Missing"/>
    <n v="0"/>
  </r>
  <r>
    <s v="ORD02390"/>
    <s v="CUST0502"/>
    <s v="PRD0026"/>
    <n v="10"/>
    <s v="Customer Not Found"/>
    <x v="7"/>
    <x v="24"/>
    <x v="5"/>
    <s v="Price Missing"/>
    <n v="0"/>
  </r>
  <r>
    <s v="ORD02391"/>
    <s v="CUST0334"/>
    <s v="PRD0430"/>
    <n v="2"/>
    <s v="Customer Not Found"/>
    <x v="7"/>
    <x v="24"/>
    <x v="5"/>
    <s v="Price Missing"/>
    <n v="0"/>
  </r>
  <r>
    <s v="ORD02392"/>
    <s v="CUST0056"/>
    <s v="PRD0095"/>
    <n v="4"/>
    <s v="Customer Not Found"/>
    <x v="7"/>
    <x v="24"/>
    <x v="5"/>
    <s v="Price Missing"/>
    <n v="0"/>
  </r>
  <r>
    <s v="ORD02393"/>
    <s v="CUST0012"/>
    <s v="PRD0454"/>
    <n v="10"/>
    <s v="Customer Not Found"/>
    <x v="7"/>
    <x v="24"/>
    <x v="5"/>
    <s v="Price Missing"/>
    <n v="0"/>
  </r>
  <r>
    <s v="ORD02394"/>
    <s v="CUST0730"/>
    <s v="PRD0291"/>
    <n v="7"/>
    <s v="Customer Not Found"/>
    <x v="7"/>
    <x v="24"/>
    <x v="5"/>
    <s v="Price Missing"/>
    <n v="0"/>
  </r>
  <r>
    <s v="ORD02395"/>
    <s v="CUST0199"/>
    <s v="PRD0423"/>
    <n v="6"/>
    <s v="Customer Not Found"/>
    <x v="7"/>
    <x v="24"/>
    <x v="5"/>
    <s v="Price Missing"/>
    <n v="0"/>
  </r>
  <r>
    <s v="ORD02396"/>
    <s v="CUST0504"/>
    <s v="PRD0404"/>
    <n v="6"/>
    <s v="Customer Not Found"/>
    <x v="7"/>
    <x v="24"/>
    <x v="5"/>
    <s v="Price Missing"/>
    <n v="0"/>
  </r>
  <r>
    <s v="ORD02397"/>
    <s v="CUST0058"/>
    <s v="PRD0455"/>
    <n v="5"/>
    <s v="Customer Not Found"/>
    <x v="7"/>
    <x v="24"/>
    <x v="5"/>
    <s v="Price Missing"/>
    <n v="0"/>
  </r>
  <r>
    <s v="ORD02398"/>
    <s v="CUST0781"/>
    <s v="PRD0027"/>
    <n v="9"/>
    <s v="Customer Not Found"/>
    <x v="7"/>
    <x v="24"/>
    <x v="5"/>
    <s v="Price Missing"/>
    <n v="0"/>
  </r>
  <r>
    <s v="ORD02399"/>
    <s v="CUST0991"/>
    <s v="PRD0028"/>
    <n v="2"/>
    <s v="Customer Not Found"/>
    <x v="7"/>
    <x v="24"/>
    <x v="5"/>
    <s v="Price Missing"/>
    <n v="0"/>
  </r>
  <r>
    <s v="ORD02400"/>
    <s v="CUST0565"/>
    <s v="PRD0401"/>
    <n v="3"/>
    <s v="Customer Not Found"/>
    <x v="7"/>
    <x v="24"/>
    <x v="5"/>
    <s v="Price Missing"/>
    <n v="0"/>
  </r>
  <r>
    <s v="ORD02401"/>
    <s v="CUST0046"/>
    <s v="PRD0259"/>
    <n v="10"/>
    <s v="Customer Not Found"/>
    <x v="7"/>
    <x v="24"/>
    <x v="5"/>
    <s v="Price Missing"/>
    <n v="0"/>
  </r>
  <r>
    <s v="ORD02402"/>
    <s v="CUST0408"/>
    <s v="PRD0026"/>
    <n v="3"/>
    <s v="Customer Not Found"/>
    <x v="7"/>
    <x v="24"/>
    <x v="5"/>
    <s v="Price Missing"/>
    <n v="0"/>
  </r>
  <r>
    <s v="ORD02403"/>
    <s v="CUST0537"/>
    <s v="PRD0373"/>
    <n v="6"/>
    <s v="Customer Not Found"/>
    <x v="7"/>
    <x v="24"/>
    <x v="5"/>
    <s v="Price Missing"/>
    <n v="0"/>
  </r>
  <r>
    <s v="ORD02404"/>
    <s v="CUST0884"/>
    <s v="PRD0068"/>
    <n v="5"/>
    <s v="Customer Not Found"/>
    <x v="7"/>
    <x v="24"/>
    <x v="5"/>
    <s v="Price Missing"/>
    <n v="0"/>
  </r>
  <r>
    <s v="ORD02405"/>
    <s v="CUST0797"/>
    <s v="PRD0409"/>
    <n v="3"/>
    <s v="Customer Not Found"/>
    <x v="7"/>
    <x v="24"/>
    <x v="5"/>
    <s v="Price Missing"/>
    <n v="0"/>
  </r>
  <r>
    <s v="ORD02406"/>
    <s v="CUST0711"/>
    <s v="PRD0237"/>
    <n v="3"/>
    <s v="Customer Not Found"/>
    <x v="7"/>
    <x v="24"/>
    <x v="5"/>
    <s v="Price Missing"/>
    <n v="0"/>
  </r>
  <r>
    <s v="ORD02407"/>
    <s v="CUST0236"/>
    <s v="PRD0197"/>
    <n v="8"/>
    <s v="Customer Not Found"/>
    <x v="7"/>
    <x v="24"/>
    <x v="5"/>
    <s v="Price Missing"/>
    <n v="0"/>
  </r>
  <r>
    <s v="ORD02408"/>
    <s v="CUST0324"/>
    <s v="PRD0370"/>
    <n v="7"/>
    <s v="Customer Not Found"/>
    <x v="7"/>
    <x v="24"/>
    <x v="5"/>
    <s v="Price Missing"/>
    <n v="0"/>
  </r>
  <r>
    <s v="ORD02409"/>
    <s v="CUST0537"/>
    <s v="PRD0272"/>
    <n v="10"/>
    <s v="Customer Not Found"/>
    <x v="7"/>
    <x v="24"/>
    <x v="5"/>
    <s v="Price Missing"/>
    <n v="0"/>
  </r>
  <r>
    <s v="ORD02410"/>
    <s v="CUST0854"/>
    <s v="PRD0157"/>
    <n v="6"/>
    <s v="Customer Not Found"/>
    <x v="7"/>
    <x v="24"/>
    <x v="5"/>
    <s v="Price Missing"/>
    <n v="0"/>
  </r>
  <r>
    <s v="ORD02411"/>
    <s v="CUST0792"/>
    <s v="PRD0286"/>
    <n v="3"/>
    <s v="Customer Not Found"/>
    <x v="7"/>
    <x v="24"/>
    <x v="5"/>
    <s v="Price Missing"/>
    <n v="0"/>
  </r>
  <r>
    <s v="ORD02412"/>
    <s v="CUST0852"/>
    <s v="PRD0211"/>
    <n v="1"/>
    <s v="Customer Not Found"/>
    <x v="7"/>
    <x v="24"/>
    <x v="5"/>
    <s v="Price Missing"/>
    <n v="0"/>
  </r>
  <r>
    <s v="ORD02413"/>
    <s v="CUST0567"/>
    <s v="PRD0194"/>
    <n v="9"/>
    <s v="Customer Not Found"/>
    <x v="7"/>
    <x v="24"/>
    <x v="5"/>
    <s v="Price Missing"/>
    <n v="0"/>
  </r>
  <r>
    <s v="ORD02414"/>
    <s v="CUST0017"/>
    <s v="PRD0496"/>
    <n v="4"/>
    <s v="Customer Not Found"/>
    <x v="7"/>
    <x v="24"/>
    <x v="5"/>
    <s v="Price Missing"/>
    <n v="0"/>
  </r>
  <r>
    <s v="ORD02415"/>
    <s v="CUST0649"/>
    <s v="PRD0223"/>
    <n v="7"/>
    <s v="Customer Not Found"/>
    <x v="7"/>
    <x v="24"/>
    <x v="5"/>
    <s v="Price Missing"/>
    <n v="0"/>
  </r>
  <r>
    <s v="ORD02416"/>
    <s v="CUST0153"/>
    <s v="PRD0023"/>
    <n v="6"/>
    <s v="Customer Not Found"/>
    <x v="7"/>
    <x v="24"/>
    <x v="5"/>
    <s v="Price Missing"/>
    <n v="0"/>
  </r>
  <r>
    <s v="ORD02417"/>
    <s v="CUST0564"/>
    <s v="PRD0116"/>
    <n v="6"/>
    <s v="Customer Not Found"/>
    <x v="7"/>
    <x v="24"/>
    <x v="5"/>
    <s v="Price Missing"/>
    <n v="0"/>
  </r>
  <r>
    <s v="ORD02418"/>
    <s v="CUST0529"/>
    <s v="PRD0282"/>
    <n v="3"/>
    <s v="Customer Not Found"/>
    <x v="7"/>
    <x v="24"/>
    <x v="5"/>
    <s v="Price Missing"/>
    <n v="0"/>
  </r>
  <r>
    <s v="ORD02419"/>
    <s v="CUST0131"/>
    <s v="PRD0270"/>
    <n v="9"/>
    <s v="Customer Not Found"/>
    <x v="7"/>
    <x v="24"/>
    <x v="5"/>
    <s v="Price Missing"/>
    <n v="0"/>
  </r>
  <r>
    <s v="ORD02420"/>
    <s v="CUST0731"/>
    <s v="PRD0162"/>
    <n v="4"/>
    <s v="Customer Not Found"/>
    <x v="7"/>
    <x v="24"/>
    <x v="5"/>
    <s v="Price Missing"/>
    <n v="0"/>
  </r>
  <r>
    <s v="ORD02421"/>
    <s v="CUST0376"/>
    <s v="PRD0090"/>
    <n v="9"/>
    <s v="Customer Not Found"/>
    <x v="7"/>
    <x v="24"/>
    <x v="5"/>
    <s v="Price Missing"/>
    <n v="0"/>
  </r>
  <r>
    <s v="ORD02422"/>
    <s v="CUST0366"/>
    <s v="PRD0280"/>
    <n v="1"/>
    <s v="Customer Not Found"/>
    <x v="7"/>
    <x v="24"/>
    <x v="5"/>
    <s v="Price Missing"/>
    <n v="0"/>
  </r>
  <r>
    <s v="ORD02423"/>
    <s v="CUST0136"/>
    <s v="PRD0211"/>
    <n v="3"/>
    <s v="Customer Not Found"/>
    <x v="7"/>
    <x v="24"/>
    <x v="5"/>
    <s v="Price Missing"/>
    <n v="0"/>
  </r>
  <r>
    <s v="ORD02424"/>
    <s v="CUST0045"/>
    <s v="PRD0362"/>
    <n v="5"/>
    <s v="Customer Not Found"/>
    <x v="7"/>
    <x v="24"/>
    <x v="5"/>
    <s v="Price Missing"/>
    <n v="0"/>
  </r>
  <r>
    <s v="ORD02425"/>
    <s v="CUST0682"/>
    <s v="PRD0319"/>
    <n v="5"/>
    <s v="Customer Not Found"/>
    <x v="7"/>
    <x v="24"/>
    <x v="5"/>
    <s v="Price Missing"/>
    <n v="0"/>
  </r>
  <r>
    <s v="ORD02426"/>
    <s v="CUST0523"/>
    <s v="PRD0005"/>
    <n v="8"/>
    <s v="Customer Not Found"/>
    <x v="7"/>
    <x v="24"/>
    <x v="5"/>
    <s v="Price Missing"/>
    <n v="0"/>
  </r>
  <r>
    <s v="ORD02427"/>
    <s v="CUST0776"/>
    <s v="PRD0467"/>
    <n v="2"/>
    <s v="Customer Not Found"/>
    <x v="7"/>
    <x v="24"/>
    <x v="5"/>
    <s v="Price Missing"/>
    <n v="0"/>
  </r>
  <r>
    <s v="ORD02428"/>
    <s v="CUST0013"/>
    <s v="PRD0449"/>
    <n v="2"/>
    <s v="Customer Not Found"/>
    <x v="7"/>
    <x v="24"/>
    <x v="5"/>
    <s v="Price Missing"/>
    <n v="0"/>
  </r>
  <r>
    <s v="ORD02429"/>
    <s v="CUST0268"/>
    <s v="PRD0370"/>
    <n v="3"/>
    <s v="Customer Not Found"/>
    <x v="7"/>
    <x v="24"/>
    <x v="5"/>
    <s v="Price Missing"/>
    <n v="0"/>
  </r>
  <r>
    <s v="ORD02430"/>
    <s v="CUST0537"/>
    <s v="PRD0141"/>
    <n v="4"/>
    <s v="Customer Not Found"/>
    <x v="7"/>
    <x v="24"/>
    <x v="5"/>
    <s v="Price Missing"/>
    <n v="0"/>
  </r>
  <r>
    <s v="ORD02431"/>
    <s v="CUST0852"/>
    <s v="PRD0350"/>
    <n v="1"/>
    <s v="Customer Not Found"/>
    <x v="7"/>
    <x v="24"/>
    <x v="5"/>
    <s v="Price Missing"/>
    <n v="0"/>
  </r>
  <r>
    <s v="ORD02432"/>
    <s v="CUST0189"/>
    <s v="PRD0155"/>
    <n v="7"/>
    <s v="Customer Not Found"/>
    <x v="7"/>
    <x v="24"/>
    <x v="5"/>
    <s v="Price Missing"/>
    <n v="0"/>
  </r>
  <r>
    <s v="ORD02433"/>
    <s v="CUST0859"/>
    <s v="PRD0060"/>
    <n v="8"/>
    <s v="Customer Not Found"/>
    <x v="7"/>
    <x v="24"/>
    <x v="5"/>
    <s v="Price Missing"/>
    <n v="0"/>
  </r>
  <r>
    <s v="ORD02434"/>
    <s v="CUST0390"/>
    <s v="PRD0369"/>
    <n v="1"/>
    <s v="Customer Not Found"/>
    <x v="7"/>
    <x v="24"/>
    <x v="5"/>
    <s v="Price Missing"/>
    <n v="0"/>
  </r>
  <r>
    <s v="ORD02435"/>
    <s v="CUST0559"/>
    <s v="PRD0049"/>
    <n v="8"/>
    <s v="Customer Not Found"/>
    <x v="7"/>
    <x v="24"/>
    <x v="5"/>
    <s v="Price Missing"/>
    <n v="0"/>
  </r>
  <r>
    <s v="ORD02436"/>
    <s v="CUST0594"/>
    <s v="PRD0428"/>
    <n v="10"/>
    <s v="Customer Not Found"/>
    <x v="7"/>
    <x v="24"/>
    <x v="5"/>
    <s v="Price Missing"/>
    <n v="0"/>
  </r>
  <r>
    <s v="ORD02437"/>
    <s v="CUST0669"/>
    <s v="PRD0018"/>
    <n v="4"/>
    <s v="Customer Not Found"/>
    <x v="7"/>
    <x v="24"/>
    <x v="5"/>
    <s v="Price Missing"/>
    <n v="0"/>
  </r>
  <r>
    <s v="ORD02438"/>
    <s v="CUST0578"/>
    <s v="PRD0051"/>
    <n v="10"/>
    <s v="Customer Not Found"/>
    <x v="7"/>
    <x v="24"/>
    <x v="5"/>
    <s v="Price Missing"/>
    <n v="0"/>
  </r>
  <r>
    <s v="ORD02439"/>
    <s v="CUST0271"/>
    <s v="PRD0463"/>
    <n v="9"/>
    <s v="Customer Not Found"/>
    <x v="7"/>
    <x v="24"/>
    <x v="5"/>
    <s v="Price Missing"/>
    <n v="0"/>
  </r>
  <r>
    <s v="ORD02440"/>
    <s v="CUST0050"/>
    <s v="PRD0238"/>
    <n v="6"/>
    <s v="Customer Not Found"/>
    <x v="7"/>
    <x v="24"/>
    <x v="5"/>
    <s v="Price Missing"/>
    <n v="0"/>
  </r>
  <r>
    <s v="ORD02441"/>
    <s v="CUST0687"/>
    <s v="PRD0337"/>
    <n v="10"/>
    <s v="Customer Not Found"/>
    <x v="7"/>
    <x v="24"/>
    <x v="5"/>
    <s v="Price Missing"/>
    <n v="0"/>
  </r>
  <r>
    <s v="ORD02442"/>
    <s v="CUST0903"/>
    <s v="PRD0249"/>
    <n v="9"/>
    <s v="Customer Not Found"/>
    <x v="7"/>
    <x v="24"/>
    <x v="5"/>
    <s v="Price Missing"/>
    <n v="0"/>
  </r>
  <r>
    <s v="ORD02443"/>
    <s v="CUST0492"/>
    <s v="PRD0342"/>
    <n v="5"/>
    <s v="Customer Not Found"/>
    <x v="7"/>
    <x v="24"/>
    <x v="5"/>
    <s v="Price Missing"/>
    <n v="0"/>
  </r>
  <r>
    <s v="ORD02444"/>
    <s v="CUST0739"/>
    <s v="PRD0315"/>
    <n v="4"/>
    <s v="Customer Not Found"/>
    <x v="7"/>
    <x v="24"/>
    <x v="5"/>
    <s v="Price Missing"/>
    <n v="0"/>
  </r>
  <r>
    <s v="ORD02445"/>
    <s v="CUST0116"/>
    <s v="PRD0428"/>
    <n v="5"/>
    <s v="Customer Not Found"/>
    <x v="7"/>
    <x v="24"/>
    <x v="5"/>
    <s v="Price Missing"/>
    <n v="0"/>
  </r>
  <r>
    <s v="ORD02446"/>
    <s v="CUST0026"/>
    <s v="PRD0282"/>
    <n v="7"/>
    <s v="Customer Not Found"/>
    <x v="7"/>
    <x v="24"/>
    <x v="5"/>
    <s v="Price Missing"/>
    <n v="0"/>
  </r>
  <r>
    <s v="ORD02447"/>
    <s v="CUST0925"/>
    <s v="PRD0207"/>
    <n v="8"/>
    <s v="Customer Not Found"/>
    <x v="7"/>
    <x v="24"/>
    <x v="5"/>
    <s v="Price Missing"/>
    <n v="0"/>
  </r>
  <r>
    <s v="ORD02448"/>
    <s v="CUST0540"/>
    <s v="PRD0340"/>
    <n v="7"/>
    <s v="Customer Not Found"/>
    <x v="7"/>
    <x v="24"/>
    <x v="5"/>
    <s v="Price Missing"/>
    <n v="0"/>
  </r>
  <r>
    <s v="ORD02449"/>
    <s v="CUST0181"/>
    <s v="PRD0380"/>
    <n v="2"/>
    <s v="Customer Not Found"/>
    <x v="7"/>
    <x v="24"/>
    <x v="5"/>
    <s v="Price Missing"/>
    <n v="0"/>
  </r>
  <r>
    <s v="ORD02450"/>
    <s v="CUST0307"/>
    <s v="PRD0280"/>
    <n v="1"/>
    <s v="Customer Not Found"/>
    <x v="7"/>
    <x v="24"/>
    <x v="5"/>
    <s v="Price Missing"/>
    <n v="0"/>
  </r>
  <r>
    <s v="ORD02451"/>
    <s v="CUST0479"/>
    <s v="PRD0350"/>
    <n v="2"/>
    <s v="Customer Not Found"/>
    <x v="7"/>
    <x v="24"/>
    <x v="5"/>
    <s v="Price Missing"/>
    <n v="0"/>
  </r>
  <r>
    <s v="ORD02452"/>
    <s v="CUST0118"/>
    <s v="PRD0051"/>
    <n v="8"/>
    <s v="Customer Not Found"/>
    <x v="7"/>
    <x v="24"/>
    <x v="5"/>
    <s v="Price Missing"/>
    <n v="0"/>
  </r>
  <r>
    <s v="ORD02453"/>
    <s v="CUST0952"/>
    <s v="PRD0072"/>
    <n v="6"/>
    <s v="Customer Not Found"/>
    <x v="7"/>
    <x v="24"/>
    <x v="5"/>
    <s v="Price Missing"/>
    <n v="0"/>
  </r>
  <r>
    <s v="ORD02454"/>
    <s v="CUST0026"/>
    <s v="PRD0494"/>
    <n v="6"/>
    <s v="Customer Not Found"/>
    <x v="7"/>
    <x v="24"/>
    <x v="5"/>
    <s v="Price Missing"/>
    <n v="0"/>
  </r>
  <r>
    <s v="ORD02455"/>
    <s v="CUST0901"/>
    <s v="PRD0305"/>
    <n v="5"/>
    <s v="Customer Not Found"/>
    <x v="7"/>
    <x v="24"/>
    <x v="5"/>
    <s v="Price Missing"/>
    <n v="0"/>
  </r>
  <r>
    <s v="ORD02456"/>
    <s v="CUST0041"/>
    <s v="PRD0384"/>
    <n v="1"/>
    <s v="Customer Not Found"/>
    <x v="7"/>
    <x v="24"/>
    <x v="5"/>
    <s v="Price Missing"/>
    <n v="0"/>
  </r>
  <r>
    <s v="ORD02457"/>
    <s v="CUST0809"/>
    <s v="PRD0018"/>
    <n v="10"/>
    <s v="Customer Not Found"/>
    <x v="7"/>
    <x v="24"/>
    <x v="5"/>
    <s v="Price Missing"/>
    <n v="0"/>
  </r>
  <r>
    <s v="ORD02458"/>
    <s v="CUST0285"/>
    <s v="PRD0155"/>
    <n v="2"/>
    <s v="Customer Not Found"/>
    <x v="7"/>
    <x v="24"/>
    <x v="5"/>
    <s v="Price Missing"/>
    <n v="0"/>
  </r>
  <r>
    <s v="ORD02459"/>
    <s v="CUST0240"/>
    <s v="PRD0082"/>
    <n v="8"/>
    <s v="Customer Not Found"/>
    <x v="7"/>
    <x v="24"/>
    <x v="5"/>
    <s v="Price Missing"/>
    <n v="0"/>
  </r>
  <r>
    <s v="ORD02460"/>
    <s v="CUST0225"/>
    <s v="PRD0078"/>
    <n v="10"/>
    <s v="Customer Not Found"/>
    <x v="7"/>
    <x v="24"/>
    <x v="5"/>
    <s v="Price Missing"/>
    <n v="0"/>
  </r>
  <r>
    <s v="ORD02461"/>
    <s v="CUST0985"/>
    <s v="PRD0418"/>
    <n v="2"/>
    <s v="Customer Not Found"/>
    <x v="7"/>
    <x v="24"/>
    <x v="5"/>
    <s v="Price Missing"/>
    <n v="0"/>
  </r>
  <r>
    <s v="ORD02462"/>
    <s v="CUST0344"/>
    <s v="PRD0199"/>
    <n v="6"/>
    <s v="Customer Not Found"/>
    <x v="7"/>
    <x v="24"/>
    <x v="5"/>
    <s v="Price Missing"/>
    <n v="0"/>
  </r>
  <r>
    <s v="ORD02463"/>
    <s v="CUST0893"/>
    <s v="PRD0355"/>
    <n v="1"/>
    <s v="Customer Not Found"/>
    <x v="7"/>
    <x v="24"/>
    <x v="5"/>
    <s v="Price Missing"/>
    <n v="0"/>
  </r>
  <r>
    <s v="ORD02464"/>
    <s v="CUST0736"/>
    <s v="PRD0047"/>
    <n v="5"/>
    <s v="Customer Not Found"/>
    <x v="7"/>
    <x v="24"/>
    <x v="5"/>
    <s v="Price Missing"/>
    <n v="0"/>
  </r>
  <r>
    <s v="ORD02465"/>
    <s v="CUST0093"/>
    <s v="PRD0349"/>
    <n v="10"/>
    <s v="Customer Not Found"/>
    <x v="7"/>
    <x v="24"/>
    <x v="5"/>
    <s v="Price Missing"/>
    <n v="0"/>
  </r>
  <r>
    <s v="ORD02466"/>
    <s v="CUST0848"/>
    <s v="PRD0109"/>
    <n v="1"/>
    <s v="Customer Not Found"/>
    <x v="7"/>
    <x v="24"/>
    <x v="5"/>
    <s v="Price Missing"/>
    <n v="0"/>
  </r>
  <r>
    <s v="ORD02467"/>
    <s v="CUST0079"/>
    <s v="PRD0112"/>
    <n v="2"/>
    <s v="Customer Not Found"/>
    <x v="7"/>
    <x v="24"/>
    <x v="5"/>
    <s v="Price Missing"/>
    <n v="0"/>
  </r>
  <r>
    <s v="ORD02468"/>
    <s v="CUST0906"/>
    <s v="PRD0342"/>
    <n v="3"/>
    <s v="Customer Not Found"/>
    <x v="7"/>
    <x v="24"/>
    <x v="5"/>
    <s v="Price Missing"/>
    <n v="0"/>
  </r>
  <r>
    <s v="ORD02469"/>
    <s v="CUST0358"/>
    <s v="PRD0315"/>
    <n v="5"/>
    <s v="Customer Not Found"/>
    <x v="7"/>
    <x v="24"/>
    <x v="5"/>
    <s v="Price Missing"/>
    <n v="0"/>
  </r>
  <r>
    <s v="ORD02470"/>
    <s v="CUST0721"/>
    <s v="PRD0126"/>
    <n v="8"/>
    <s v="Customer Not Found"/>
    <x v="7"/>
    <x v="24"/>
    <x v="5"/>
    <s v="Price Missing"/>
    <n v="0"/>
  </r>
  <r>
    <s v="ORD02471"/>
    <s v="CUST0310"/>
    <s v="PRD0443"/>
    <n v="3"/>
    <s v="Customer Not Found"/>
    <x v="7"/>
    <x v="24"/>
    <x v="5"/>
    <s v="Price Missing"/>
    <n v="0"/>
  </r>
  <r>
    <s v="ORD02472"/>
    <s v="CUST0597"/>
    <s v="PRD0174"/>
    <n v="3"/>
    <s v="Customer Not Found"/>
    <x v="7"/>
    <x v="24"/>
    <x v="5"/>
    <s v="Price Missing"/>
    <n v="0"/>
  </r>
  <r>
    <s v="ORD02473"/>
    <s v="CUST0548"/>
    <s v="PRD0369"/>
    <n v="5"/>
    <s v="Customer Not Found"/>
    <x v="7"/>
    <x v="24"/>
    <x v="5"/>
    <s v="Price Missing"/>
    <n v="0"/>
  </r>
  <r>
    <s v="ORD02474"/>
    <s v="CUST0539"/>
    <s v="PRD0429"/>
    <n v="9"/>
    <s v="Customer Not Found"/>
    <x v="7"/>
    <x v="24"/>
    <x v="5"/>
    <s v="Price Missing"/>
    <n v="0"/>
  </r>
  <r>
    <s v="ORD02475"/>
    <s v="CUST0816"/>
    <s v="PRD0282"/>
    <n v="2"/>
    <s v="Customer Not Found"/>
    <x v="7"/>
    <x v="24"/>
    <x v="5"/>
    <s v="Price Missing"/>
    <n v="0"/>
  </r>
  <r>
    <s v="ORD02476"/>
    <s v="CUST0339"/>
    <s v="PRD0287"/>
    <n v="6"/>
    <s v="Customer Not Found"/>
    <x v="7"/>
    <x v="24"/>
    <x v="5"/>
    <s v="Price Missing"/>
    <n v="0"/>
  </r>
  <r>
    <s v="ORD02477"/>
    <s v="CUST0591"/>
    <s v="PRD0135"/>
    <n v="10"/>
    <s v="Customer Not Found"/>
    <x v="7"/>
    <x v="24"/>
    <x v="5"/>
    <s v="Price Missing"/>
    <n v="0"/>
  </r>
  <r>
    <s v="ORD02478"/>
    <s v="CUST0767"/>
    <s v="PRD0096"/>
    <n v="1"/>
    <s v="Customer Not Found"/>
    <x v="7"/>
    <x v="24"/>
    <x v="5"/>
    <s v="Price Missing"/>
    <n v="0"/>
  </r>
  <r>
    <s v="ORD02479"/>
    <s v="CUST0067"/>
    <s v="PRD0343"/>
    <n v="10"/>
    <s v="Customer Not Found"/>
    <x v="7"/>
    <x v="24"/>
    <x v="5"/>
    <s v="Price Missing"/>
    <n v="0"/>
  </r>
  <r>
    <s v="ORD02480"/>
    <s v="CUST0396"/>
    <s v="PRD0402"/>
    <n v="4"/>
    <s v="Customer Not Found"/>
    <x v="7"/>
    <x v="24"/>
    <x v="5"/>
    <s v="Price Missing"/>
    <n v="0"/>
  </r>
  <r>
    <s v="ORD02481"/>
    <s v="CUST0399"/>
    <s v="PRD0156"/>
    <n v="9"/>
    <s v="Customer Not Found"/>
    <x v="7"/>
    <x v="24"/>
    <x v="5"/>
    <s v="Price Missing"/>
    <n v="0"/>
  </r>
  <r>
    <s v="ORD02482"/>
    <s v="CUST0001"/>
    <s v="PRD0341"/>
    <n v="6"/>
    <s v="Customer Not Found"/>
    <x v="7"/>
    <x v="24"/>
    <x v="5"/>
    <s v="Price Missing"/>
    <n v="0"/>
  </r>
  <r>
    <s v="ORD02483"/>
    <s v="CUST0932"/>
    <s v="PRD0221"/>
    <n v="3"/>
    <s v="Customer Not Found"/>
    <x v="7"/>
    <x v="24"/>
    <x v="5"/>
    <s v="Price Missing"/>
    <n v="0"/>
  </r>
  <r>
    <s v="ORD02484"/>
    <s v="CUST0869"/>
    <s v="PRD0001"/>
    <n v="7"/>
    <s v="Customer Not Found"/>
    <x v="7"/>
    <x v="24"/>
    <x v="5"/>
    <s v="Price Missing"/>
    <n v="0"/>
  </r>
  <r>
    <s v="ORD02485"/>
    <s v="CUST0975"/>
    <s v="PRD0234"/>
    <n v="4"/>
    <s v="Customer Not Found"/>
    <x v="7"/>
    <x v="24"/>
    <x v="5"/>
    <s v="Price Missing"/>
    <n v="0"/>
  </r>
  <r>
    <s v="ORD02486"/>
    <s v="CUST0860"/>
    <s v="PRD0103"/>
    <n v="4"/>
    <s v="Customer Not Found"/>
    <x v="7"/>
    <x v="24"/>
    <x v="5"/>
    <s v="Price Missing"/>
    <n v="0"/>
  </r>
  <r>
    <s v="ORD02487"/>
    <s v="CUST0127"/>
    <s v="PRD0093"/>
    <n v="8"/>
    <s v="Customer Not Found"/>
    <x v="7"/>
    <x v="24"/>
    <x v="5"/>
    <s v="Price Missing"/>
    <n v="0"/>
  </r>
  <r>
    <s v="ORD02488"/>
    <s v="CUST0442"/>
    <s v="PRD0404"/>
    <n v="6"/>
    <s v="Customer Not Found"/>
    <x v="7"/>
    <x v="24"/>
    <x v="5"/>
    <s v="Price Missing"/>
    <n v="0"/>
  </r>
  <r>
    <s v="ORD02489"/>
    <s v="CUST0827"/>
    <s v="PRD0279"/>
    <n v="1"/>
    <s v="Customer Not Found"/>
    <x v="7"/>
    <x v="24"/>
    <x v="5"/>
    <s v="Price Missing"/>
    <n v="0"/>
  </r>
  <r>
    <s v="ORD02490"/>
    <s v="CUST0173"/>
    <s v="PRD0082"/>
    <n v="7"/>
    <s v="Customer Not Found"/>
    <x v="7"/>
    <x v="24"/>
    <x v="5"/>
    <s v="Price Missing"/>
    <n v="0"/>
  </r>
  <r>
    <s v="ORD02491"/>
    <s v="CUST0435"/>
    <s v="PRD0437"/>
    <n v="7"/>
    <s v="Customer Not Found"/>
    <x v="7"/>
    <x v="24"/>
    <x v="5"/>
    <s v="Price Missing"/>
    <n v="0"/>
  </r>
  <r>
    <s v="ORD02492"/>
    <s v="CUST0335"/>
    <s v="PRD0102"/>
    <n v="2"/>
    <s v="Customer Not Found"/>
    <x v="7"/>
    <x v="24"/>
    <x v="5"/>
    <s v="Price Missing"/>
    <n v="0"/>
  </r>
  <r>
    <s v="ORD02493"/>
    <s v="CUST0503"/>
    <s v="PRD0431"/>
    <n v="1"/>
    <s v="Customer Not Found"/>
    <x v="7"/>
    <x v="24"/>
    <x v="5"/>
    <s v="Price Missing"/>
    <n v="0"/>
  </r>
  <r>
    <s v="ORD02494"/>
    <s v="CUST0366"/>
    <s v="PRD0126"/>
    <n v="9"/>
    <s v="Customer Not Found"/>
    <x v="7"/>
    <x v="24"/>
    <x v="5"/>
    <s v="Price Missing"/>
    <n v="0"/>
  </r>
  <r>
    <s v="ORD02495"/>
    <s v="CUST0299"/>
    <s v="PRD0083"/>
    <n v="7"/>
    <s v="Customer Not Found"/>
    <x v="7"/>
    <x v="24"/>
    <x v="5"/>
    <s v="Price Missing"/>
    <n v="0"/>
  </r>
  <r>
    <s v="ORD02496"/>
    <s v="CUST0450"/>
    <s v="PRD0256"/>
    <n v="9"/>
    <s v="Customer Not Found"/>
    <x v="7"/>
    <x v="24"/>
    <x v="5"/>
    <s v="Price Missing"/>
    <n v="0"/>
  </r>
  <r>
    <s v="ORD02497"/>
    <s v="CUST0266"/>
    <s v="PRD0066"/>
    <n v="10"/>
    <s v="Customer Not Found"/>
    <x v="7"/>
    <x v="24"/>
    <x v="5"/>
    <s v="Price Missing"/>
    <n v="0"/>
  </r>
  <r>
    <s v="ORD02498"/>
    <s v="CUST0925"/>
    <s v="PRD0419"/>
    <n v="7"/>
    <s v="Customer Not Found"/>
    <x v="7"/>
    <x v="24"/>
    <x v="5"/>
    <s v="Price Missing"/>
    <n v="0"/>
  </r>
  <r>
    <s v="ORD02499"/>
    <s v="CUST0826"/>
    <s v="PRD0038"/>
    <n v="2"/>
    <s v="Customer Not Found"/>
    <x v="7"/>
    <x v="24"/>
    <x v="5"/>
    <s v="Price Missing"/>
    <n v="0"/>
  </r>
  <r>
    <s v="ORD02500"/>
    <s v="CUST0541"/>
    <s v="PRD0276"/>
    <n v="2"/>
    <s v="Customer Not Found"/>
    <x v="7"/>
    <x v="24"/>
    <x v="5"/>
    <s v="Price Missing"/>
    <n v="0"/>
  </r>
  <r>
    <s v="ORD02501"/>
    <s v="CUST0370"/>
    <s v="PRD0083"/>
    <n v="10"/>
    <s v="Customer Not Found"/>
    <x v="7"/>
    <x v="24"/>
    <x v="5"/>
    <s v="Price Missing"/>
    <n v="0"/>
  </r>
  <r>
    <s v="ORD02502"/>
    <s v="CUST0548"/>
    <s v="PRD0208"/>
    <n v="10"/>
    <s v="Customer Not Found"/>
    <x v="7"/>
    <x v="24"/>
    <x v="5"/>
    <s v="Price Missing"/>
    <n v="0"/>
  </r>
  <r>
    <s v="ORD02503"/>
    <s v="CUST0800"/>
    <s v="PRD0371"/>
    <n v="1"/>
    <s v="Customer Not Found"/>
    <x v="7"/>
    <x v="24"/>
    <x v="5"/>
    <s v="Price Missing"/>
    <n v="0"/>
  </r>
  <r>
    <s v="ORD02504"/>
    <s v="CUST0873"/>
    <s v="PRD0419"/>
    <n v="10"/>
    <s v="Customer Not Found"/>
    <x v="7"/>
    <x v="24"/>
    <x v="5"/>
    <s v="Price Missing"/>
    <n v="0"/>
  </r>
  <r>
    <s v="ORD02505"/>
    <s v="CUST0561"/>
    <s v="PRD0318"/>
    <n v="1"/>
    <s v="Customer Not Found"/>
    <x v="7"/>
    <x v="24"/>
    <x v="5"/>
    <s v="Price Missing"/>
    <n v="0"/>
  </r>
  <r>
    <s v="ORD02506"/>
    <s v="CUST0040"/>
    <s v="PRD0292"/>
    <n v="5"/>
    <s v="Customer Not Found"/>
    <x v="7"/>
    <x v="24"/>
    <x v="5"/>
    <s v="Price Missing"/>
    <n v="0"/>
  </r>
  <r>
    <s v="ORD02507"/>
    <s v="CUST0525"/>
    <s v="PRD0430"/>
    <n v="3"/>
    <s v="Customer Not Found"/>
    <x v="7"/>
    <x v="24"/>
    <x v="5"/>
    <s v="Price Missing"/>
    <n v="0"/>
  </r>
  <r>
    <s v="ORD02508"/>
    <s v="CUST0452"/>
    <s v="PRD0492"/>
    <n v="6"/>
    <s v="Customer Not Found"/>
    <x v="7"/>
    <x v="24"/>
    <x v="5"/>
    <s v="Price Missing"/>
    <n v="0"/>
  </r>
  <r>
    <s v="ORD02509"/>
    <s v="CUST0369"/>
    <s v="PRD0149"/>
    <n v="2"/>
    <s v="Customer Not Found"/>
    <x v="7"/>
    <x v="24"/>
    <x v="5"/>
    <s v="Price Missing"/>
    <n v="0"/>
  </r>
  <r>
    <s v="ORD02510"/>
    <s v="CUST0263"/>
    <s v="PRD0072"/>
    <n v="2"/>
    <s v="Customer Not Found"/>
    <x v="7"/>
    <x v="24"/>
    <x v="5"/>
    <s v="Price Missing"/>
    <n v="0"/>
  </r>
  <r>
    <s v="ORD02511"/>
    <s v="CUST0444"/>
    <s v="PRD0409"/>
    <n v="2"/>
    <s v="Customer Not Found"/>
    <x v="7"/>
    <x v="24"/>
    <x v="5"/>
    <s v="Price Missing"/>
    <n v="0"/>
  </r>
  <r>
    <s v="ORD02512"/>
    <s v="CUST0051"/>
    <s v="PRD0380"/>
    <n v="7"/>
    <s v="Customer Not Found"/>
    <x v="7"/>
    <x v="24"/>
    <x v="5"/>
    <s v="Price Missing"/>
    <n v="0"/>
  </r>
  <r>
    <s v="ORD02513"/>
    <s v="CUST0286"/>
    <s v="PRD0171"/>
    <n v="7"/>
    <s v="Customer Not Found"/>
    <x v="7"/>
    <x v="24"/>
    <x v="5"/>
    <s v="Price Missing"/>
    <n v="0"/>
  </r>
  <r>
    <s v="ORD02514"/>
    <s v="CUST0495"/>
    <s v="PRD0303"/>
    <n v="9"/>
    <s v="Customer Not Found"/>
    <x v="7"/>
    <x v="24"/>
    <x v="5"/>
    <s v="Price Missing"/>
    <n v="0"/>
  </r>
  <r>
    <s v="ORD02515"/>
    <s v="CUST0882"/>
    <s v="PRD0287"/>
    <n v="4"/>
    <s v="Customer Not Found"/>
    <x v="7"/>
    <x v="24"/>
    <x v="5"/>
    <s v="Price Missing"/>
    <n v="0"/>
  </r>
  <r>
    <s v="ORD02516"/>
    <s v="CUST0335"/>
    <s v="PRD0166"/>
    <n v="3"/>
    <s v="Customer Not Found"/>
    <x v="7"/>
    <x v="24"/>
    <x v="5"/>
    <s v="Price Missing"/>
    <n v="0"/>
  </r>
  <r>
    <s v="ORD02517"/>
    <s v="CUST0629"/>
    <s v="PRD0486"/>
    <n v="7"/>
    <s v="Customer Not Found"/>
    <x v="7"/>
    <x v="24"/>
    <x v="5"/>
    <s v="Price Missing"/>
    <n v="0"/>
  </r>
  <r>
    <s v="ORD02518"/>
    <s v="CUST0918"/>
    <s v="PRD0315"/>
    <n v="5"/>
    <s v="Customer Not Found"/>
    <x v="7"/>
    <x v="24"/>
    <x v="5"/>
    <s v="Price Missing"/>
    <n v="0"/>
  </r>
  <r>
    <s v="ORD02519"/>
    <s v="CUST0910"/>
    <s v="PRD0357"/>
    <n v="2"/>
    <s v="Customer Not Found"/>
    <x v="7"/>
    <x v="24"/>
    <x v="5"/>
    <s v="Price Missing"/>
    <n v="0"/>
  </r>
  <r>
    <s v="ORD02520"/>
    <s v="CUST0367"/>
    <s v="PRD0481"/>
    <n v="5"/>
    <s v="Customer Not Found"/>
    <x v="7"/>
    <x v="24"/>
    <x v="5"/>
    <s v="Price Missing"/>
    <n v="0"/>
  </r>
  <r>
    <s v="ORD02521"/>
    <s v="CUST0376"/>
    <s v="PRD0465"/>
    <n v="3"/>
    <s v="Customer Not Found"/>
    <x v="7"/>
    <x v="24"/>
    <x v="5"/>
    <s v="Price Missing"/>
    <n v="0"/>
  </r>
  <r>
    <s v="ORD02522"/>
    <s v="CUST0462"/>
    <s v="PRD0250"/>
    <n v="9"/>
    <s v="Customer Not Found"/>
    <x v="7"/>
    <x v="24"/>
    <x v="5"/>
    <s v="Price Missing"/>
    <n v="0"/>
  </r>
  <r>
    <s v="ORD02523"/>
    <s v="CUST0156"/>
    <s v="PRD0395"/>
    <n v="7"/>
    <s v="Customer Not Found"/>
    <x v="7"/>
    <x v="24"/>
    <x v="5"/>
    <s v="Price Missing"/>
    <n v="0"/>
  </r>
  <r>
    <s v="ORD02524"/>
    <s v="CUST0352"/>
    <s v="PRD0047"/>
    <n v="5"/>
    <s v="Customer Not Found"/>
    <x v="7"/>
    <x v="24"/>
    <x v="5"/>
    <s v="Price Missing"/>
    <n v="0"/>
  </r>
  <r>
    <s v="ORD02525"/>
    <s v="CUST0235"/>
    <s v="PRD0413"/>
    <n v="5"/>
    <s v="Customer Not Found"/>
    <x v="7"/>
    <x v="24"/>
    <x v="5"/>
    <s v="Price Missing"/>
    <n v="0"/>
  </r>
  <r>
    <s v="ORD02526"/>
    <s v="CUST0330"/>
    <s v="PRD0206"/>
    <n v="10"/>
    <s v="Customer Not Found"/>
    <x v="7"/>
    <x v="24"/>
    <x v="5"/>
    <s v="Price Missing"/>
    <n v="0"/>
  </r>
  <r>
    <s v="ORD02527"/>
    <s v="CUST0502"/>
    <s v="PRD0463"/>
    <n v="9"/>
    <s v="Customer Not Found"/>
    <x v="7"/>
    <x v="24"/>
    <x v="5"/>
    <s v="Price Missing"/>
    <n v="0"/>
  </r>
  <r>
    <s v="ORD02528"/>
    <s v="CUST0784"/>
    <s v="PRD0151"/>
    <n v="8"/>
    <s v="Customer Not Found"/>
    <x v="7"/>
    <x v="24"/>
    <x v="5"/>
    <s v="Price Missing"/>
    <n v="0"/>
  </r>
  <r>
    <s v="ORD02529"/>
    <s v="CUST0725"/>
    <s v="PRD0057"/>
    <n v="5"/>
    <s v="Customer Not Found"/>
    <x v="7"/>
    <x v="24"/>
    <x v="5"/>
    <s v="Price Missing"/>
    <n v="0"/>
  </r>
  <r>
    <s v="ORD02530"/>
    <s v="CUST0978"/>
    <s v="PRD0243"/>
    <n v="10"/>
    <s v="Customer Not Found"/>
    <x v="7"/>
    <x v="24"/>
    <x v="5"/>
    <s v="Price Missing"/>
    <n v="0"/>
  </r>
  <r>
    <s v="ORD02531"/>
    <s v="CUST0385"/>
    <s v="PRD0390"/>
    <n v="10"/>
    <s v="Customer Not Found"/>
    <x v="7"/>
    <x v="24"/>
    <x v="5"/>
    <s v="Price Missing"/>
    <n v="0"/>
  </r>
  <r>
    <s v="ORD02532"/>
    <s v="CUST0481"/>
    <s v="PRD0379"/>
    <n v="8"/>
    <s v="Customer Not Found"/>
    <x v="7"/>
    <x v="24"/>
    <x v="5"/>
    <s v="Price Missing"/>
    <n v="0"/>
  </r>
  <r>
    <s v="ORD02533"/>
    <s v="CUST0683"/>
    <s v="PRD0443"/>
    <n v="6"/>
    <s v="Customer Not Found"/>
    <x v="7"/>
    <x v="24"/>
    <x v="5"/>
    <s v="Price Missing"/>
    <n v="0"/>
  </r>
  <r>
    <s v="ORD02534"/>
    <s v="CUST0712"/>
    <s v="PRD0047"/>
    <n v="9"/>
    <s v="Customer Not Found"/>
    <x v="7"/>
    <x v="24"/>
    <x v="5"/>
    <s v="Price Missing"/>
    <n v="0"/>
  </r>
  <r>
    <s v="ORD02535"/>
    <s v="CUST0845"/>
    <s v="PRD0359"/>
    <n v="10"/>
    <s v="Customer Not Found"/>
    <x v="7"/>
    <x v="24"/>
    <x v="5"/>
    <s v="Price Missing"/>
    <n v="0"/>
  </r>
  <r>
    <s v="ORD02536"/>
    <s v="CUST0232"/>
    <s v="PRD0490"/>
    <n v="1"/>
    <s v="Customer Not Found"/>
    <x v="7"/>
    <x v="24"/>
    <x v="5"/>
    <s v="Price Missing"/>
    <n v="0"/>
  </r>
  <r>
    <s v="ORD02537"/>
    <s v="CUST0215"/>
    <s v="PRD0267"/>
    <n v="5"/>
    <s v="Customer Not Found"/>
    <x v="7"/>
    <x v="24"/>
    <x v="5"/>
    <s v="Price Missing"/>
    <n v="0"/>
  </r>
  <r>
    <s v="ORD02538"/>
    <s v="CUST0421"/>
    <s v="PRD0126"/>
    <n v="1"/>
    <s v="Customer Not Found"/>
    <x v="7"/>
    <x v="24"/>
    <x v="5"/>
    <s v="Price Missing"/>
    <n v="0"/>
  </r>
  <r>
    <s v="ORD02539"/>
    <s v="CUST0747"/>
    <s v="PRD0312"/>
    <n v="5"/>
    <s v="Customer Not Found"/>
    <x v="7"/>
    <x v="24"/>
    <x v="5"/>
    <s v="Price Missing"/>
    <n v="0"/>
  </r>
  <r>
    <s v="ORD02540"/>
    <s v="CUST0758"/>
    <s v="PRD0468"/>
    <n v="3"/>
    <s v="Customer Not Found"/>
    <x v="7"/>
    <x v="24"/>
    <x v="5"/>
    <s v="Price Missing"/>
    <n v="0"/>
  </r>
  <r>
    <s v="ORD02541"/>
    <s v="CUST0392"/>
    <s v="PRD0161"/>
    <n v="10"/>
    <s v="Customer Not Found"/>
    <x v="7"/>
    <x v="24"/>
    <x v="5"/>
    <s v="Price Missing"/>
    <n v="0"/>
  </r>
  <r>
    <s v="ORD02542"/>
    <s v="CUST0716"/>
    <s v="PRD0349"/>
    <n v="4"/>
    <s v="Customer Not Found"/>
    <x v="7"/>
    <x v="24"/>
    <x v="5"/>
    <s v="Price Missing"/>
    <n v="0"/>
  </r>
  <r>
    <s v="ORD02543"/>
    <s v="CUST0080"/>
    <s v="PRD0367"/>
    <n v="7"/>
    <s v="Customer Not Found"/>
    <x v="7"/>
    <x v="24"/>
    <x v="5"/>
    <s v="Price Missing"/>
    <n v="0"/>
  </r>
  <r>
    <s v="ORD02544"/>
    <s v="CUST0209"/>
    <s v="PRD0025"/>
    <n v="6"/>
    <s v="Customer Not Found"/>
    <x v="7"/>
    <x v="24"/>
    <x v="5"/>
    <s v="Price Missing"/>
    <n v="0"/>
  </r>
  <r>
    <s v="ORD02545"/>
    <s v="CUST0002"/>
    <s v="PRD0325"/>
    <n v="8"/>
    <s v="Customer Not Found"/>
    <x v="7"/>
    <x v="24"/>
    <x v="5"/>
    <s v="Price Missing"/>
    <n v="0"/>
  </r>
  <r>
    <s v="ORD02546"/>
    <s v="CUST0069"/>
    <s v="PRD0350"/>
    <n v="8"/>
    <s v="Customer Not Found"/>
    <x v="7"/>
    <x v="24"/>
    <x v="5"/>
    <s v="Price Missing"/>
    <n v="0"/>
  </r>
  <r>
    <s v="ORD02547"/>
    <s v="CUST0310"/>
    <s v="PRD0110"/>
    <n v="4"/>
    <s v="Customer Not Found"/>
    <x v="7"/>
    <x v="24"/>
    <x v="5"/>
    <s v="Price Missing"/>
    <n v="0"/>
  </r>
  <r>
    <s v="ORD02548"/>
    <s v="CUST0198"/>
    <s v="PRD0201"/>
    <n v="10"/>
    <s v="Customer Not Found"/>
    <x v="7"/>
    <x v="24"/>
    <x v="5"/>
    <s v="Price Missing"/>
    <n v="0"/>
  </r>
  <r>
    <s v="ORD02549"/>
    <s v="CUST0941"/>
    <s v="PRD0113"/>
    <n v="7"/>
    <s v="Customer Not Found"/>
    <x v="7"/>
    <x v="24"/>
    <x v="5"/>
    <s v="Price Missing"/>
    <n v="0"/>
  </r>
  <r>
    <s v="ORD02550"/>
    <s v="CUST0108"/>
    <s v="PRD0067"/>
    <n v="3"/>
    <s v="Customer Not Found"/>
    <x v="7"/>
    <x v="24"/>
    <x v="5"/>
    <s v="Price Missing"/>
    <n v="0"/>
  </r>
  <r>
    <s v="ORD02551"/>
    <s v="CUST0505"/>
    <s v="PRD0486"/>
    <n v="9"/>
    <s v="Customer Not Found"/>
    <x v="7"/>
    <x v="24"/>
    <x v="5"/>
    <s v="Price Missing"/>
    <n v="0"/>
  </r>
  <r>
    <s v="ORD02552"/>
    <s v="CUST0906"/>
    <s v="PRD0045"/>
    <n v="1"/>
    <s v="Customer Not Found"/>
    <x v="7"/>
    <x v="24"/>
    <x v="5"/>
    <s v="Price Missing"/>
    <n v="0"/>
  </r>
  <r>
    <s v="ORD02553"/>
    <s v="CUST0516"/>
    <s v="PRD0133"/>
    <n v="1"/>
    <s v="Customer Not Found"/>
    <x v="7"/>
    <x v="24"/>
    <x v="5"/>
    <s v="Price Missing"/>
    <n v="0"/>
  </r>
  <r>
    <s v="ORD02554"/>
    <s v="CUST0770"/>
    <s v="PRD0425"/>
    <n v="5"/>
    <s v="Customer Not Found"/>
    <x v="7"/>
    <x v="24"/>
    <x v="5"/>
    <s v="Price Missing"/>
    <n v="0"/>
  </r>
  <r>
    <s v="ORD02555"/>
    <s v="CUST0193"/>
    <s v="PRD0107"/>
    <n v="10"/>
    <s v="Customer Not Found"/>
    <x v="7"/>
    <x v="24"/>
    <x v="5"/>
    <s v="Price Missing"/>
    <n v="0"/>
  </r>
  <r>
    <s v="ORD02556"/>
    <s v="CUST0497"/>
    <s v="PRD0494"/>
    <n v="7"/>
    <s v="Customer Not Found"/>
    <x v="7"/>
    <x v="24"/>
    <x v="5"/>
    <s v="Price Missing"/>
    <n v="0"/>
  </r>
  <r>
    <s v="ORD02557"/>
    <s v="CUST0189"/>
    <s v="PRD0195"/>
    <n v="5"/>
    <s v="Customer Not Found"/>
    <x v="7"/>
    <x v="24"/>
    <x v="5"/>
    <s v="Price Missing"/>
    <n v="0"/>
  </r>
  <r>
    <s v="ORD02558"/>
    <s v="CUST0611"/>
    <s v="PRD0162"/>
    <n v="10"/>
    <s v="Customer Not Found"/>
    <x v="7"/>
    <x v="24"/>
    <x v="5"/>
    <s v="Price Missing"/>
    <n v="0"/>
  </r>
  <r>
    <s v="ORD02559"/>
    <s v="CUST0655"/>
    <s v="PRD0446"/>
    <n v="7"/>
    <s v="Customer Not Found"/>
    <x v="7"/>
    <x v="24"/>
    <x v="5"/>
    <s v="Price Missing"/>
    <n v="0"/>
  </r>
  <r>
    <s v="ORD02560"/>
    <s v="CUST0646"/>
    <s v="PRD0373"/>
    <n v="8"/>
    <s v="Customer Not Found"/>
    <x v="7"/>
    <x v="24"/>
    <x v="5"/>
    <s v="Price Missing"/>
    <n v="0"/>
  </r>
  <r>
    <s v="ORD02561"/>
    <s v="CUST0864"/>
    <s v="PRD0108"/>
    <n v="2"/>
    <s v="Customer Not Found"/>
    <x v="7"/>
    <x v="24"/>
    <x v="5"/>
    <s v="Price Missing"/>
    <n v="0"/>
  </r>
  <r>
    <s v="ORD02562"/>
    <s v="CUST0311"/>
    <s v="PRD0179"/>
    <n v="9"/>
    <s v="Customer Not Found"/>
    <x v="7"/>
    <x v="24"/>
    <x v="5"/>
    <s v="Price Missing"/>
    <n v="0"/>
  </r>
  <r>
    <s v="ORD02563"/>
    <s v="CUST0622"/>
    <s v="PRD0223"/>
    <n v="2"/>
    <s v="Customer Not Found"/>
    <x v="7"/>
    <x v="24"/>
    <x v="5"/>
    <s v="Price Missing"/>
    <n v="0"/>
  </r>
  <r>
    <s v="ORD02564"/>
    <s v="CUST0015"/>
    <s v="PRD0083"/>
    <n v="4"/>
    <s v="Customer Not Found"/>
    <x v="7"/>
    <x v="24"/>
    <x v="5"/>
    <s v="Price Missing"/>
    <n v="0"/>
  </r>
  <r>
    <s v="ORD02565"/>
    <s v="CUST0630"/>
    <s v="PRD0294"/>
    <n v="1"/>
    <s v="Customer Not Found"/>
    <x v="7"/>
    <x v="24"/>
    <x v="5"/>
    <s v="Price Missing"/>
    <n v="0"/>
  </r>
  <r>
    <s v="ORD02566"/>
    <s v="CUST0258"/>
    <s v="PRD0351"/>
    <n v="4"/>
    <s v="Customer Not Found"/>
    <x v="7"/>
    <x v="24"/>
    <x v="5"/>
    <s v="Price Missing"/>
    <n v="0"/>
  </r>
  <r>
    <s v="ORD02567"/>
    <s v="CUST0689"/>
    <s v="PRD0191"/>
    <n v="1"/>
    <s v="Customer Not Found"/>
    <x v="7"/>
    <x v="24"/>
    <x v="5"/>
    <s v="Price Missing"/>
    <n v="0"/>
  </r>
  <r>
    <s v="ORD02568"/>
    <s v="CUST0509"/>
    <s v="PRD0253"/>
    <n v="2"/>
    <s v="Customer Not Found"/>
    <x v="7"/>
    <x v="24"/>
    <x v="5"/>
    <s v="Price Missing"/>
    <n v="0"/>
  </r>
  <r>
    <s v="ORD02569"/>
    <s v="CUST0793"/>
    <s v="PRD0269"/>
    <n v="4"/>
    <s v="Customer Not Found"/>
    <x v="7"/>
    <x v="24"/>
    <x v="5"/>
    <s v="Price Missing"/>
    <n v="0"/>
  </r>
  <r>
    <s v="ORD02570"/>
    <s v="CUST0102"/>
    <s v="PRD0260"/>
    <n v="4"/>
    <s v="Customer Not Found"/>
    <x v="7"/>
    <x v="24"/>
    <x v="5"/>
    <s v="Price Missing"/>
    <n v="0"/>
  </r>
  <r>
    <s v="ORD02571"/>
    <s v="CUST0567"/>
    <s v="PRD0287"/>
    <n v="10"/>
    <s v="Customer Not Found"/>
    <x v="7"/>
    <x v="24"/>
    <x v="5"/>
    <s v="Price Missing"/>
    <n v="0"/>
  </r>
  <r>
    <s v="ORD02572"/>
    <s v="CUST0525"/>
    <s v="PRD0174"/>
    <n v="9"/>
    <s v="Customer Not Found"/>
    <x v="7"/>
    <x v="24"/>
    <x v="5"/>
    <s v="Price Missing"/>
    <n v="0"/>
  </r>
  <r>
    <s v="ORD02573"/>
    <s v="CUST0002"/>
    <s v="PRD0006"/>
    <n v="5"/>
    <s v="Customer Not Found"/>
    <x v="7"/>
    <x v="24"/>
    <x v="5"/>
    <s v="Price Missing"/>
    <n v="0"/>
  </r>
  <r>
    <s v="ORD02574"/>
    <s v="CUST0776"/>
    <s v="PRD0342"/>
    <n v="6"/>
    <s v="Customer Not Found"/>
    <x v="7"/>
    <x v="24"/>
    <x v="5"/>
    <s v="Price Missing"/>
    <n v="0"/>
  </r>
  <r>
    <s v="ORD02575"/>
    <s v="CUST0217"/>
    <s v="PRD0360"/>
    <n v="6"/>
    <s v="Customer Not Found"/>
    <x v="7"/>
    <x v="24"/>
    <x v="5"/>
    <s v="Price Missing"/>
    <n v="0"/>
  </r>
  <r>
    <s v="ORD02576"/>
    <s v="CUST0641"/>
    <s v="PRD0371"/>
    <n v="2"/>
    <s v="Customer Not Found"/>
    <x v="7"/>
    <x v="24"/>
    <x v="5"/>
    <s v="Price Missing"/>
    <n v="0"/>
  </r>
  <r>
    <s v="ORD02577"/>
    <s v="CUST0563"/>
    <s v="PRD0014"/>
    <n v="10"/>
    <s v="Customer Not Found"/>
    <x v="7"/>
    <x v="24"/>
    <x v="5"/>
    <s v="Price Missing"/>
    <n v="0"/>
  </r>
  <r>
    <s v="ORD02578"/>
    <s v="CUST0507"/>
    <s v="PRD0255"/>
    <n v="7"/>
    <s v="Customer Not Found"/>
    <x v="7"/>
    <x v="24"/>
    <x v="5"/>
    <s v="Price Missing"/>
    <n v="0"/>
  </r>
  <r>
    <s v="ORD02579"/>
    <s v="CUST0616"/>
    <s v="PRD0287"/>
    <n v="9"/>
    <s v="Customer Not Found"/>
    <x v="7"/>
    <x v="24"/>
    <x v="5"/>
    <s v="Price Missing"/>
    <n v="0"/>
  </r>
  <r>
    <s v="ORD02580"/>
    <s v="CUST0233"/>
    <s v="PRD0066"/>
    <n v="8"/>
    <s v="Customer Not Found"/>
    <x v="7"/>
    <x v="24"/>
    <x v="5"/>
    <s v="Price Missing"/>
    <n v="0"/>
  </r>
  <r>
    <s v="ORD02581"/>
    <s v="CUST0535"/>
    <s v="PRD0202"/>
    <n v="8"/>
    <s v="Customer Not Found"/>
    <x v="7"/>
    <x v="24"/>
    <x v="5"/>
    <s v="Price Missing"/>
    <n v="0"/>
  </r>
  <r>
    <s v="ORD02582"/>
    <s v="CUST0356"/>
    <s v="PRD0322"/>
    <n v="3"/>
    <s v="Customer Not Found"/>
    <x v="7"/>
    <x v="24"/>
    <x v="5"/>
    <s v="Price Missing"/>
    <n v="0"/>
  </r>
  <r>
    <s v="ORD02583"/>
    <s v="CUST0045"/>
    <s v="PRD0133"/>
    <n v="3"/>
    <s v="Customer Not Found"/>
    <x v="7"/>
    <x v="24"/>
    <x v="5"/>
    <s v="Price Missing"/>
    <n v="0"/>
  </r>
  <r>
    <s v="ORD02584"/>
    <s v="CUST0975"/>
    <s v="PRD0270"/>
    <n v="3"/>
    <s v="Customer Not Found"/>
    <x v="7"/>
    <x v="24"/>
    <x v="5"/>
    <s v="Price Missing"/>
    <n v="0"/>
  </r>
  <r>
    <s v="ORD02585"/>
    <s v="CUST0616"/>
    <s v="PRD0427"/>
    <n v="6"/>
    <s v="Customer Not Found"/>
    <x v="7"/>
    <x v="24"/>
    <x v="5"/>
    <s v="Price Missing"/>
    <n v="0"/>
  </r>
  <r>
    <s v="ORD02586"/>
    <s v="CUST0693"/>
    <s v="PRD0345"/>
    <n v="8"/>
    <s v="Customer Not Found"/>
    <x v="7"/>
    <x v="24"/>
    <x v="5"/>
    <s v="Price Missing"/>
    <n v="0"/>
  </r>
  <r>
    <s v="ORD02587"/>
    <s v="CUST0247"/>
    <s v="PRD0234"/>
    <n v="9"/>
    <s v="Customer Not Found"/>
    <x v="7"/>
    <x v="24"/>
    <x v="5"/>
    <s v="Price Missing"/>
    <n v="0"/>
  </r>
  <r>
    <s v="ORD02588"/>
    <s v="CUST0765"/>
    <s v="PRD0145"/>
    <n v="1"/>
    <s v="Customer Not Found"/>
    <x v="7"/>
    <x v="24"/>
    <x v="5"/>
    <s v="Price Missing"/>
    <n v="0"/>
  </r>
  <r>
    <s v="ORD02589"/>
    <s v="CUST0417"/>
    <s v="PRD0248"/>
    <n v="10"/>
    <s v="Customer Not Found"/>
    <x v="7"/>
    <x v="24"/>
    <x v="5"/>
    <s v="Price Missing"/>
    <n v="0"/>
  </r>
  <r>
    <s v="ORD02590"/>
    <s v="CUST0685"/>
    <s v="PRD0446"/>
    <n v="4"/>
    <s v="Customer Not Found"/>
    <x v="7"/>
    <x v="24"/>
    <x v="5"/>
    <s v="Price Missing"/>
    <n v="0"/>
  </r>
  <r>
    <s v="ORD02591"/>
    <s v="CUST0539"/>
    <s v="PRD0319"/>
    <n v="8"/>
    <s v="Customer Not Found"/>
    <x v="7"/>
    <x v="24"/>
    <x v="5"/>
    <s v="Price Missing"/>
    <n v="0"/>
  </r>
  <r>
    <s v="ORD02592"/>
    <s v="CUST0625"/>
    <s v="PRD0198"/>
    <n v="6"/>
    <s v="Customer Not Found"/>
    <x v="7"/>
    <x v="24"/>
    <x v="5"/>
    <s v="Price Missing"/>
    <n v="0"/>
  </r>
  <r>
    <s v="ORD02593"/>
    <s v="CUST0589"/>
    <s v="PRD0350"/>
    <n v="6"/>
    <s v="Customer Not Found"/>
    <x v="7"/>
    <x v="24"/>
    <x v="5"/>
    <s v="Price Missing"/>
    <n v="0"/>
  </r>
  <r>
    <s v="ORD02594"/>
    <s v="CUST0669"/>
    <s v="PRD0295"/>
    <n v="9"/>
    <s v="Customer Not Found"/>
    <x v="7"/>
    <x v="24"/>
    <x v="5"/>
    <s v="Price Missing"/>
    <n v="0"/>
  </r>
  <r>
    <s v="ORD02595"/>
    <s v="CUST0611"/>
    <s v="PRD0402"/>
    <n v="2"/>
    <s v="Customer Not Found"/>
    <x v="7"/>
    <x v="24"/>
    <x v="5"/>
    <s v="Price Missing"/>
    <n v="0"/>
  </r>
  <r>
    <s v="ORD02596"/>
    <s v="CUST0057"/>
    <s v="PRD0177"/>
    <n v="3"/>
    <s v="Customer Not Found"/>
    <x v="7"/>
    <x v="24"/>
    <x v="5"/>
    <s v="Price Missing"/>
    <n v="0"/>
  </r>
  <r>
    <s v="ORD02597"/>
    <s v="CUST0623"/>
    <s v="PRD0437"/>
    <n v="10"/>
    <s v="Customer Not Found"/>
    <x v="7"/>
    <x v="24"/>
    <x v="5"/>
    <s v="Price Missing"/>
    <n v="0"/>
  </r>
  <r>
    <s v="ORD02598"/>
    <s v="CUST0174"/>
    <s v="PRD0038"/>
    <n v="5"/>
    <s v="Customer Not Found"/>
    <x v="7"/>
    <x v="24"/>
    <x v="5"/>
    <s v="Price Missing"/>
    <n v="0"/>
  </r>
  <r>
    <s v="ORD02599"/>
    <s v="CUST0881"/>
    <s v="PRD0220"/>
    <n v="5"/>
    <s v="Customer Not Found"/>
    <x v="7"/>
    <x v="24"/>
    <x v="5"/>
    <s v="Price Missing"/>
    <n v="0"/>
  </r>
  <r>
    <s v="ORD02600"/>
    <s v="CUST0201"/>
    <s v="PRD0070"/>
    <n v="9"/>
    <s v="Customer Not Found"/>
    <x v="7"/>
    <x v="24"/>
    <x v="5"/>
    <s v="Price Missing"/>
    <n v="0"/>
  </r>
  <r>
    <s v="ORD02601"/>
    <s v="CUST0514"/>
    <s v="PRD0099"/>
    <n v="6"/>
    <s v="Customer Not Found"/>
    <x v="7"/>
    <x v="24"/>
    <x v="5"/>
    <s v="Price Missing"/>
    <n v="0"/>
  </r>
  <r>
    <s v="ORD02602"/>
    <s v="CUST0907"/>
    <s v="PRD0409"/>
    <n v="6"/>
    <s v="Customer Not Found"/>
    <x v="7"/>
    <x v="24"/>
    <x v="5"/>
    <s v="Price Missing"/>
    <n v="0"/>
  </r>
  <r>
    <s v="ORD02603"/>
    <s v="CUST0609"/>
    <s v="PRD0145"/>
    <n v="2"/>
    <s v="Customer Not Found"/>
    <x v="7"/>
    <x v="24"/>
    <x v="5"/>
    <s v="Price Missing"/>
    <n v="0"/>
  </r>
  <r>
    <s v="ORD02604"/>
    <s v="CUST0697"/>
    <s v="PRD0086"/>
    <n v="1"/>
    <s v="Customer Not Found"/>
    <x v="7"/>
    <x v="24"/>
    <x v="5"/>
    <s v="Price Missing"/>
    <n v="0"/>
  </r>
  <r>
    <s v="ORD02605"/>
    <s v="CUST0636"/>
    <s v="PRD0418"/>
    <n v="5"/>
    <s v="Customer Not Found"/>
    <x v="7"/>
    <x v="24"/>
    <x v="5"/>
    <s v="Price Missing"/>
    <n v="0"/>
  </r>
  <r>
    <s v="ORD02606"/>
    <s v="CUST0297"/>
    <s v="PRD0186"/>
    <n v="10"/>
    <s v="Customer Not Found"/>
    <x v="7"/>
    <x v="24"/>
    <x v="5"/>
    <s v="Price Missing"/>
    <n v="0"/>
  </r>
  <r>
    <s v="ORD02607"/>
    <s v="CUST0932"/>
    <s v="PRD0182"/>
    <n v="5"/>
    <s v="Customer Not Found"/>
    <x v="7"/>
    <x v="24"/>
    <x v="5"/>
    <s v="Price Missing"/>
    <n v="0"/>
  </r>
  <r>
    <s v="ORD02608"/>
    <s v="CUST0339"/>
    <s v="PRD0070"/>
    <n v="8"/>
    <s v="Customer Not Found"/>
    <x v="7"/>
    <x v="24"/>
    <x v="5"/>
    <s v="Price Missing"/>
    <n v="0"/>
  </r>
  <r>
    <s v="ORD02609"/>
    <s v="CUST0429"/>
    <s v="PRD0206"/>
    <n v="4"/>
    <s v="Customer Not Found"/>
    <x v="7"/>
    <x v="24"/>
    <x v="5"/>
    <s v="Price Missing"/>
    <n v="0"/>
  </r>
  <r>
    <s v="ORD02610"/>
    <s v="CUST0599"/>
    <s v="PRD0371"/>
    <n v="7"/>
    <s v="Customer Not Found"/>
    <x v="7"/>
    <x v="24"/>
    <x v="5"/>
    <s v="Price Missing"/>
    <n v="0"/>
  </r>
  <r>
    <s v="ORD02611"/>
    <s v="CUST0912"/>
    <s v="PRD0131"/>
    <n v="8"/>
    <s v="Customer Not Found"/>
    <x v="7"/>
    <x v="24"/>
    <x v="5"/>
    <s v="Price Missing"/>
    <n v="0"/>
  </r>
  <r>
    <s v="ORD02612"/>
    <s v="CUST0534"/>
    <s v="PRD0144"/>
    <n v="8"/>
    <s v="Customer Not Found"/>
    <x v="7"/>
    <x v="24"/>
    <x v="5"/>
    <s v="Price Missing"/>
    <n v="0"/>
  </r>
  <r>
    <s v="ORD02613"/>
    <s v="CUST0317"/>
    <s v="PRD0460"/>
    <n v="10"/>
    <s v="Customer Not Found"/>
    <x v="7"/>
    <x v="24"/>
    <x v="5"/>
    <s v="Price Missing"/>
    <n v="0"/>
  </r>
  <r>
    <s v="ORD02614"/>
    <s v="CUST0797"/>
    <s v="PRD0467"/>
    <n v="10"/>
    <s v="Customer Not Found"/>
    <x v="7"/>
    <x v="24"/>
    <x v="5"/>
    <s v="Price Missing"/>
    <n v="0"/>
  </r>
  <r>
    <s v="ORD02615"/>
    <s v="CUST0598"/>
    <s v="PRD0073"/>
    <n v="3"/>
    <s v="Customer Not Found"/>
    <x v="7"/>
    <x v="24"/>
    <x v="5"/>
    <s v="Price Missing"/>
    <n v="0"/>
  </r>
  <r>
    <s v="ORD02616"/>
    <s v="CUST0247"/>
    <s v="PRD0168"/>
    <n v="6"/>
    <s v="Customer Not Found"/>
    <x v="7"/>
    <x v="24"/>
    <x v="5"/>
    <s v="Price Missing"/>
    <n v="0"/>
  </r>
  <r>
    <s v="ORD02617"/>
    <s v="CUST0929"/>
    <s v="PRD0170"/>
    <n v="9"/>
    <s v="Customer Not Found"/>
    <x v="7"/>
    <x v="24"/>
    <x v="5"/>
    <s v="Price Missing"/>
    <n v="0"/>
  </r>
  <r>
    <s v="ORD02618"/>
    <s v="CUST0346"/>
    <s v="PRD0089"/>
    <n v="3"/>
    <s v="Customer Not Found"/>
    <x v="7"/>
    <x v="24"/>
    <x v="5"/>
    <s v="Price Missing"/>
    <n v="0"/>
  </r>
  <r>
    <s v="ORD02619"/>
    <s v="CUST0109"/>
    <s v="PRD0057"/>
    <n v="3"/>
    <s v="Customer Not Found"/>
    <x v="7"/>
    <x v="24"/>
    <x v="5"/>
    <s v="Price Missing"/>
    <n v="0"/>
  </r>
  <r>
    <s v="ORD02620"/>
    <s v="CUST0613"/>
    <s v="PRD0112"/>
    <n v="6"/>
    <s v="Customer Not Found"/>
    <x v="7"/>
    <x v="24"/>
    <x v="5"/>
    <s v="Price Missing"/>
    <n v="0"/>
  </r>
  <r>
    <s v="ORD02621"/>
    <s v="CUST0806"/>
    <s v="PRD0274"/>
    <n v="1"/>
    <s v="Customer Not Found"/>
    <x v="7"/>
    <x v="24"/>
    <x v="5"/>
    <s v="Price Missing"/>
    <n v="0"/>
  </r>
  <r>
    <s v="ORD02622"/>
    <s v="CUST0007"/>
    <s v="PRD0265"/>
    <n v="4"/>
    <s v="Customer Not Found"/>
    <x v="7"/>
    <x v="24"/>
    <x v="5"/>
    <s v="Price Missing"/>
    <n v="0"/>
  </r>
  <r>
    <s v="ORD02623"/>
    <s v="CUST0682"/>
    <s v="PRD0099"/>
    <n v="1"/>
    <s v="Customer Not Found"/>
    <x v="7"/>
    <x v="24"/>
    <x v="5"/>
    <s v="Price Missing"/>
    <n v="0"/>
  </r>
  <r>
    <s v="ORD02624"/>
    <s v="CUST0720"/>
    <s v="PRD0312"/>
    <n v="5"/>
    <s v="Customer Not Found"/>
    <x v="7"/>
    <x v="24"/>
    <x v="5"/>
    <s v="Price Missing"/>
    <n v="0"/>
  </r>
  <r>
    <s v="ORD02625"/>
    <s v="CUST0353"/>
    <s v="PRD0184"/>
    <n v="7"/>
    <s v="Customer Not Found"/>
    <x v="7"/>
    <x v="24"/>
    <x v="5"/>
    <s v="Price Missing"/>
    <n v="0"/>
  </r>
  <r>
    <s v="ORD02626"/>
    <s v="CUST0223"/>
    <s v="PRD0470"/>
    <n v="9"/>
    <s v="Customer Not Found"/>
    <x v="7"/>
    <x v="24"/>
    <x v="5"/>
    <s v="Price Missing"/>
    <n v="0"/>
  </r>
  <r>
    <s v="ORD02627"/>
    <s v="CUST0726"/>
    <s v="PRD0070"/>
    <n v="6"/>
    <s v="Customer Not Found"/>
    <x v="7"/>
    <x v="24"/>
    <x v="5"/>
    <s v="Price Missing"/>
    <n v="0"/>
  </r>
  <r>
    <s v="ORD02628"/>
    <s v="CUST0976"/>
    <s v="PRD0188"/>
    <n v="10"/>
    <s v="Customer Not Found"/>
    <x v="7"/>
    <x v="24"/>
    <x v="5"/>
    <s v="Price Missing"/>
    <n v="0"/>
  </r>
  <r>
    <s v="ORD02629"/>
    <s v="CUST0470"/>
    <s v="PRD0226"/>
    <n v="2"/>
    <s v="Customer Not Found"/>
    <x v="7"/>
    <x v="24"/>
    <x v="5"/>
    <s v="Price Missing"/>
    <n v="0"/>
  </r>
  <r>
    <s v="ORD02630"/>
    <s v="CUST0211"/>
    <s v="PRD0089"/>
    <n v="9"/>
    <s v="Customer Not Found"/>
    <x v="7"/>
    <x v="24"/>
    <x v="5"/>
    <s v="Price Missing"/>
    <n v="0"/>
  </r>
  <r>
    <s v="ORD02631"/>
    <s v="CUST0001"/>
    <s v="PRD0205"/>
    <n v="1"/>
    <s v="Customer Not Found"/>
    <x v="7"/>
    <x v="24"/>
    <x v="5"/>
    <s v="Price Missing"/>
    <n v="0"/>
  </r>
  <r>
    <s v="ORD02632"/>
    <s v="CUST0602"/>
    <s v="PRD0064"/>
    <n v="5"/>
    <s v="Customer Not Found"/>
    <x v="7"/>
    <x v="24"/>
    <x v="5"/>
    <s v="Price Missing"/>
    <n v="0"/>
  </r>
  <r>
    <s v="ORD02633"/>
    <s v="CUST0826"/>
    <s v="PRD0201"/>
    <n v="8"/>
    <s v="Customer Not Found"/>
    <x v="7"/>
    <x v="24"/>
    <x v="5"/>
    <s v="Price Missing"/>
    <n v="0"/>
  </r>
  <r>
    <s v="ORD02634"/>
    <s v="CUST0764"/>
    <s v="PRD0086"/>
    <n v="2"/>
    <s v="Customer Not Found"/>
    <x v="7"/>
    <x v="24"/>
    <x v="5"/>
    <s v="Price Missing"/>
    <n v="0"/>
  </r>
  <r>
    <s v="ORD02635"/>
    <s v="CUST0037"/>
    <s v="PRD0209"/>
    <n v="1"/>
    <s v="Customer Not Found"/>
    <x v="7"/>
    <x v="24"/>
    <x v="5"/>
    <s v="Price Missing"/>
    <n v="0"/>
  </r>
  <r>
    <s v="ORD02636"/>
    <s v="CUST0155"/>
    <s v="PRD0385"/>
    <n v="8"/>
    <s v="Customer Not Found"/>
    <x v="7"/>
    <x v="24"/>
    <x v="5"/>
    <s v="Price Missing"/>
    <n v="0"/>
  </r>
  <r>
    <s v="ORD02637"/>
    <s v="CUST0958"/>
    <s v="PRD0306"/>
    <n v="5"/>
    <s v="Customer Not Found"/>
    <x v="7"/>
    <x v="24"/>
    <x v="5"/>
    <s v="Price Missing"/>
    <n v="0"/>
  </r>
  <r>
    <s v="ORD02638"/>
    <s v="CUST0999"/>
    <s v="PRD0032"/>
    <n v="2"/>
    <s v="Customer Not Found"/>
    <x v="7"/>
    <x v="24"/>
    <x v="5"/>
    <s v="Price Missing"/>
    <n v="0"/>
  </r>
  <r>
    <s v="ORD02639"/>
    <s v="CUST0503"/>
    <s v="PRD0479"/>
    <n v="8"/>
    <s v="Customer Not Found"/>
    <x v="7"/>
    <x v="24"/>
    <x v="5"/>
    <s v="Price Missing"/>
    <n v="0"/>
  </r>
  <r>
    <s v="ORD02640"/>
    <s v="CUST0402"/>
    <s v="PRD0052"/>
    <n v="2"/>
    <s v="Customer Not Found"/>
    <x v="7"/>
    <x v="24"/>
    <x v="5"/>
    <s v="Price Missing"/>
    <n v="0"/>
  </r>
  <r>
    <s v="ORD02641"/>
    <s v="CUST0248"/>
    <s v="PRD0430"/>
    <n v="2"/>
    <s v="Customer Not Found"/>
    <x v="7"/>
    <x v="24"/>
    <x v="5"/>
    <s v="Price Missing"/>
    <n v="0"/>
  </r>
  <r>
    <s v="ORD02642"/>
    <s v="CUST0950"/>
    <s v="PRD0200"/>
    <n v="3"/>
    <s v="Customer Not Found"/>
    <x v="7"/>
    <x v="24"/>
    <x v="5"/>
    <s v="Price Missing"/>
    <n v="0"/>
  </r>
  <r>
    <s v="ORD02643"/>
    <s v="CUST0576"/>
    <s v="PRD0489"/>
    <n v="5"/>
    <s v="Customer Not Found"/>
    <x v="7"/>
    <x v="24"/>
    <x v="5"/>
    <s v="Price Missing"/>
    <n v="0"/>
  </r>
  <r>
    <s v="ORD02644"/>
    <s v="CUST0343"/>
    <s v="PRD0397"/>
    <n v="10"/>
    <s v="Customer Not Found"/>
    <x v="7"/>
    <x v="24"/>
    <x v="5"/>
    <s v="Price Missing"/>
    <n v="0"/>
  </r>
  <r>
    <s v="ORD02645"/>
    <s v="CUST0630"/>
    <s v="PRD0211"/>
    <n v="7"/>
    <s v="Customer Not Found"/>
    <x v="7"/>
    <x v="24"/>
    <x v="5"/>
    <s v="Price Missing"/>
    <n v="0"/>
  </r>
  <r>
    <s v="ORD02646"/>
    <s v="CUST0062"/>
    <s v="PRD0491"/>
    <n v="8"/>
    <s v="Customer Not Found"/>
    <x v="7"/>
    <x v="24"/>
    <x v="5"/>
    <s v="Price Missing"/>
    <n v="0"/>
  </r>
  <r>
    <s v="ORD02647"/>
    <s v="CUST0602"/>
    <s v="PRD0115"/>
    <n v="5"/>
    <s v="Customer Not Found"/>
    <x v="7"/>
    <x v="24"/>
    <x v="5"/>
    <s v="Price Missing"/>
    <n v="0"/>
  </r>
  <r>
    <s v="ORD02648"/>
    <s v="CUST0728"/>
    <s v="PRD0163"/>
    <n v="2"/>
    <s v="Customer Not Found"/>
    <x v="7"/>
    <x v="24"/>
    <x v="5"/>
    <s v="Price Missing"/>
    <n v="0"/>
  </r>
  <r>
    <s v="ORD02649"/>
    <s v="CUST0379"/>
    <s v="PRD0378"/>
    <n v="9"/>
    <s v="Customer Not Found"/>
    <x v="7"/>
    <x v="24"/>
    <x v="5"/>
    <s v="Price Missing"/>
    <n v="0"/>
  </r>
  <r>
    <s v="ORD02650"/>
    <s v="CUST0017"/>
    <s v="PRD0165"/>
    <n v="9"/>
    <s v="Customer Not Found"/>
    <x v="7"/>
    <x v="24"/>
    <x v="5"/>
    <s v="Price Missing"/>
    <n v="0"/>
  </r>
  <r>
    <s v="ORD02651"/>
    <s v="CUST0902"/>
    <s v="PRD0482"/>
    <n v="9"/>
    <s v="Customer Not Found"/>
    <x v="7"/>
    <x v="24"/>
    <x v="5"/>
    <s v="Price Missing"/>
    <n v="0"/>
  </r>
  <r>
    <s v="ORD02652"/>
    <s v="CUST0928"/>
    <s v="PRD0279"/>
    <n v="4"/>
    <s v="Customer Not Found"/>
    <x v="7"/>
    <x v="24"/>
    <x v="5"/>
    <s v="Price Missing"/>
    <n v="0"/>
  </r>
  <r>
    <s v="ORD02653"/>
    <s v="CUST0231"/>
    <s v="PRD0156"/>
    <n v="5"/>
    <s v="Customer Not Found"/>
    <x v="7"/>
    <x v="24"/>
    <x v="5"/>
    <s v="Price Missing"/>
    <n v="0"/>
  </r>
  <r>
    <s v="ORD02654"/>
    <s v="CUST0817"/>
    <s v="PRD0259"/>
    <n v="9"/>
    <s v="Customer Not Found"/>
    <x v="7"/>
    <x v="24"/>
    <x v="5"/>
    <s v="Price Missing"/>
    <n v="0"/>
  </r>
  <r>
    <s v="ORD02655"/>
    <s v="CUST0803"/>
    <s v="PRD0338"/>
    <n v="3"/>
    <s v="Customer Not Found"/>
    <x v="7"/>
    <x v="24"/>
    <x v="5"/>
    <s v="Price Missing"/>
    <n v="0"/>
  </r>
  <r>
    <s v="ORD02656"/>
    <s v="CUST0101"/>
    <s v="PRD0093"/>
    <n v="9"/>
    <s v="Customer Not Found"/>
    <x v="7"/>
    <x v="24"/>
    <x v="5"/>
    <s v="Price Missing"/>
    <n v="0"/>
  </r>
  <r>
    <s v="ORD02657"/>
    <s v="CUST0011"/>
    <s v="PRD0345"/>
    <n v="5"/>
    <s v="Customer Not Found"/>
    <x v="7"/>
    <x v="24"/>
    <x v="5"/>
    <s v="Price Missing"/>
    <n v="0"/>
  </r>
  <r>
    <s v="ORD02658"/>
    <s v="CUST0444"/>
    <s v="PRD0355"/>
    <n v="1"/>
    <s v="Customer Not Found"/>
    <x v="7"/>
    <x v="24"/>
    <x v="5"/>
    <s v="Price Missing"/>
    <n v="0"/>
  </r>
  <r>
    <s v="ORD02659"/>
    <s v="CUST0437"/>
    <s v="PRD0312"/>
    <n v="5"/>
    <s v="Customer Not Found"/>
    <x v="7"/>
    <x v="24"/>
    <x v="5"/>
    <s v="Price Missing"/>
    <n v="0"/>
  </r>
  <r>
    <s v="ORD02660"/>
    <s v="CUST0663"/>
    <s v="PRD0399"/>
    <n v="3"/>
    <s v="Customer Not Found"/>
    <x v="7"/>
    <x v="24"/>
    <x v="5"/>
    <s v="Price Missing"/>
    <n v="0"/>
  </r>
  <r>
    <s v="ORD02661"/>
    <s v="CUST0771"/>
    <s v="PRD0121"/>
    <n v="3"/>
    <s v="Customer Not Found"/>
    <x v="7"/>
    <x v="24"/>
    <x v="5"/>
    <s v="Price Missing"/>
    <n v="0"/>
  </r>
  <r>
    <s v="ORD02662"/>
    <s v="CUST0884"/>
    <s v="PRD0248"/>
    <n v="5"/>
    <s v="Customer Not Found"/>
    <x v="7"/>
    <x v="24"/>
    <x v="5"/>
    <s v="Price Missing"/>
    <n v="0"/>
  </r>
  <r>
    <s v="ORD02663"/>
    <s v="CUST0165"/>
    <s v="PRD0438"/>
    <n v="10"/>
    <s v="Customer Not Found"/>
    <x v="7"/>
    <x v="24"/>
    <x v="5"/>
    <s v="Price Missing"/>
    <n v="0"/>
  </r>
  <r>
    <s v="ORD02664"/>
    <s v="CUST0675"/>
    <s v="PRD0206"/>
    <n v="2"/>
    <s v="Customer Not Found"/>
    <x v="7"/>
    <x v="24"/>
    <x v="5"/>
    <s v="Price Missing"/>
    <n v="0"/>
  </r>
  <r>
    <s v="ORD02665"/>
    <s v="CUST0731"/>
    <s v="PRD0460"/>
    <n v="7"/>
    <s v="Customer Not Found"/>
    <x v="7"/>
    <x v="24"/>
    <x v="5"/>
    <s v="Price Missing"/>
    <n v="0"/>
  </r>
  <r>
    <s v="ORD02666"/>
    <s v="CUST0050"/>
    <s v="PRD0008"/>
    <n v="5"/>
    <s v="Customer Not Found"/>
    <x v="7"/>
    <x v="24"/>
    <x v="5"/>
    <s v="Price Missing"/>
    <n v="0"/>
  </r>
  <r>
    <s v="ORD02667"/>
    <s v="CUST0861"/>
    <s v="PRD0138"/>
    <n v="9"/>
    <s v="Customer Not Found"/>
    <x v="7"/>
    <x v="24"/>
    <x v="5"/>
    <s v="Price Missing"/>
    <n v="0"/>
  </r>
  <r>
    <s v="ORD02668"/>
    <s v="CUST0620"/>
    <s v="PRD0155"/>
    <n v="2"/>
    <s v="Customer Not Found"/>
    <x v="7"/>
    <x v="24"/>
    <x v="5"/>
    <s v="Price Missing"/>
    <n v="0"/>
  </r>
  <r>
    <s v="ORD02669"/>
    <s v="CUST0611"/>
    <s v="PRD0249"/>
    <n v="1"/>
    <s v="Customer Not Found"/>
    <x v="7"/>
    <x v="24"/>
    <x v="5"/>
    <s v="Price Missing"/>
    <n v="0"/>
  </r>
  <r>
    <s v="ORD02670"/>
    <s v="CUST0859"/>
    <s v="PRD0055"/>
    <n v="8"/>
    <s v="Customer Not Found"/>
    <x v="7"/>
    <x v="24"/>
    <x v="5"/>
    <s v="Price Missing"/>
    <n v="0"/>
  </r>
  <r>
    <s v="ORD02671"/>
    <s v="CUST0894"/>
    <s v="PRD0371"/>
    <n v="7"/>
    <s v="Customer Not Found"/>
    <x v="7"/>
    <x v="24"/>
    <x v="5"/>
    <s v="Price Missing"/>
    <n v="0"/>
  </r>
  <r>
    <s v="ORD02672"/>
    <s v="CUST0794"/>
    <s v="PRD0140"/>
    <n v="8"/>
    <s v="Customer Not Found"/>
    <x v="7"/>
    <x v="24"/>
    <x v="5"/>
    <s v="Price Missing"/>
    <n v="0"/>
  </r>
  <r>
    <s v="ORD02673"/>
    <s v="CUST0190"/>
    <s v="PRD0340"/>
    <n v="5"/>
    <s v="Customer Not Found"/>
    <x v="7"/>
    <x v="24"/>
    <x v="5"/>
    <s v="Price Missing"/>
    <n v="0"/>
  </r>
  <r>
    <s v="ORD02674"/>
    <s v="CUST0506"/>
    <s v="PRD0084"/>
    <n v="7"/>
    <s v="Customer Not Found"/>
    <x v="7"/>
    <x v="24"/>
    <x v="5"/>
    <s v="Price Missing"/>
    <n v="0"/>
  </r>
  <r>
    <s v="ORD02675"/>
    <s v="CUST0412"/>
    <s v="PRD0294"/>
    <n v="1"/>
    <s v="Customer Not Found"/>
    <x v="7"/>
    <x v="24"/>
    <x v="5"/>
    <s v="Price Missing"/>
    <n v="0"/>
  </r>
  <r>
    <s v="ORD02676"/>
    <s v="CUST0942"/>
    <s v="PRD0446"/>
    <n v="10"/>
    <s v="Customer Not Found"/>
    <x v="7"/>
    <x v="24"/>
    <x v="5"/>
    <s v="Price Missing"/>
    <n v="0"/>
  </r>
  <r>
    <s v="ORD02677"/>
    <s v="CUST0279"/>
    <s v="PRD0031"/>
    <n v="7"/>
    <s v="Customer Not Found"/>
    <x v="7"/>
    <x v="24"/>
    <x v="5"/>
    <s v="Price Missing"/>
    <n v="0"/>
  </r>
  <r>
    <s v="ORD02678"/>
    <s v="CUST0802"/>
    <s v="PRD0181"/>
    <n v="1"/>
    <s v="Customer Not Found"/>
    <x v="7"/>
    <x v="24"/>
    <x v="5"/>
    <s v="Price Missing"/>
    <n v="0"/>
  </r>
  <r>
    <s v="ORD02679"/>
    <s v="CUST0428"/>
    <s v="PRD0314"/>
    <n v="1"/>
    <s v="Customer Not Found"/>
    <x v="7"/>
    <x v="24"/>
    <x v="5"/>
    <s v="Price Missing"/>
    <n v="0"/>
  </r>
  <r>
    <s v="ORD02680"/>
    <s v="CUST0391"/>
    <s v="PRD0393"/>
    <n v="3"/>
    <s v="Customer Not Found"/>
    <x v="7"/>
    <x v="24"/>
    <x v="5"/>
    <s v="Price Missing"/>
    <n v="0"/>
  </r>
  <r>
    <s v="ORD02681"/>
    <s v="CUST0815"/>
    <s v="PRD0277"/>
    <n v="7"/>
    <s v="Customer Not Found"/>
    <x v="7"/>
    <x v="24"/>
    <x v="5"/>
    <s v="Price Missing"/>
    <n v="0"/>
  </r>
  <r>
    <s v="ORD02682"/>
    <s v="CUST0281"/>
    <s v="PRD0110"/>
    <n v="2"/>
    <s v="Customer Not Found"/>
    <x v="7"/>
    <x v="24"/>
    <x v="5"/>
    <s v="Price Missing"/>
    <n v="0"/>
  </r>
  <r>
    <s v="ORD02683"/>
    <s v="CUST0562"/>
    <s v="PRD0355"/>
    <n v="7"/>
    <s v="Customer Not Found"/>
    <x v="7"/>
    <x v="24"/>
    <x v="5"/>
    <s v="Price Missing"/>
    <n v="0"/>
  </r>
  <r>
    <s v="ORD02684"/>
    <s v="CUST0686"/>
    <s v="PRD0445"/>
    <n v="3"/>
    <s v="Customer Not Found"/>
    <x v="7"/>
    <x v="24"/>
    <x v="5"/>
    <s v="Price Missing"/>
    <n v="0"/>
  </r>
  <r>
    <s v="ORD02685"/>
    <s v="CUST0193"/>
    <s v="PRD0499"/>
    <n v="9"/>
    <s v="Customer Not Found"/>
    <x v="7"/>
    <x v="24"/>
    <x v="5"/>
    <s v="Price Missing"/>
    <n v="0"/>
  </r>
  <r>
    <s v="ORD02686"/>
    <s v="CUST0947"/>
    <s v="PRD0492"/>
    <n v="3"/>
    <s v="Customer Not Found"/>
    <x v="7"/>
    <x v="24"/>
    <x v="5"/>
    <s v="Price Missing"/>
    <n v="0"/>
  </r>
  <r>
    <s v="ORD02687"/>
    <s v="CUST0448"/>
    <s v="PRD0483"/>
    <n v="3"/>
    <s v="Customer Not Found"/>
    <x v="7"/>
    <x v="24"/>
    <x v="5"/>
    <s v="Price Missing"/>
    <n v="0"/>
  </r>
  <r>
    <s v="ORD02688"/>
    <s v="CUST0660"/>
    <s v="PRD0130"/>
    <n v="9"/>
    <s v="Customer Not Found"/>
    <x v="7"/>
    <x v="24"/>
    <x v="5"/>
    <s v="Price Missing"/>
    <n v="0"/>
  </r>
  <r>
    <s v="ORD02689"/>
    <s v="CUST0781"/>
    <s v="PRD0295"/>
    <n v="7"/>
    <s v="Customer Not Found"/>
    <x v="7"/>
    <x v="24"/>
    <x v="5"/>
    <s v="Price Missing"/>
    <n v="0"/>
  </r>
  <r>
    <s v="ORD02690"/>
    <s v="CUST0788"/>
    <s v="PRD0265"/>
    <n v="8"/>
    <s v="Customer Not Found"/>
    <x v="7"/>
    <x v="24"/>
    <x v="5"/>
    <s v="Price Missing"/>
    <n v="0"/>
  </r>
  <r>
    <s v="ORD02691"/>
    <s v="CUST0647"/>
    <s v="PRD0114"/>
    <n v="8"/>
    <s v="Customer Not Found"/>
    <x v="7"/>
    <x v="24"/>
    <x v="5"/>
    <s v="Price Missing"/>
    <n v="0"/>
  </r>
  <r>
    <s v="ORD02692"/>
    <s v="CUST0285"/>
    <s v="PRD0154"/>
    <n v="3"/>
    <s v="Customer Not Found"/>
    <x v="7"/>
    <x v="24"/>
    <x v="5"/>
    <s v="Price Missing"/>
    <n v="0"/>
  </r>
  <r>
    <s v="ORD02693"/>
    <s v="CUST0705"/>
    <s v="PRD0185"/>
    <n v="3"/>
    <s v="Customer Not Found"/>
    <x v="7"/>
    <x v="24"/>
    <x v="5"/>
    <s v="Price Missing"/>
    <n v="0"/>
  </r>
  <r>
    <s v="ORD02694"/>
    <s v="CUST0523"/>
    <s v="PRD0186"/>
    <n v="10"/>
    <s v="Customer Not Found"/>
    <x v="7"/>
    <x v="24"/>
    <x v="5"/>
    <s v="Price Missing"/>
    <n v="0"/>
  </r>
  <r>
    <s v="ORD02695"/>
    <s v="CUST0266"/>
    <s v="PRD0401"/>
    <n v="6"/>
    <s v="Customer Not Found"/>
    <x v="7"/>
    <x v="24"/>
    <x v="5"/>
    <s v="Price Missing"/>
    <n v="0"/>
  </r>
  <r>
    <s v="ORD02696"/>
    <s v="CUST0470"/>
    <s v="PRD0354"/>
    <n v="5"/>
    <s v="Customer Not Found"/>
    <x v="7"/>
    <x v="24"/>
    <x v="5"/>
    <s v="Price Missing"/>
    <n v="0"/>
  </r>
  <r>
    <s v="ORD02697"/>
    <s v="CUST0880"/>
    <s v="PRD0276"/>
    <n v="2"/>
    <s v="Customer Not Found"/>
    <x v="7"/>
    <x v="24"/>
    <x v="5"/>
    <s v="Price Missing"/>
    <n v="0"/>
  </r>
  <r>
    <s v="ORD02698"/>
    <s v="CUST0662"/>
    <s v="PRD0181"/>
    <n v="10"/>
    <s v="Customer Not Found"/>
    <x v="7"/>
    <x v="24"/>
    <x v="5"/>
    <s v="Price Missing"/>
    <n v="0"/>
  </r>
  <r>
    <s v="ORD02699"/>
    <s v="CUST0622"/>
    <s v="PRD0023"/>
    <n v="1"/>
    <s v="Customer Not Found"/>
    <x v="7"/>
    <x v="24"/>
    <x v="5"/>
    <s v="Price Missing"/>
    <n v="0"/>
  </r>
  <r>
    <s v="ORD02700"/>
    <s v="CUST0478"/>
    <s v="PRD0206"/>
    <n v="2"/>
    <s v="Customer Not Found"/>
    <x v="7"/>
    <x v="24"/>
    <x v="5"/>
    <s v="Price Missing"/>
    <n v="0"/>
  </r>
  <r>
    <s v="ORD02701"/>
    <s v="CUST0618"/>
    <s v="PRD0225"/>
    <n v="1"/>
    <s v="Customer Not Found"/>
    <x v="7"/>
    <x v="24"/>
    <x v="5"/>
    <s v="Price Missing"/>
    <n v="0"/>
  </r>
  <r>
    <s v="ORD02702"/>
    <s v="CUST0499"/>
    <s v="PRD0097"/>
    <n v="8"/>
    <s v="Customer Not Found"/>
    <x v="7"/>
    <x v="24"/>
    <x v="5"/>
    <s v="Price Missing"/>
    <n v="0"/>
  </r>
  <r>
    <s v="ORD02703"/>
    <s v="CUST0563"/>
    <s v="PRD0438"/>
    <n v="5"/>
    <s v="Customer Not Found"/>
    <x v="7"/>
    <x v="24"/>
    <x v="5"/>
    <s v="Price Missing"/>
    <n v="0"/>
  </r>
  <r>
    <s v="ORD02704"/>
    <s v="CUST0288"/>
    <s v="PRD0125"/>
    <n v="8"/>
    <s v="Customer Not Found"/>
    <x v="7"/>
    <x v="24"/>
    <x v="5"/>
    <s v="Price Missing"/>
    <n v="0"/>
  </r>
  <r>
    <s v="ORD02705"/>
    <s v="CUST0540"/>
    <s v="PRD0323"/>
    <n v="8"/>
    <s v="Customer Not Found"/>
    <x v="7"/>
    <x v="24"/>
    <x v="5"/>
    <s v="Price Missing"/>
    <n v="0"/>
  </r>
  <r>
    <s v="ORD02706"/>
    <s v="CUST0367"/>
    <s v="PRD0379"/>
    <n v="8"/>
    <s v="Customer Not Found"/>
    <x v="7"/>
    <x v="24"/>
    <x v="5"/>
    <s v="Price Missing"/>
    <n v="0"/>
  </r>
  <r>
    <s v="ORD02707"/>
    <s v="CUST0694"/>
    <s v="PRD0264"/>
    <n v="2"/>
    <s v="Customer Not Found"/>
    <x v="7"/>
    <x v="24"/>
    <x v="5"/>
    <s v="Price Missing"/>
    <n v="0"/>
  </r>
  <r>
    <s v="ORD02708"/>
    <s v="CUST0141"/>
    <s v="PRD0371"/>
    <n v="8"/>
    <s v="Customer Not Found"/>
    <x v="7"/>
    <x v="24"/>
    <x v="5"/>
    <s v="Price Missing"/>
    <n v="0"/>
  </r>
  <r>
    <s v="ORD02709"/>
    <s v="CUST0006"/>
    <s v="PRD0462"/>
    <n v="6"/>
    <s v="Customer Not Found"/>
    <x v="7"/>
    <x v="24"/>
    <x v="5"/>
    <s v="Price Missing"/>
    <n v="0"/>
  </r>
  <r>
    <s v="ORD02710"/>
    <s v="CUST0132"/>
    <s v="PRD0193"/>
    <n v="1"/>
    <s v="Customer Not Found"/>
    <x v="7"/>
    <x v="24"/>
    <x v="5"/>
    <s v="Price Missing"/>
    <n v="0"/>
  </r>
  <r>
    <s v="ORD02711"/>
    <s v="CUST0500"/>
    <s v="PRD0457"/>
    <n v="10"/>
    <s v="Customer Not Found"/>
    <x v="7"/>
    <x v="24"/>
    <x v="5"/>
    <s v="Price Missing"/>
    <n v="0"/>
  </r>
  <r>
    <s v="ORD02712"/>
    <s v="CUST0485"/>
    <s v="PRD0489"/>
    <n v="9"/>
    <s v="Customer Not Found"/>
    <x v="7"/>
    <x v="24"/>
    <x v="5"/>
    <s v="Price Missing"/>
    <n v="0"/>
  </r>
  <r>
    <s v="ORD02713"/>
    <s v="CUST0591"/>
    <s v="PRD0227"/>
    <n v="9"/>
    <s v="Customer Not Found"/>
    <x v="7"/>
    <x v="24"/>
    <x v="5"/>
    <s v="Price Missing"/>
    <n v="0"/>
  </r>
  <r>
    <s v="ORD02714"/>
    <s v="CUST0804"/>
    <s v="PRD0228"/>
    <n v="3"/>
    <s v="Customer Not Found"/>
    <x v="7"/>
    <x v="24"/>
    <x v="5"/>
    <s v="Price Missing"/>
    <n v="0"/>
  </r>
  <r>
    <s v="ORD02715"/>
    <s v="CUST0483"/>
    <s v="PRD0001"/>
    <n v="3"/>
    <s v="Customer Not Found"/>
    <x v="7"/>
    <x v="24"/>
    <x v="5"/>
    <s v="Price Missing"/>
    <n v="0"/>
  </r>
  <r>
    <s v="ORD02716"/>
    <s v="CUST0050"/>
    <s v="PRD0165"/>
    <n v="4"/>
    <s v="Customer Not Found"/>
    <x v="7"/>
    <x v="24"/>
    <x v="5"/>
    <s v="Price Missing"/>
    <n v="0"/>
  </r>
  <r>
    <s v="ORD02717"/>
    <s v="CUST0818"/>
    <s v="PRD0415"/>
    <n v="7"/>
    <s v="Customer Not Found"/>
    <x v="7"/>
    <x v="24"/>
    <x v="5"/>
    <s v="Price Missing"/>
    <n v="0"/>
  </r>
  <r>
    <s v="ORD02718"/>
    <s v="CUST0499"/>
    <s v="PRD0125"/>
    <n v="6"/>
    <s v="Customer Not Found"/>
    <x v="7"/>
    <x v="24"/>
    <x v="5"/>
    <s v="Price Missing"/>
    <n v="0"/>
  </r>
  <r>
    <s v="ORD02719"/>
    <s v="CUST0389"/>
    <s v="PRD0182"/>
    <n v="1"/>
    <s v="Customer Not Found"/>
    <x v="7"/>
    <x v="24"/>
    <x v="5"/>
    <s v="Price Missing"/>
    <n v="0"/>
  </r>
  <r>
    <s v="ORD02720"/>
    <s v="CUST0597"/>
    <s v="PRD0094"/>
    <n v="10"/>
    <s v="Customer Not Found"/>
    <x v="7"/>
    <x v="24"/>
    <x v="5"/>
    <s v="Price Missing"/>
    <n v="0"/>
  </r>
  <r>
    <s v="ORD02721"/>
    <s v="CUST0947"/>
    <s v="PRD0265"/>
    <n v="10"/>
    <s v="Customer Not Found"/>
    <x v="7"/>
    <x v="24"/>
    <x v="5"/>
    <s v="Price Missing"/>
    <n v="0"/>
  </r>
  <r>
    <s v="ORD02722"/>
    <s v="CUST0809"/>
    <s v="PRD0249"/>
    <n v="9"/>
    <s v="Customer Not Found"/>
    <x v="7"/>
    <x v="24"/>
    <x v="5"/>
    <s v="Price Missing"/>
    <n v="0"/>
  </r>
  <r>
    <s v="ORD02723"/>
    <s v="CUST0575"/>
    <s v="PRD0259"/>
    <n v="10"/>
    <s v="Customer Not Found"/>
    <x v="7"/>
    <x v="24"/>
    <x v="5"/>
    <s v="Price Missing"/>
    <n v="0"/>
  </r>
  <r>
    <s v="ORD02724"/>
    <s v="CUST0634"/>
    <s v="PRD0174"/>
    <n v="2"/>
    <s v="Customer Not Found"/>
    <x v="7"/>
    <x v="24"/>
    <x v="5"/>
    <s v="Price Missing"/>
    <n v="0"/>
  </r>
  <r>
    <s v="ORD02725"/>
    <s v="CUST0924"/>
    <s v="PRD0396"/>
    <n v="8"/>
    <s v="Customer Not Found"/>
    <x v="7"/>
    <x v="24"/>
    <x v="5"/>
    <s v="Price Missing"/>
    <n v="0"/>
  </r>
  <r>
    <s v="ORD02726"/>
    <s v="CUST0684"/>
    <s v="PRD0115"/>
    <n v="1"/>
    <s v="Customer Not Found"/>
    <x v="7"/>
    <x v="24"/>
    <x v="5"/>
    <s v="Price Missing"/>
    <n v="0"/>
  </r>
  <r>
    <s v="ORD02727"/>
    <s v="CUST0654"/>
    <s v="PRD0167"/>
    <n v="4"/>
    <s v="Customer Not Found"/>
    <x v="7"/>
    <x v="24"/>
    <x v="5"/>
    <s v="Price Missing"/>
    <n v="0"/>
  </r>
  <r>
    <s v="ORD02728"/>
    <s v="CUST0522"/>
    <s v="PRD0250"/>
    <n v="5"/>
    <s v="Customer Not Found"/>
    <x v="7"/>
    <x v="24"/>
    <x v="5"/>
    <s v="Price Missing"/>
    <n v="0"/>
  </r>
  <r>
    <s v="ORD02729"/>
    <s v="CUST0697"/>
    <s v="PRD0214"/>
    <n v="3"/>
    <s v="Customer Not Found"/>
    <x v="7"/>
    <x v="24"/>
    <x v="5"/>
    <s v="Price Missing"/>
    <n v="0"/>
  </r>
  <r>
    <s v="ORD02730"/>
    <s v="CUST0889"/>
    <s v="PRD0460"/>
    <n v="10"/>
    <s v="Customer Not Found"/>
    <x v="7"/>
    <x v="24"/>
    <x v="5"/>
    <s v="Price Missing"/>
    <n v="0"/>
  </r>
  <r>
    <s v="ORD02731"/>
    <s v="CUST0778"/>
    <s v="PRD0225"/>
    <n v="7"/>
    <s v="Customer Not Found"/>
    <x v="7"/>
    <x v="24"/>
    <x v="5"/>
    <s v="Price Missing"/>
    <n v="0"/>
  </r>
  <r>
    <s v="ORD02732"/>
    <s v="CUST0793"/>
    <s v="PRD0127"/>
    <n v="8"/>
    <s v="Customer Not Found"/>
    <x v="7"/>
    <x v="24"/>
    <x v="5"/>
    <s v="Price Missing"/>
    <n v="0"/>
  </r>
  <r>
    <s v="ORD02733"/>
    <s v="CUST0202"/>
    <s v="PRD0470"/>
    <n v="1"/>
    <s v="Customer Not Found"/>
    <x v="7"/>
    <x v="24"/>
    <x v="5"/>
    <s v="Price Missing"/>
    <n v="0"/>
  </r>
  <r>
    <s v="ORD02734"/>
    <s v="CUST0677"/>
    <s v="PRD0171"/>
    <n v="4"/>
    <s v="Customer Not Found"/>
    <x v="7"/>
    <x v="24"/>
    <x v="5"/>
    <s v="Price Missing"/>
    <n v="0"/>
  </r>
  <r>
    <s v="ORD02735"/>
    <s v="CUST0567"/>
    <s v="PRD0433"/>
    <n v="1"/>
    <s v="Customer Not Found"/>
    <x v="7"/>
    <x v="24"/>
    <x v="5"/>
    <s v="Price Missing"/>
    <n v="0"/>
  </r>
  <r>
    <s v="ORD02736"/>
    <s v="CUST0910"/>
    <s v="PRD0352"/>
    <n v="8"/>
    <s v="Customer Not Found"/>
    <x v="7"/>
    <x v="24"/>
    <x v="5"/>
    <s v="Price Missing"/>
    <n v="0"/>
  </r>
  <r>
    <s v="ORD02737"/>
    <s v="CUST0933"/>
    <s v="PRD0182"/>
    <n v="1"/>
    <s v="Customer Not Found"/>
    <x v="7"/>
    <x v="24"/>
    <x v="5"/>
    <s v="Price Missing"/>
    <n v="0"/>
  </r>
  <r>
    <s v="ORD02738"/>
    <s v="CUST0616"/>
    <s v="PRD0495"/>
    <n v="9"/>
    <s v="Customer Not Found"/>
    <x v="7"/>
    <x v="24"/>
    <x v="5"/>
    <s v="Price Missing"/>
    <n v="0"/>
  </r>
  <r>
    <s v="ORD02739"/>
    <s v="CUST0701"/>
    <s v="PRD0191"/>
    <n v="2"/>
    <s v="Customer Not Found"/>
    <x v="7"/>
    <x v="24"/>
    <x v="5"/>
    <s v="Price Missing"/>
    <n v="0"/>
  </r>
  <r>
    <s v="ORD02740"/>
    <s v="CUST0987"/>
    <s v="PRD0482"/>
    <n v="4"/>
    <s v="Customer Not Found"/>
    <x v="7"/>
    <x v="24"/>
    <x v="5"/>
    <s v="Price Missing"/>
    <n v="0"/>
  </r>
  <r>
    <s v="ORD02741"/>
    <s v="CUST0750"/>
    <s v="PRD0110"/>
    <n v="4"/>
    <s v="Customer Not Found"/>
    <x v="7"/>
    <x v="24"/>
    <x v="5"/>
    <s v="Price Missing"/>
    <n v="0"/>
  </r>
  <r>
    <s v="ORD02742"/>
    <s v="CUST0324"/>
    <s v="PRD0284"/>
    <n v="9"/>
    <s v="Customer Not Found"/>
    <x v="7"/>
    <x v="24"/>
    <x v="5"/>
    <s v="Price Missing"/>
    <n v="0"/>
  </r>
  <r>
    <s v="ORD02743"/>
    <s v="CUST0972"/>
    <s v="PRD0016"/>
    <n v="7"/>
    <s v="Customer Not Found"/>
    <x v="7"/>
    <x v="24"/>
    <x v="5"/>
    <s v="Price Missing"/>
    <n v="0"/>
  </r>
  <r>
    <s v="ORD02744"/>
    <s v="CUST0999"/>
    <s v="PRD0369"/>
    <n v="9"/>
    <s v="Customer Not Found"/>
    <x v="7"/>
    <x v="24"/>
    <x v="5"/>
    <s v="Price Missing"/>
    <n v="0"/>
  </r>
  <r>
    <s v="ORD02745"/>
    <s v="CUST0998"/>
    <s v="PRD0160"/>
    <n v="9"/>
    <s v="Customer Not Found"/>
    <x v="7"/>
    <x v="24"/>
    <x v="5"/>
    <s v="Price Missing"/>
    <n v="0"/>
  </r>
  <r>
    <s v="ORD02746"/>
    <s v="CUST0335"/>
    <s v="PRD0245"/>
    <n v="7"/>
    <s v="Customer Not Found"/>
    <x v="7"/>
    <x v="24"/>
    <x v="5"/>
    <s v="Price Missing"/>
    <n v="0"/>
  </r>
  <r>
    <s v="ORD02747"/>
    <s v="CUST0767"/>
    <s v="PRD0474"/>
    <n v="10"/>
    <s v="Customer Not Found"/>
    <x v="7"/>
    <x v="24"/>
    <x v="5"/>
    <s v="Price Missing"/>
    <n v="0"/>
  </r>
  <r>
    <s v="ORD02748"/>
    <s v="CUST0870"/>
    <s v="PRD0478"/>
    <n v="10"/>
    <s v="Customer Not Found"/>
    <x v="7"/>
    <x v="24"/>
    <x v="5"/>
    <s v="Price Missing"/>
    <n v="0"/>
  </r>
  <r>
    <s v="ORD02749"/>
    <s v="CUST0252"/>
    <s v="PRD0277"/>
    <n v="5"/>
    <s v="Customer Not Found"/>
    <x v="7"/>
    <x v="24"/>
    <x v="5"/>
    <s v="Price Missing"/>
    <n v="0"/>
  </r>
  <r>
    <s v="ORD02750"/>
    <s v="CUST0073"/>
    <s v="PRD0020"/>
    <n v="3"/>
    <s v="Customer Not Found"/>
    <x v="7"/>
    <x v="24"/>
    <x v="5"/>
    <s v="Price Missing"/>
    <n v="0"/>
  </r>
  <r>
    <s v="ORD02751"/>
    <s v="CUST0010"/>
    <s v="PRD0192"/>
    <n v="3"/>
    <s v="Customer Not Found"/>
    <x v="7"/>
    <x v="24"/>
    <x v="5"/>
    <s v="Price Missing"/>
    <n v="0"/>
  </r>
  <r>
    <s v="ORD02752"/>
    <s v="CUST0989"/>
    <s v="PRD0474"/>
    <n v="10"/>
    <s v="Customer Not Found"/>
    <x v="7"/>
    <x v="24"/>
    <x v="5"/>
    <s v="Price Missing"/>
    <n v="0"/>
  </r>
  <r>
    <s v="ORD02753"/>
    <s v="CUST0497"/>
    <s v="PRD0016"/>
    <n v="6"/>
    <s v="Customer Not Found"/>
    <x v="7"/>
    <x v="24"/>
    <x v="5"/>
    <s v="Price Missing"/>
    <n v="0"/>
  </r>
  <r>
    <s v="ORD02754"/>
    <s v="CUST0757"/>
    <s v="PRD0176"/>
    <n v="7"/>
    <s v="Customer Not Found"/>
    <x v="7"/>
    <x v="24"/>
    <x v="5"/>
    <s v="Price Missing"/>
    <n v="0"/>
  </r>
  <r>
    <s v="ORD02755"/>
    <s v="CUST0020"/>
    <s v="PRD0365"/>
    <n v="8"/>
    <s v="Customer Not Found"/>
    <x v="7"/>
    <x v="24"/>
    <x v="5"/>
    <s v="Price Missing"/>
    <n v="0"/>
  </r>
  <r>
    <s v="ORD02756"/>
    <s v="CUST0624"/>
    <s v="PRD0311"/>
    <n v="9"/>
    <s v="Customer Not Found"/>
    <x v="7"/>
    <x v="24"/>
    <x v="5"/>
    <s v="Price Missing"/>
    <n v="0"/>
  </r>
  <r>
    <s v="ORD02757"/>
    <s v="CUST0897"/>
    <s v="PRD0365"/>
    <n v="1"/>
    <s v="Customer Not Found"/>
    <x v="7"/>
    <x v="24"/>
    <x v="5"/>
    <s v="Price Missing"/>
    <n v="0"/>
  </r>
  <r>
    <s v="ORD02758"/>
    <s v="CUST0292"/>
    <s v="PRD0137"/>
    <n v="4"/>
    <s v="Customer Not Found"/>
    <x v="7"/>
    <x v="24"/>
    <x v="5"/>
    <s v="Price Missing"/>
    <n v="0"/>
  </r>
  <r>
    <s v="ORD02759"/>
    <s v="CUST0838"/>
    <s v="PRD0229"/>
    <n v="9"/>
    <s v="Customer Not Found"/>
    <x v="7"/>
    <x v="24"/>
    <x v="5"/>
    <s v="Price Missing"/>
    <n v="0"/>
  </r>
  <r>
    <s v="ORD02760"/>
    <s v="CUST0188"/>
    <s v="PRD0070"/>
    <n v="6"/>
    <s v="Customer Not Found"/>
    <x v="7"/>
    <x v="24"/>
    <x v="5"/>
    <s v="Price Missing"/>
    <n v="0"/>
  </r>
  <r>
    <s v="ORD02761"/>
    <s v="CUST0245"/>
    <s v="PRD0465"/>
    <n v="4"/>
    <s v="Customer Not Found"/>
    <x v="7"/>
    <x v="24"/>
    <x v="5"/>
    <s v="Price Missing"/>
    <n v="0"/>
  </r>
  <r>
    <s v="ORD02762"/>
    <s v="CUST0141"/>
    <s v="PRD0360"/>
    <n v="7"/>
    <s v="Customer Not Found"/>
    <x v="7"/>
    <x v="24"/>
    <x v="5"/>
    <s v="Price Missing"/>
    <n v="0"/>
  </r>
  <r>
    <s v="ORD02763"/>
    <s v="CUST0687"/>
    <s v="PRD0298"/>
    <n v="7"/>
    <s v="Customer Not Found"/>
    <x v="7"/>
    <x v="24"/>
    <x v="5"/>
    <s v="Price Missing"/>
    <n v="0"/>
  </r>
  <r>
    <s v="ORD02764"/>
    <s v="CUST0618"/>
    <s v="PRD0140"/>
    <n v="1"/>
    <s v="Customer Not Found"/>
    <x v="7"/>
    <x v="24"/>
    <x v="5"/>
    <s v="Price Missing"/>
    <n v="0"/>
  </r>
  <r>
    <s v="ORD02765"/>
    <s v="CUST0591"/>
    <s v="PRD0159"/>
    <n v="7"/>
    <s v="Customer Not Found"/>
    <x v="7"/>
    <x v="24"/>
    <x v="5"/>
    <s v="Price Missing"/>
    <n v="0"/>
  </r>
  <r>
    <s v="ORD02766"/>
    <s v="CUST0711"/>
    <s v="PRD0012"/>
    <n v="4"/>
    <s v="Customer Not Found"/>
    <x v="7"/>
    <x v="24"/>
    <x v="5"/>
    <s v="Price Missing"/>
    <n v="0"/>
  </r>
  <r>
    <s v="ORD02767"/>
    <s v="CUST0988"/>
    <s v="PRD0099"/>
    <n v="3"/>
    <s v="Customer Not Found"/>
    <x v="7"/>
    <x v="24"/>
    <x v="5"/>
    <s v="Price Missing"/>
    <n v="0"/>
  </r>
  <r>
    <s v="ORD02768"/>
    <s v="CUST0383"/>
    <s v="PRD0309"/>
    <n v="7"/>
    <s v="Customer Not Found"/>
    <x v="7"/>
    <x v="24"/>
    <x v="5"/>
    <s v="Price Missing"/>
    <n v="0"/>
  </r>
  <r>
    <s v="ORD02769"/>
    <s v="CUST0308"/>
    <s v="PRD0369"/>
    <n v="7"/>
    <s v="Customer Not Found"/>
    <x v="7"/>
    <x v="24"/>
    <x v="5"/>
    <s v="Price Missing"/>
    <n v="0"/>
  </r>
  <r>
    <s v="ORD02770"/>
    <s v="CUST0692"/>
    <s v="PRD0204"/>
    <n v="1"/>
    <s v="Customer Not Found"/>
    <x v="7"/>
    <x v="24"/>
    <x v="5"/>
    <s v="Price Missing"/>
    <n v="0"/>
  </r>
  <r>
    <s v="ORD02771"/>
    <s v="CUST0827"/>
    <s v="PRD0158"/>
    <n v="3"/>
    <s v="Customer Not Found"/>
    <x v="7"/>
    <x v="24"/>
    <x v="5"/>
    <s v="Price Missing"/>
    <n v="0"/>
  </r>
  <r>
    <s v="ORD02772"/>
    <s v="CUST0603"/>
    <s v="PRD0065"/>
    <n v="4"/>
    <s v="Customer Not Found"/>
    <x v="7"/>
    <x v="24"/>
    <x v="5"/>
    <s v="Price Missing"/>
    <n v="0"/>
  </r>
  <r>
    <s v="ORD02773"/>
    <s v="CUST0171"/>
    <s v="PRD0265"/>
    <n v="3"/>
    <s v="Customer Not Found"/>
    <x v="7"/>
    <x v="24"/>
    <x v="5"/>
    <s v="Price Missing"/>
    <n v="0"/>
  </r>
  <r>
    <s v="ORD02774"/>
    <s v="CUST0099"/>
    <s v="PRD0239"/>
    <n v="4"/>
    <s v="Customer Not Found"/>
    <x v="7"/>
    <x v="24"/>
    <x v="5"/>
    <s v="Price Missing"/>
    <n v="0"/>
  </r>
  <r>
    <s v="ORD02775"/>
    <s v="CUST0834"/>
    <s v="PRD0260"/>
    <n v="6"/>
    <s v="Customer Not Found"/>
    <x v="7"/>
    <x v="24"/>
    <x v="5"/>
    <s v="Price Missing"/>
    <n v="0"/>
  </r>
  <r>
    <s v="ORD02776"/>
    <s v="CUST0185"/>
    <s v="PRD0017"/>
    <n v="7"/>
    <s v="Customer Not Found"/>
    <x v="7"/>
    <x v="24"/>
    <x v="5"/>
    <s v="Price Missing"/>
    <n v="0"/>
  </r>
  <r>
    <s v="ORD02777"/>
    <s v="CUST0374"/>
    <s v="PRD0278"/>
    <n v="4"/>
    <s v="Customer Not Found"/>
    <x v="7"/>
    <x v="24"/>
    <x v="5"/>
    <s v="Price Missing"/>
    <n v="0"/>
  </r>
  <r>
    <s v="ORD02778"/>
    <s v="CUST0866"/>
    <s v="PRD0163"/>
    <n v="10"/>
    <s v="Customer Not Found"/>
    <x v="7"/>
    <x v="24"/>
    <x v="5"/>
    <s v="Price Missing"/>
    <n v="0"/>
  </r>
  <r>
    <s v="ORD02779"/>
    <s v="CUST0931"/>
    <s v="PRD0041"/>
    <n v="8"/>
    <s v="Customer Not Found"/>
    <x v="7"/>
    <x v="24"/>
    <x v="5"/>
    <s v="Price Missing"/>
    <n v="0"/>
  </r>
  <r>
    <s v="ORD02780"/>
    <s v="CUST0723"/>
    <s v="PRD0221"/>
    <n v="6"/>
    <s v="Customer Not Found"/>
    <x v="7"/>
    <x v="24"/>
    <x v="5"/>
    <s v="Price Missing"/>
    <n v="0"/>
  </r>
  <r>
    <s v="ORD02781"/>
    <s v="CUST0709"/>
    <s v="PRD0356"/>
    <n v="9"/>
    <s v="Customer Not Found"/>
    <x v="7"/>
    <x v="24"/>
    <x v="5"/>
    <s v="Price Missing"/>
    <n v="0"/>
  </r>
  <r>
    <s v="ORD02782"/>
    <s v="CUST0036"/>
    <s v="PRD0409"/>
    <n v="10"/>
    <s v="Customer Not Found"/>
    <x v="7"/>
    <x v="24"/>
    <x v="5"/>
    <s v="Price Missing"/>
    <n v="0"/>
  </r>
  <r>
    <s v="ORD02783"/>
    <s v="CUST0835"/>
    <s v="PRD0107"/>
    <n v="9"/>
    <s v="Customer Not Found"/>
    <x v="7"/>
    <x v="24"/>
    <x v="5"/>
    <s v="Price Missing"/>
    <n v="0"/>
  </r>
  <r>
    <s v="ORD02784"/>
    <s v="CUST0105"/>
    <s v="PRD0345"/>
    <n v="3"/>
    <s v="Customer Not Found"/>
    <x v="7"/>
    <x v="24"/>
    <x v="5"/>
    <s v="Price Missing"/>
    <n v="0"/>
  </r>
  <r>
    <s v="ORD02785"/>
    <s v="CUST0548"/>
    <s v="PRD0002"/>
    <n v="10"/>
    <s v="Customer Not Found"/>
    <x v="7"/>
    <x v="24"/>
    <x v="5"/>
    <s v="Price Missing"/>
    <n v="0"/>
  </r>
  <r>
    <s v="ORD02786"/>
    <s v="CUST0779"/>
    <s v="PRD0223"/>
    <n v="4"/>
    <s v="Customer Not Found"/>
    <x v="7"/>
    <x v="24"/>
    <x v="5"/>
    <s v="Price Missing"/>
    <n v="0"/>
  </r>
  <r>
    <s v="ORD02787"/>
    <s v="CUST0295"/>
    <s v="PRD0490"/>
    <n v="9"/>
    <s v="Customer Not Found"/>
    <x v="7"/>
    <x v="24"/>
    <x v="5"/>
    <s v="Price Missing"/>
    <n v="0"/>
  </r>
  <r>
    <s v="ORD02788"/>
    <s v="CUST0461"/>
    <s v="PRD0405"/>
    <n v="2"/>
    <s v="Customer Not Found"/>
    <x v="7"/>
    <x v="24"/>
    <x v="5"/>
    <s v="Price Missing"/>
    <n v="0"/>
  </r>
  <r>
    <s v="ORD02789"/>
    <s v="CUST0531"/>
    <s v="PRD0432"/>
    <n v="8"/>
    <s v="Customer Not Found"/>
    <x v="7"/>
    <x v="24"/>
    <x v="5"/>
    <s v="Price Missing"/>
    <n v="0"/>
  </r>
  <r>
    <s v="ORD02790"/>
    <s v="CUST0956"/>
    <s v="PRD0391"/>
    <n v="10"/>
    <s v="Customer Not Found"/>
    <x v="7"/>
    <x v="24"/>
    <x v="5"/>
    <s v="Price Missing"/>
    <n v="0"/>
  </r>
  <r>
    <s v="ORD02791"/>
    <s v="CUST0400"/>
    <s v="PRD0442"/>
    <n v="9"/>
    <s v="Customer Not Found"/>
    <x v="7"/>
    <x v="24"/>
    <x v="5"/>
    <s v="Price Missing"/>
    <n v="0"/>
  </r>
  <r>
    <s v="ORD02792"/>
    <s v="CUST0435"/>
    <s v="PRD0127"/>
    <n v="7"/>
    <s v="Customer Not Found"/>
    <x v="7"/>
    <x v="24"/>
    <x v="5"/>
    <s v="Price Missing"/>
    <n v="0"/>
  </r>
  <r>
    <s v="ORD02793"/>
    <s v="CUST0678"/>
    <s v="PRD0474"/>
    <n v="5"/>
    <s v="Customer Not Found"/>
    <x v="7"/>
    <x v="24"/>
    <x v="5"/>
    <s v="Price Missing"/>
    <n v="0"/>
  </r>
  <r>
    <s v="ORD02794"/>
    <s v="CUST0101"/>
    <s v="PRD0036"/>
    <n v="4"/>
    <s v="Customer Not Found"/>
    <x v="7"/>
    <x v="24"/>
    <x v="5"/>
    <s v="Price Missing"/>
    <n v="0"/>
  </r>
  <r>
    <s v="ORD02795"/>
    <s v="CUST0151"/>
    <s v="PRD0370"/>
    <n v="2"/>
    <s v="Customer Not Found"/>
    <x v="7"/>
    <x v="24"/>
    <x v="5"/>
    <s v="Price Missing"/>
    <n v="0"/>
  </r>
  <r>
    <s v="ORD02796"/>
    <s v="CUST0181"/>
    <s v="PRD0310"/>
    <n v="4"/>
    <s v="Customer Not Found"/>
    <x v="7"/>
    <x v="24"/>
    <x v="5"/>
    <s v="Price Missing"/>
    <n v="0"/>
  </r>
  <r>
    <s v="ORD02797"/>
    <s v="CUST0579"/>
    <s v="PRD0134"/>
    <n v="8"/>
    <s v="Customer Not Found"/>
    <x v="7"/>
    <x v="24"/>
    <x v="5"/>
    <s v="Price Missing"/>
    <n v="0"/>
  </r>
  <r>
    <s v="ORD02798"/>
    <s v="CUST0377"/>
    <s v="PRD0456"/>
    <n v="6"/>
    <s v="Customer Not Found"/>
    <x v="7"/>
    <x v="24"/>
    <x v="5"/>
    <s v="Price Missing"/>
    <n v="0"/>
  </r>
  <r>
    <s v="ORD02799"/>
    <s v="CUST0268"/>
    <s v="PRD0227"/>
    <n v="5"/>
    <s v="Customer Not Found"/>
    <x v="7"/>
    <x v="24"/>
    <x v="5"/>
    <s v="Price Missing"/>
    <n v="0"/>
  </r>
  <r>
    <s v="ORD02800"/>
    <s v="CUST0202"/>
    <s v="PRD0389"/>
    <n v="10"/>
    <s v="Customer Not Found"/>
    <x v="7"/>
    <x v="24"/>
    <x v="5"/>
    <s v="Price Missing"/>
    <n v="0"/>
  </r>
  <r>
    <s v="ORD02801"/>
    <s v="CUST0523"/>
    <s v="PRD0281"/>
    <n v="8"/>
    <s v="Customer Not Found"/>
    <x v="7"/>
    <x v="24"/>
    <x v="5"/>
    <s v="Price Missing"/>
    <n v="0"/>
  </r>
  <r>
    <s v="ORD02802"/>
    <s v="CUST0130"/>
    <s v="PRD0328"/>
    <n v="8"/>
    <s v="Customer Not Found"/>
    <x v="7"/>
    <x v="24"/>
    <x v="5"/>
    <s v="Price Missing"/>
    <n v="0"/>
  </r>
  <r>
    <s v="ORD02803"/>
    <s v="CUST0947"/>
    <s v="PRD0389"/>
    <n v="7"/>
    <s v="Customer Not Found"/>
    <x v="7"/>
    <x v="24"/>
    <x v="5"/>
    <s v="Price Missing"/>
    <n v="0"/>
  </r>
  <r>
    <s v="ORD02804"/>
    <s v="CUST0538"/>
    <s v="PRD0301"/>
    <n v="10"/>
    <s v="Customer Not Found"/>
    <x v="7"/>
    <x v="24"/>
    <x v="5"/>
    <s v="Price Missing"/>
    <n v="0"/>
  </r>
  <r>
    <s v="ORD02805"/>
    <s v="CUST0405"/>
    <s v="PRD0467"/>
    <n v="7"/>
    <s v="Customer Not Found"/>
    <x v="7"/>
    <x v="24"/>
    <x v="5"/>
    <s v="Price Missing"/>
    <n v="0"/>
  </r>
  <r>
    <s v="ORD02806"/>
    <s v="CUST0173"/>
    <s v="PRD0152"/>
    <n v="1"/>
    <s v="Customer Not Found"/>
    <x v="7"/>
    <x v="24"/>
    <x v="5"/>
    <s v="Price Missing"/>
    <n v="0"/>
  </r>
  <r>
    <s v="ORD02807"/>
    <s v="CUST0267"/>
    <s v="PRD0279"/>
    <n v="8"/>
    <s v="Customer Not Found"/>
    <x v="7"/>
    <x v="24"/>
    <x v="5"/>
    <s v="Price Missing"/>
    <n v="0"/>
  </r>
  <r>
    <s v="ORD02808"/>
    <s v="CUST0211"/>
    <s v="PRD0092"/>
    <n v="8"/>
    <s v="Customer Not Found"/>
    <x v="7"/>
    <x v="24"/>
    <x v="5"/>
    <s v="Price Missing"/>
    <n v="0"/>
  </r>
  <r>
    <s v="ORD02809"/>
    <s v="CUST0698"/>
    <s v="PRD0411"/>
    <n v="6"/>
    <s v="Customer Not Found"/>
    <x v="7"/>
    <x v="24"/>
    <x v="5"/>
    <s v="Price Missing"/>
    <n v="0"/>
  </r>
  <r>
    <s v="ORD02810"/>
    <s v="CUST0206"/>
    <s v="PRD0183"/>
    <n v="4"/>
    <s v="Customer Not Found"/>
    <x v="7"/>
    <x v="24"/>
    <x v="5"/>
    <s v="Price Missing"/>
    <n v="0"/>
  </r>
  <r>
    <s v="ORD02811"/>
    <s v="CUST0889"/>
    <s v="PRD0383"/>
    <n v="5"/>
    <s v="Customer Not Found"/>
    <x v="7"/>
    <x v="24"/>
    <x v="5"/>
    <s v="Price Missing"/>
    <n v="0"/>
  </r>
  <r>
    <s v="ORD02812"/>
    <s v="CUST0030"/>
    <s v="PRD0456"/>
    <n v="5"/>
    <s v="Customer Not Found"/>
    <x v="7"/>
    <x v="24"/>
    <x v="5"/>
    <s v="Price Missing"/>
    <n v="0"/>
  </r>
  <r>
    <s v="ORD02813"/>
    <s v="CUST0537"/>
    <s v="PRD0099"/>
    <n v="7"/>
    <s v="Customer Not Found"/>
    <x v="7"/>
    <x v="24"/>
    <x v="5"/>
    <s v="Price Missing"/>
    <n v="0"/>
  </r>
  <r>
    <s v="ORD02814"/>
    <s v="CUST0616"/>
    <s v="PRD0389"/>
    <n v="3"/>
    <s v="Customer Not Found"/>
    <x v="7"/>
    <x v="24"/>
    <x v="5"/>
    <s v="Price Missing"/>
    <n v="0"/>
  </r>
  <r>
    <s v="ORD02815"/>
    <s v="CUST0401"/>
    <s v="PRD0401"/>
    <n v="6"/>
    <s v="Customer Not Found"/>
    <x v="7"/>
    <x v="24"/>
    <x v="5"/>
    <s v="Price Missing"/>
    <n v="0"/>
  </r>
  <r>
    <s v="ORD02816"/>
    <s v="CUST0878"/>
    <s v="PRD0500"/>
    <n v="8"/>
    <s v="Customer Not Found"/>
    <x v="7"/>
    <x v="24"/>
    <x v="5"/>
    <s v="Price Missing"/>
    <n v="0"/>
  </r>
  <r>
    <s v="ORD02817"/>
    <s v="CUST0060"/>
    <s v="PRD0075"/>
    <n v="10"/>
    <s v="Customer Not Found"/>
    <x v="7"/>
    <x v="24"/>
    <x v="5"/>
    <s v="Price Missing"/>
    <n v="0"/>
  </r>
  <r>
    <s v="ORD02818"/>
    <s v="CUST0153"/>
    <s v="PRD0419"/>
    <n v="3"/>
    <s v="Customer Not Found"/>
    <x v="7"/>
    <x v="24"/>
    <x v="5"/>
    <s v="Price Missing"/>
    <n v="0"/>
  </r>
  <r>
    <s v="ORD02819"/>
    <s v="CUST0135"/>
    <s v="PRD0100"/>
    <n v="10"/>
    <s v="Customer Not Found"/>
    <x v="7"/>
    <x v="24"/>
    <x v="5"/>
    <s v="Price Missing"/>
    <n v="0"/>
  </r>
  <r>
    <s v="ORD02820"/>
    <s v="CUST0571"/>
    <s v="PRD0354"/>
    <n v="1"/>
    <s v="Customer Not Found"/>
    <x v="7"/>
    <x v="24"/>
    <x v="5"/>
    <s v="Price Missing"/>
    <n v="0"/>
  </r>
  <r>
    <s v="ORD02821"/>
    <s v="CUST0301"/>
    <s v="PRD0036"/>
    <n v="1"/>
    <s v="Customer Not Found"/>
    <x v="7"/>
    <x v="24"/>
    <x v="5"/>
    <s v="Price Missing"/>
    <n v="0"/>
  </r>
  <r>
    <s v="ORD02822"/>
    <s v="CUST0141"/>
    <s v="PRD0237"/>
    <n v="3"/>
    <s v="Customer Not Found"/>
    <x v="7"/>
    <x v="24"/>
    <x v="5"/>
    <s v="Price Missing"/>
    <n v="0"/>
  </r>
  <r>
    <s v="ORD02823"/>
    <s v="CUST0024"/>
    <s v="PRD0299"/>
    <n v="10"/>
    <s v="Customer Not Found"/>
    <x v="7"/>
    <x v="24"/>
    <x v="5"/>
    <s v="Price Missing"/>
    <n v="0"/>
  </r>
  <r>
    <s v="ORD02824"/>
    <s v="CUST0487"/>
    <s v="PRD0235"/>
    <n v="2"/>
    <s v="Customer Not Found"/>
    <x v="7"/>
    <x v="24"/>
    <x v="5"/>
    <s v="Price Missing"/>
    <n v="0"/>
  </r>
  <r>
    <s v="ORD02825"/>
    <s v="CUST0369"/>
    <s v="PRD0003"/>
    <n v="5"/>
    <s v="Customer Not Found"/>
    <x v="7"/>
    <x v="24"/>
    <x v="5"/>
    <s v="Price Missing"/>
    <n v="0"/>
  </r>
  <r>
    <s v="ORD02826"/>
    <s v="CUST0195"/>
    <s v="PRD0400"/>
    <n v="2"/>
    <s v="Customer Not Found"/>
    <x v="7"/>
    <x v="24"/>
    <x v="5"/>
    <s v="Price Missing"/>
    <n v="0"/>
  </r>
  <r>
    <s v="ORD02827"/>
    <s v="CUST0240"/>
    <s v="PRD0191"/>
    <n v="1"/>
    <s v="Customer Not Found"/>
    <x v="7"/>
    <x v="24"/>
    <x v="5"/>
    <s v="Price Missing"/>
    <n v="0"/>
  </r>
  <r>
    <s v="ORD02828"/>
    <s v="CUST0838"/>
    <s v="PRD0460"/>
    <n v="8"/>
    <s v="Customer Not Found"/>
    <x v="7"/>
    <x v="24"/>
    <x v="5"/>
    <s v="Price Missing"/>
    <n v="0"/>
  </r>
  <r>
    <s v="ORD02829"/>
    <s v="CUST0618"/>
    <s v="PRD0062"/>
    <n v="3"/>
    <s v="Customer Not Found"/>
    <x v="7"/>
    <x v="24"/>
    <x v="5"/>
    <s v="Price Missing"/>
    <n v="0"/>
  </r>
  <r>
    <s v="ORD02830"/>
    <s v="CUST0077"/>
    <s v="PRD0406"/>
    <n v="3"/>
    <s v="Customer Not Found"/>
    <x v="7"/>
    <x v="24"/>
    <x v="5"/>
    <s v="Price Missing"/>
    <n v="0"/>
  </r>
  <r>
    <s v="ORD02831"/>
    <s v="CUST0087"/>
    <s v="PRD0411"/>
    <n v="6"/>
    <s v="Customer Not Found"/>
    <x v="7"/>
    <x v="24"/>
    <x v="5"/>
    <s v="Price Missing"/>
    <n v="0"/>
  </r>
  <r>
    <s v="ORD02832"/>
    <s v="CUST0848"/>
    <s v="PRD0328"/>
    <n v="2"/>
    <s v="Customer Not Found"/>
    <x v="7"/>
    <x v="24"/>
    <x v="5"/>
    <s v="Price Missing"/>
    <n v="0"/>
  </r>
  <r>
    <s v="ORD02833"/>
    <s v="CUST0188"/>
    <s v="PRD0332"/>
    <n v="1"/>
    <s v="Customer Not Found"/>
    <x v="7"/>
    <x v="24"/>
    <x v="5"/>
    <s v="Price Missing"/>
    <n v="0"/>
  </r>
  <r>
    <s v="ORD02834"/>
    <s v="CUST0662"/>
    <s v="PRD0210"/>
    <n v="3"/>
    <s v="Customer Not Found"/>
    <x v="7"/>
    <x v="24"/>
    <x v="5"/>
    <s v="Price Missing"/>
    <n v="0"/>
  </r>
  <r>
    <s v="ORD02835"/>
    <s v="CUST0533"/>
    <s v="PRD0008"/>
    <n v="4"/>
    <s v="Customer Not Found"/>
    <x v="7"/>
    <x v="24"/>
    <x v="5"/>
    <s v="Price Missing"/>
    <n v="0"/>
  </r>
  <r>
    <s v="ORD02836"/>
    <s v="CUST0375"/>
    <s v="PRD0464"/>
    <n v="6"/>
    <s v="Customer Not Found"/>
    <x v="7"/>
    <x v="24"/>
    <x v="5"/>
    <s v="Price Missing"/>
    <n v="0"/>
  </r>
  <r>
    <s v="ORD02837"/>
    <s v="CUST0048"/>
    <s v="PRD0233"/>
    <n v="5"/>
    <s v="Customer Not Found"/>
    <x v="7"/>
    <x v="24"/>
    <x v="5"/>
    <s v="Price Missing"/>
    <n v="0"/>
  </r>
  <r>
    <s v="ORD02838"/>
    <s v="CUST0711"/>
    <s v="PRD0417"/>
    <n v="1"/>
    <s v="Customer Not Found"/>
    <x v="7"/>
    <x v="24"/>
    <x v="5"/>
    <s v="Price Missing"/>
    <n v="0"/>
  </r>
  <r>
    <s v="ORD02839"/>
    <s v="CUST0505"/>
    <s v="PRD0441"/>
    <n v="8"/>
    <s v="Customer Not Found"/>
    <x v="7"/>
    <x v="24"/>
    <x v="5"/>
    <s v="Price Missing"/>
    <n v="0"/>
  </r>
  <r>
    <s v="ORD02840"/>
    <s v="CUST0122"/>
    <s v="PRD0199"/>
    <n v="1"/>
    <s v="Customer Not Found"/>
    <x v="7"/>
    <x v="24"/>
    <x v="5"/>
    <s v="Price Missing"/>
    <n v="0"/>
  </r>
  <r>
    <s v="ORD02841"/>
    <s v="CUST0532"/>
    <s v="PRD0133"/>
    <n v="3"/>
    <s v="Customer Not Found"/>
    <x v="7"/>
    <x v="24"/>
    <x v="5"/>
    <s v="Price Missing"/>
    <n v="0"/>
  </r>
  <r>
    <s v="ORD02842"/>
    <s v="CUST0750"/>
    <s v="PRD0133"/>
    <n v="10"/>
    <s v="Customer Not Found"/>
    <x v="7"/>
    <x v="24"/>
    <x v="5"/>
    <s v="Price Missing"/>
    <n v="0"/>
  </r>
  <r>
    <s v="ORD02843"/>
    <s v="CUST0321"/>
    <s v="PRD0276"/>
    <n v="10"/>
    <s v="Customer Not Found"/>
    <x v="7"/>
    <x v="24"/>
    <x v="5"/>
    <s v="Price Missing"/>
    <n v="0"/>
  </r>
  <r>
    <s v="ORD02844"/>
    <s v="CUST0800"/>
    <s v="PRD0195"/>
    <n v="8"/>
    <s v="Customer Not Found"/>
    <x v="7"/>
    <x v="24"/>
    <x v="5"/>
    <s v="Price Missing"/>
    <n v="0"/>
  </r>
  <r>
    <s v="ORD02845"/>
    <s v="CUST0002"/>
    <s v="PRD0488"/>
    <n v="10"/>
    <s v="Customer Not Found"/>
    <x v="7"/>
    <x v="24"/>
    <x v="5"/>
    <s v="Price Missing"/>
    <n v="0"/>
  </r>
  <r>
    <s v="ORD02846"/>
    <s v="CUST0829"/>
    <s v="PRD0085"/>
    <n v="7"/>
    <s v="Customer Not Found"/>
    <x v="7"/>
    <x v="24"/>
    <x v="5"/>
    <s v="Price Missing"/>
    <n v="0"/>
  </r>
  <r>
    <s v="ORD02847"/>
    <s v="CUST0223"/>
    <s v="PRD0472"/>
    <n v="2"/>
    <s v="Customer Not Found"/>
    <x v="7"/>
    <x v="24"/>
    <x v="5"/>
    <s v="Price Missing"/>
    <n v="0"/>
  </r>
  <r>
    <s v="ORD02848"/>
    <s v="CUST0987"/>
    <s v="PRD0454"/>
    <n v="9"/>
    <s v="Customer Not Found"/>
    <x v="7"/>
    <x v="24"/>
    <x v="5"/>
    <s v="Price Missing"/>
    <n v="0"/>
  </r>
  <r>
    <s v="ORD02849"/>
    <s v="CUST0001"/>
    <s v="PRD0282"/>
    <n v="2"/>
    <s v="Customer Not Found"/>
    <x v="7"/>
    <x v="24"/>
    <x v="5"/>
    <s v="Price Missing"/>
    <n v="0"/>
  </r>
  <r>
    <s v="ORD02850"/>
    <s v="CUST0740"/>
    <s v="PRD0492"/>
    <n v="2"/>
    <s v="Customer Not Found"/>
    <x v="7"/>
    <x v="24"/>
    <x v="5"/>
    <s v="Price Missing"/>
    <n v="0"/>
  </r>
  <r>
    <s v="ORD02851"/>
    <s v="CUST0231"/>
    <s v="PRD0037"/>
    <n v="3"/>
    <s v="Customer Not Found"/>
    <x v="7"/>
    <x v="24"/>
    <x v="5"/>
    <s v="Price Missing"/>
    <n v="0"/>
  </r>
  <r>
    <s v="ORD02852"/>
    <s v="CUST0014"/>
    <s v="PRD0203"/>
    <n v="1"/>
    <s v="Customer Not Found"/>
    <x v="7"/>
    <x v="24"/>
    <x v="5"/>
    <s v="Price Missing"/>
    <n v="0"/>
  </r>
  <r>
    <s v="ORD02853"/>
    <s v="CUST0954"/>
    <s v="PRD0356"/>
    <n v="6"/>
    <s v="Customer Not Found"/>
    <x v="7"/>
    <x v="24"/>
    <x v="5"/>
    <s v="Price Missing"/>
    <n v="0"/>
  </r>
  <r>
    <s v="ORD02854"/>
    <s v="CUST0001"/>
    <s v="PRD0165"/>
    <n v="5"/>
    <s v="Customer Not Found"/>
    <x v="7"/>
    <x v="24"/>
    <x v="5"/>
    <s v="Price Missing"/>
    <n v="0"/>
  </r>
  <r>
    <s v="ORD02855"/>
    <s v="CUST0593"/>
    <s v="PRD0187"/>
    <n v="7"/>
    <s v="Customer Not Found"/>
    <x v="7"/>
    <x v="24"/>
    <x v="5"/>
    <s v="Price Missing"/>
    <n v="0"/>
  </r>
  <r>
    <s v="ORD02856"/>
    <s v="CUST0354"/>
    <s v="PRD0393"/>
    <n v="3"/>
    <s v="Customer Not Found"/>
    <x v="7"/>
    <x v="24"/>
    <x v="5"/>
    <s v="Price Missing"/>
    <n v="0"/>
  </r>
  <r>
    <s v="ORD02857"/>
    <s v="CUST0158"/>
    <s v="PRD0118"/>
    <n v="3"/>
    <s v="Customer Not Found"/>
    <x v="7"/>
    <x v="24"/>
    <x v="5"/>
    <s v="Price Missing"/>
    <n v="0"/>
  </r>
  <r>
    <s v="ORD02858"/>
    <s v="CUST0502"/>
    <s v="PRD0214"/>
    <n v="9"/>
    <s v="Customer Not Found"/>
    <x v="7"/>
    <x v="24"/>
    <x v="5"/>
    <s v="Price Missing"/>
    <n v="0"/>
  </r>
  <r>
    <s v="ORD02859"/>
    <s v="CUST0083"/>
    <s v="PRD0047"/>
    <n v="7"/>
    <s v="Customer Not Found"/>
    <x v="7"/>
    <x v="24"/>
    <x v="5"/>
    <s v="Price Missing"/>
    <n v="0"/>
  </r>
  <r>
    <s v="ORD02860"/>
    <s v="CUST0489"/>
    <s v="PRD0323"/>
    <n v="8"/>
    <s v="Customer Not Found"/>
    <x v="7"/>
    <x v="24"/>
    <x v="5"/>
    <s v="Price Missing"/>
    <n v="0"/>
  </r>
  <r>
    <s v="ORD02861"/>
    <s v="CUST0831"/>
    <s v="PRD0332"/>
    <n v="7"/>
    <s v="Customer Not Found"/>
    <x v="7"/>
    <x v="24"/>
    <x v="5"/>
    <s v="Price Missing"/>
    <n v="0"/>
  </r>
  <r>
    <s v="ORD02862"/>
    <s v="CUST0386"/>
    <s v="PRD0326"/>
    <n v="4"/>
    <s v="Customer Not Found"/>
    <x v="7"/>
    <x v="24"/>
    <x v="5"/>
    <s v="Price Missing"/>
    <n v="0"/>
  </r>
  <r>
    <s v="ORD02863"/>
    <s v="CUST0982"/>
    <s v="PRD0077"/>
    <n v="3"/>
    <s v="Customer Not Found"/>
    <x v="7"/>
    <x v="24"/>
    <x v="5"/>
    <s v="Price Missing"/>
    <n v="0"/>
  </r>
  <r>
    <s v="ORD02864"/>
    <s v="CUST0916"/>
    <s v="PRD0307"/>
    <n v="3"/>
    <s v="Customer Not Found"/>
    <x v="7"/>
    <x v="24"/>
    <x v="5"/>
    <s v="Price Missing"/>
    <n v="0"/>
  </r>
  <r>
    <s v="ORD02865"/>
    <s v="CUST0049"/>
    <s v="PRD0109"/>
    <n v="7"/>
    <s v="Customer Not Found"/>
    <x v="7"/>
    <x v="24"/>
    <x v="5"/>
    <s v="Price Missing"/>
    <n v="0"/>
  </r>
  <r>
    <s v="ORD02866"/>
    <s v="CUST0918"/>
    <s v="PRD0424"/>
    <n v="5"/>
    <s v="Customer Not Found"/>
    <x v="7"/>
    <x v="24"/>
    <x v="5"/>
    <s v="Price Missing"/>
    <n v="0"/>
  </r>
  <r>
    <s v="ORD02867"/>
    <s v="CUST0440"/>
    <s v="PRD0020"/>
    <n v="1"/>
    <s v="Customer Not Found"/>
    <x v="7"/>
    <x v="24"/>
    <x v="5"/>
    <s v="Price Missing"/>
    <n v="0"/>
  </r>
  <r>
    <s v="ORD02868"/>
    <s v="CUST0171"/>
    <s v="PRD0159"/>
    <n v="6"/>
    <s v="Customer Not Found"/>
    <x v="7"/>
    <x v="24"/>
    <x v="5"/>
    <s v="Price Missing"/>
    <n v="0"/>
  </r>
  <r>
    <s v="ORD02869"/>
    <s v="CUST0188"/>
    <s v="PRD0067"/>
    <n v="8"/>
    <s v="Customer Not Found"/>
    <x v="7"/>
    <x v="24"/>
    <x v="5"/>
    <s v="Price Missing"/>
    <n v="0"/>
  </r>
  <r>
    <s v="ORD02870"/>
    <s v="CUST0843"/>
    <s v="PRD0360"/>
    <n v="1"/>
    <s v="Customer Not Found"/>
    <x v="7"/>
    <x v="24"/>
    <x v="5"/>
    <s v="Price Missing"/>
    <n v="0"/>
  </r>
  <r>
    <s v="ORD02871"/>
    <s v="CUST0010"/>
    <s v="PRD0082"/>
    <n v="8"/>
    <s v="Customer Not Found"/>
    <x v="7"/>
    <x v="24"/>
    <x v="5"/>
    <s v="Price Missing"/>
    <n v="0"/>
  </r>
  <r>
    <s v="ORD02872"/>
    <s v="CUST0577"/>
    <s v="PRD0392"/>
    <n v="6"/>
    <s v="Customer Not Found"/>
    <x v="7"/>
    <x v="24"/>
    <x v="5"/>
    <s v="Price Missing"/>
    <n v="0"/>
  </r>
  <r>
    <s v="ORD02873"/>
    <s v="CUST0597"/>
    <s v="PRD0038"/>
    <n v="7"/>
    <s v="Customer Not Found"/>
    <x v="7"/>
    <x v="24"/>
    <x v="5"/>
    <s v="Price Missing"/>
    <n v="0"/>
  </r>
  <r>
    <s v="ORD02874"/>
    <s v="CUST0841"/>
    <s v="PRD0199"/>
    <n v="9"/>
    <s v="Customer Not Found"/>
    <x v="7"/>
    <x v="24"/>
    <x v="5"/>
    <s v="Price Missing"/>
    <n v="0"/>
  </r>
  <r>
    <s v="ORD02875"/>
    <s v="CUST0753"/>
    <s v="PRD0124"/>
    <n v="10"/>
    <s v="Customer Not Found"/>
    <x v="7"/>
    <x v="24"/>
    <x v="5"/>
    <s v="Price Missing"/>
    <n v="0"/>
  </r>
  <r>
    <s v="ORD02876"/>
    <s v="CUST0806"/>
    <s v="PRD0046"/>
    <n v="6"/>
    <s v="Customer Not Found"/>
    <x v="7"/>
    <x v="24"/>
    <x v="5"/>
    <s v="Price Missing"/>
    <n v="0"/>
  </r>
  <r>
    <s v="ORD02877"/>
    <s v="CUST0285"/>
    <s v="PRD0168"/>
    <n v="3"/>
    <s v="Customer Not Found"/>
    <x v="7"/>
    <x v="24"/>
    <x v="5"/>
    <s v="Price Missing"/>
    <n v="0"/>
  </r>
  <r>
    <s v="ORD02878"/>
    <s v="CUST0747"/>
    <s v="PRD0167"/>
    <n v="10"/>
    <s v="Customer Not Found"/>
    <x v="7"/>
    <x v="24"/>
    <x v="5"/>
    <s v="Price Missing"/>
    <n v="0"/>
  </r>
  <r>
    <s v="ORD02879"/>
    <s v="CUST0980"/>
    <s v="PRD0133"/>
    <n v="3"/>
    <s v="Customer Not Found"/>
    <x v="7"/>
    <x v="24"/>
    <x v="5"/>
    <s v="Price Missing"/>
    <n v="0"/>
  </r>
  <r>
    <s v="ORD02880"/>
    <s v="CUST0548"/>
    <s v="PRD0154"/>
    <n v="2"/>
    <s v="Customer Not Found"/>
    <x v="7"/>
    <x v="24"/>
    <x v="5"/>
    <s v="Price Missing"/>
    <n v="0"/>
  </r>
  <r>
    <s v="ORD02881"/>
    <s v="CUST0645"/>
    <s v="PRD0449"/>
    <n v="7"/>
    <s v="Customer Not Found"/>
    <x v="7"/>
    <x v="24"/>
    <x v="5"/>
    <s v="Price Missing"/>
    <n v="0"/>
  </r>
  <r>
    <s v="ORD02882"/>
    <s v="CUST0789"/>
    <s v="PRD0365"/>
    <n v="7"/>
    <s v="Customer Not Found"/>
    <x v="7"/>
    <x v="24"/>
    <x v="5"/>
    <s v="Price Missing"/>
    <n v="0"/>
  </r>
  <r>
    <s v="ORD02883"/>
    <s v="CUST0132"/>
    <s v="PRD0474"/>
    <n v="6"/>
    <s v="Customer Not Found"/>
    <x v="7"/>
    <x v="24"/>
    <x v="5"/>
    <s v="Price Missing"/>
    <n v="0"/>
  </r>
  <r>
    <s v="ORD02884"/>
    <s v="CUST0282"/>
    <s v="PRD0438"/>
    <n v="8"/>
    <s v="Customer Not Found"/>
    <x v="7"/>
    <x v="24"/>
    <x v="5"/>
    <s v="Price Missing"/>
    <n v="0"/>
  </r>
  <r>
    <s v="ORD02885"/>
    <s v="CUST0012"/>
    <s v="PRD0259"/>
    <n v="3"/>
    <s v="Customer Not Found"/>
    <x v="7"/>
    <x v="24"/>
    <x v="5"/>
    <s v="Price Missing"/>
    <n v="0"/>
  </r>
  <r>
    <s v="ORD02886"/>
    <s v="CUST0243"/>
    <s v="PRD0473"/>
    <n v="6"/>
    <s v="Customer Not Found"/>
    <x v="7"/>
    <x v="24"/>
    <x v="5"/>
    <s v="Price Missing"/>
    <n v="0"/>
  </r>
  <r>
    <s v="ORD02887"/>
    <s v="CUST0776"/>
    <s v="PRD0112"/>
    <n v="5"/>
    <s v="Customer Not Found"/>
    <x v="7"/>
    <x v="24"/>
    <x v="5"/>
    <s v="Price Missing"/>
    <n v="0"/>
  </r>
  <r>
    <s v="ORD02888"/>
    <s v="CUST0002"/>
    <s v="PRD0499"/>
    <n v="7"/>
    <s v="Customer Not Found"/>
    <x v="7"/>
    <x v="24"/>
    <x v="5"/>
    <s v="Price Missing"/>
    <n v="0"/>
  </r>
  <r>
    <s v="ORD02889"/>
    <s v="CUST0223"/>
    <s v="PRD0446"/>
    <n v="2"/>
    <s v="Customer Not Found"/>
    <x v="7"/>
    <x v="24"/>
    <x v="5"/>
    <s v="Price Missing"/>
    <n v="0"/>
  </r>
  <r>
    <s v="ORD02890"/>
    <s v="CUST0379"/>
    <s v="PRD0098"/>
    <n v="3"/>
    <s v="Customer Not Found"/>
    <x v="7"/>
    <x v="24"/>
    <x v="5"/>
    <s v="Price Missing"/>
    <n v="0"/>
  </r>
  <r>
    <s v="ORD02891"/>
    <s v="CUST0813"/>
    <s v="PRD0031"/>
    <n v="1"/>
    <s v="Customer Not Found"/>
    <x v="7"/>
    <x v="24"/>
    <x v="5"/>
    <s v="Price Missing"/>
    <n v="0"/>
  </r>
  <r>
    <s v="ORD02892"/>
    <s v="CUST0068"/>
    <s v="PRD0363"/>
    <n v="8"/>
    <s v="Customer Not Found"/>
    <x v="7"/>
    <x v="24"/>
    <x v="5"/>
    <s v="Price Missing"/>
    <n v="0"/>
  </r>
  <r>
    <s v="ORD02893"/>
    <s v="CUST0076"/>
    <s v="PRD0018"/>
    <n v="2"/>
    <s v="Customer Not Found"/>
    <x v="7"/>
    <x v="24"/>
    <x v="5"/>
    <s v="Price Missing"/>
    <n v="0"/>
  </r>
  <r>
    <s v="ORD02894"/>
    <s v="CUST0251"/>
    <s v="PRD0121"/>
    <n v="9"/>
    <s v="Customer Not Found"/>
    <x v="7"/>
    <x v="24"/>
    <x v="5"/>
    <s v="Price Missing"/>
    <n v="0"/>
  </r>
  <r>
    <s v="ORD02895"/>
    <s v="CUST0296"/>
    <s v="PRD0084"/>
    <n v="4"/>
    <s v="Customer Not Found"/>
    <x v="7"/>
    <x v="24"/>
    <x v="5"/>
    <s v="Price Missing"/>
    <n v="0"/>
  </r>
  <r>
    <s v="ORD02896"/>
    <s v="CUST0667"/>
    <s v="PRD0108"/>
    <n v="7"/>
    <s v="Customer Not Found"/>
    <x v="7"/>
    <x v="24"/>
    <x v="5"/>
    <s v="Price Missing"/>
    <n v="0"/>
  </r>
  <r>
    <s v="ORD02897"/>
    <s v="CUST0729"/>
    <s v="PRD0347"/>
    <n v="9"/>
    <s v="Customer Not Found"/>
    <x v="7"/>
    <x v="24"/>
    <x v="5"/>
    <s v="Price Missing"/>
    <n v="0"/>
  </r>
  <r>
    <s v="ORD02898"/>
    <s v="CUST0523"/>
    <s v="PRD0170"/>
    <n v="2"/>
    <s v="Customer Not Found"/>
    <x v="7"/>
    <x v="24"/>
    <x v="5"/>
    <s v="Price Missing"/>
    <n v="0"/>
  </r>
  <r>
    <s v="ORD02899"/>
    <s v="CUST0198"/>
    <s v="PRD0081"/>
    <n v="2"/>
    <s v="Customer Not Found"/>
    <x v="7"/>
    <x v="24"/>
    <x v="5"/>
    <s v="Price Missing"/>
    <n v="0"/>
  </r>
  <r>
    <s v="ORD02900"/>
    <s v="CUST0231"/>
    <s v="PRD0451"/>
    <n v="3"/>
    <s v="Customer Not Found"/>
    <x v="7"/>
    <x v="24"/>
    <x v="5"/>
    <s v="Price Missing"/>
    <n v="0"/>
  </r>
  <r>
    <s v="ORD02901"/>
    <s v="CUST0123"/>
    <s v="PRD0350"/>
    <n v="4"/>
    <s v="Customer Not Found"/>
    <x v="7"/>
    <x v="24"/>
    <x v="5"/>
    <s v="Price Missing"/>
    <n v="0"/>
  </r>
  <r>
    <s v="ORD02902"/>
    <s v="CUST0463"/>
    <s v="PRD0366"/>
    <n v="5"/>
    <s v="Customer Not Found"/>
    <x v="7"/>
    <x v="24"/>
    <x v="5"/>
    <s v="Price Missing"/>
    <n v="0"/>
  </r>
  <r>
    <s v="ORD02903"/>
    <s v="CUST0500"/>
    <s v="PRD0320"/>
    <n v="2"/>
    <s v="Customer Not Found"/>
    <x v="7"/>
    <x v="24"/>
    <x v="5"/>
    <s v="Price Missing"/>
    <n v="0"/>
  </r>
  <r>
    <s v="ORD02904"/>
    <s v="CUST0017"/>
    <s v="PRD0125"/>
    <n v="9"/>
    <s v="Customer Not Found"/>
    <x v="7"/>
    <x v="24"/>
    <x v="5"/>
    <s v="Price Missing"/>
    <n v="0"/>
  </r>
  <r>
    <s v="ORD02905"/>
    <s v="CUST0086"/>
    <s v="PRD0268"/>
    <n v="6"/>
    <s v="Customer Not Found"/>
    <x v="7"/>
    <x v="24"/>
    <x v="5"/>
    <s v="Price Missing"/>
    <n v="0"/>
  </r>
  <r>
    <s v="ORD02906"/>
    <s v="CUST0503"/>
    <s v="PRD0488"/>
    <n v="5"/>
    <s v="Customer Not Found"/>
    <x v="7"/>
    <x v="24"/>
    <x v="5"/>
    <s v="Price Missing"/>
    <n v="0"/>
  </r>
  <r>
    <s v="ORD02907"/>
    <s v="CUST0747"/>
    <s v="PRD0309"/>
    <n v="7"/>
    <s v="Customer Not Found"/>
    <x v="7"/>
    <x v="24"/>
    <x v="5"/>
    <s v="Price Missing"/>
    <n v="0"/>
  </r>
  <r>
    <s v="ORD02908"/>
    <s v="CUST0292"/>
    <s v="PRD0471"/>
    <n v="9"/>
    <s v="Customer Not Found"/>
    <x v="7"/>
    <x v="24"/>
    <x v="5"/>
    <s v="Price Missing"/>
    <n v="0"/>
  </r>
  <r>
    <s v="ORD02909"/>
    <s v="CUST0745"/>
    <s v="PRD0274"/>
    <n v="5"/>
    <s v="Customer Not Found"/>
    <x v="7"/>
    <x v="24"/>
    <x v="5"/>
    <s v="Price Missing"/>
    <n v="0"/>
  </r>
  <r>
    <s v="ORD02910"/>
    <s v="CUST0272"/>
    <s v="PRD0048"/>
    <n v="9"/>
    <s v="Customer Not Found"/>
    <x v="7"/>
    <x v="24"/>
    <x v="5"/>
    <s v="Price Missing"/>
    <n v="0"/>
  </r>
  <r>
    <s v="ORD02911"/>
    <s v="CUST0375"/>
    <s v="PRD0393"/>
    <n v="6"/>
    <s v="Customer Not Found"/>
    <x v="7"/>
    <x v="24"/>
    <x v="5"/>
    <s v="Price Missing"/>
    <n v="0"/>
  </r>
  <r>
    <s v="ORD02912"/>
    <s v="CUST0288"/>
    <s v="PRD0247"/>
    <n v="2"/>
    <s v="Customer Not Found"/>
    <x v="7"/>
    <x v="24"/>
    <x v="5"/>
    <s v="Price Missing"/>
    <n v="0"/>
  </r>
  <r>
    <s v="ORD02913"/>
    <s v="CUST0051"/>
    <s v="PRD0382"/>
    <n v="7"/>
    <s v="Customer Not Found"/>
    <x v="7"/>
    <x v="24"/>
    <x v="5"/>
    <s v="Price Missing"/>
    <n v="0"/>
  </r>
  <r>
    <s v="ORD02914"/>
    <s v="CUST0062"/>
    <s v="PRD0288"/>
    <n v="5"/>
    <s v="Customer Not Found"/>
    <x v="7"/>
    <x v="24"/>
    <x v="5"/>
    <s v="Price Missing"/>
    <n v="0"/>
  </r>
  <r>
    <s v="ORD02915"/>
    <s v="CUST0586"/>
    <s v="PRD0429"/>
    <n v="3"/>
    <s v="Customer Not Found"/>
    <x v="7"/>
    <x v="24"/>
    <x v="5"/>
    <s v="Price Missing"/>
    <n v="0"/>
  </r>
  <r>
    <s v="ORD02916"/>
    <s v="CUST0383"/>
    <s v="PRD0083"/>
    <n v="9"/>
    <s v="Customer Not Found"/>
    <x v="7"/>
    <x v="24"/>
    <x v="5"/>
    <s v="Price Missing"/>
    <n v="0"/>
  </r>
  <r>
    <s v="ORD02917"/>
    <s v="CUST0556"/>
    <s v="PRD0351"/>
    <n v="3"/>
    <s v="Customer Not Found"/>
    <x v="7"/>
    <x v="24"/>
    <x v="5"/>
    <s v="Price Missing"/>
    <n v="0"/>
  </r>
  <r>
    <s v="ORD02918"/>
    <s v="CUST0583"/>
    <s v="PRD0152"/>
    <n v="5"/>
    <s v="Customer Not Found"/>
    <x v="7"/>
    <x v="24"/>
    <x v="5"/>
    <s v="Price Missing"/>
    <n v="0"/>
  </r>
  <r>
    <s v="ORD02919"/>
    <s v="CUST0822"/>
    <s v="PRD0335"/>
    <n v="4"/>
    <s v="Customer Not Found"/>
    <x v="7"/>
    <x v="24"/>
    <x v="5"/>
    <s v="Price Missing"/>
    <n v="0"/>
  </r>
  <r>
    <s v="ORD02920"/>
    <s v="CUST0309"/>
    <s v="PRD0263"/>
    <n v="3"/>
    <s v="Customer Not Found"/>
    <x v="7"/>
    <x v="24"/>
    <x v="5"/>
    <s v="Price Missing"/>
    <n v="0"/>
  </r>
  <r>
    <s v="ORD02921"/>
    <s v="CUST0324"/>
    <s v="PRD0234"/>
    <n v="3"/>
    <s v="Customer Not Found"/>
    <x v="7"/>
    <x v="24"/>
    <x v="5"/>
    <s v="Price Missing"/>
    <n v="0"/>
  </r>
  <r>
    <s v="ORD02922"/>
    <s v="CUST0566"/>
    <s v="PRD0295"/>
    <n v="1"/>
    <s v="Customer Not Found"/>
    <x v="7"/>
    <x v="24"/>
    <x v="5"/>
    <s v="Price Missing"/>
    <n v="0"/>
  </r>
  <r>
    <s v="ORD02923"/>
    <s v="CUST0853"/>
    <s v="PRD0425"/>
    <n v="4"/>
    <s v="Customer Not Found"/>
    <x v="7"/>
    <x v="24"/>
    <x v="5"/>
    <s v="Price Missing"/>
    <n v="0"/>
  </r>
  <r>
    <s v="ORD02924"/>
    <s v="CUST0099"/>
    <s v="PRD0192"/>
    <n v="2"/>
    <s v="Customer Not Found"/>
    <x v="7"/>
    <x v="24"/>
    <x v="5"/>
    <s v="Price Missing"/>
    <n v="0"/>
  </r>
  <r>
    <s v="ORD02925"/>
    <s v="CUST0228"/>
    <s v="PRD0425"/>
    <n v="3"/>
    <s v="Customer Not Found"/>
    <x v="7"/>
    <x v="24"/>
    <x v="5"/>
    <s v="Price Missing"/>
    <n v="0"/>
  </r>
  <r>
    <s v="ORD02926"/>
    <s v="CUST0367"/>
    <s v="PRD0020"/>
    <n v="8"/>
    <s v="Customer Not Found"/>
    <x v="7"/>
    <x v="24"/>
    <x v="5"/>
    <s v="Price Missing"/>
    <n v="0"/>
  </r>
  <r>
    <s v="ORD02927"/>
    <s v="CUST0845"/>
    <s v="PRD0106"/>
    <n v="6"/>
    <s v="Customer Not Found"/>
    <x v="7"/>
    <x v="24"/>
    <x v="5"/>
    <s v="Price Missing"/>
    <n v="0"/>
  </r>
  <r>
    <s v="ORD02928"/>
    <s v="CUST0224"/>
    <s v="PRD0002"/>
    <n v="4"/>
    <s v="Customer Not Found"/>
    <x v="7"/>
    <x v="24"/>
    <x v="5"/>
    <s v="Price Missing"/>
    <n v="0"/>
  </r>
  <r>
    <s v="ORD02929"/>
    <s v="CUST0684"/>
    <s v="PRD0016"/>
    <n v="10"/>
    <s v="Customer Not Found"/>
    <x v="7"/>
    <x v="24"/>
    <x v="5"/>
    <s v="Price Missing"/>
    <n v="0"/>
  </r>
  <r>
    <s v="ORD02930"/>
    <s v="CUST0506"/>
    <s v="PRD0169"/>
    <n v="2"/>
    <s v="Customer Not Found"/>
    <x v="7"/>
    <x v="24"/>
    <x v="5"/>
    <s v="Price Missing"/>
    <n v="0"/>
  </r>
  <r>
    <s v="ORD02931"/>
    <s v="CUST0182"/>
    <s v="PRD0487"/>
    <n v="4"/>
    <s v="Customer Not Found"/>
    <x v="7"/>
    <x v="24"/>
    <x v="5"/>
    <s v="Price Missing"/>
    <n v="0"/>
  </r>
  <r>
    <s v="ORD02932"/>
    <s v="CUST0115"/>
    <s v="PRD0154"/>
    <n v="1"/>
    <s v="Customer Not Found"/>
    <x v="7"/>
    <x v="24"/>
    <x v="5"/>
    <s v="Price Missing"/>
    <n v="0"/>
  </r>
  <r>
    <s v="ORD02933"/>
    <s v="CUST0273"/>
    <s v="PRD0121"/>
    <n v="5"/>
    <s v="Customer Not Found"/>
    <x v="7"/>
    <x v="24"/>
    <x v="5"/>
    <s v="Price Missing"/>
    <n v="0"/>
  </r>
  <r>
    <s v="ORD02934"/>
    <s v="CUST0927"/>
    <s v="PRD0231"/>
    <n v="7"/>
    <s v="Customer Not Found"/>
    <x v="7"/>
    <x v="24"/>
    <x v="5"/>
    <s v="Price Missing"/>
    <n v="0"/>
  </r>
  <r>
    <s v="ORD02935"/>
    <s v="CUST0938"/>
    <s v="PRD0314"/>
    <n v="1"/>
    <s v="Customer Not Found"/>
    <x v="7"/>
    <x v="24"/>
    <x v="5"/>
    <s v="Price Missing"/>
    <n v="0"/>
  </r>
  <r>
    <s v="ORD02936"/>
    <s v="CUST0789"/>
    <s v="PRD0170"/>
    <n v="7"/>
    <s v="Customer Not Found"/>
    <x v="7"/>
    <x v="24"/>
    <x v="5"/>
    <s v="Price Missing"/>
    <n v="0"/>
  </r>
  <r>
    <s v="ORD02937"/>
    <s v="CUST0856"/>
    <s v="PRD0317"/>
    <n v="3"/>
    <s v="Customer Not Found"/>
    <x v="7"/>
    <x v="24"/>
    <x v="5"/>
    <s v="Price Missing"/>
    <n v="0"/>
  </r>
  <r>
    <s v="ORD02938"/>
    <s v="CUST0845"/>
    <s v="PRD0275"/>
    <n v="8"/>
    <s v="Customer Not Found"/>
    <x v="7"/>
    <x v="24"/>
    <x v="5"/>
    <s v="Price Missing"/>
    <n v="0"/>
  </r>
  <r>
    <s v="ORD02939"/>
    <s v="CUST0502"/>
    <s v="PRD0230"/>
    <n v="2"/>
    <s v="Customer Not Found"/>
    <x v="7"/>
    <x v="24"/>
    <x v="5"/>
    <s v="Price Missing"/>
    <n v="0"/>
  </r>
  <r>
    <s v="ORD02940"/>
    <s v="CUST0344"/>
    <s v="PRD0318"/>
    <n v="1"/>
    <s v="Customer Not Found"/>
    <x v="7"/>
    <x v="24"/>
    <x v="5"/>
    <s v="Price Missing"/>
    <n v="0"/>
  </r>
  <r>
    <s v="ORD02941"/>
    <s v="CUST0264"/>
    <s v="PRD0362"/>
    <n v="6"/>
    <s v="Customer Not Found"/>
    <x v="7"/>
    <x v="24"/>
    <x v="5"/>
    <s v="Price Missing"/>
    <n v="0"/>
  </r>
  <r>
    <s v="ORD02942"/>
    <s v="CUST0907"/>
    <s v="PRD0146"/>
    <n v="5"/>
    <s v="Customer Not Found"/>
    <x v="7"/>
    <x v="24"/>
    <x v="5"/>
    <s v="Price Missing"/>
    <n v="0"/>
  </r>
  <r>
    <s v="ORD02943"/>
    <s v="CUST0199"/>
    <s v="PRD0321"/>
    <n v="2"/>
    <s v="Customer Not Found"/>
    <x v="7"/>
    <x v="24"/>
    <x v="5"/>
    <s v="Price Missing"/>
    <n v="0"/>
  </r>
  <r>
    <s v="ORD02944"/>
    <s v="CUST0791"/>
    <s v="PRD0112"/>
    <n v="5"/>
    <s v="Customer Not Found"/>
    <x v="7"/>
    <x v="24"/>
    <x v="5"/>
    <s v="Price Missing"/>
    <n v="0"/>
  </r>
  <r>
    <s v="ORD02945"/>
    <s v="CUST0763"/>
    <s v="PRD0094"/>
    <n v="7"/>
    <s v="Customer Not Found"/>
    <x v="7"/>
    <x v="24"/>
    <x v="5"/>
    <s v="Price Missing"/>
    <n v="0"/>
  </r>
  <r>
    <s v="ORD02946"/>
    <s v="CUST0683"/>
    <s v="PRD0238"/>
    <n v="9"/>
    <s v="Customer Not Found"/>
    <x v="7"/>
    <x v="24"/>
    <x v="5"/>
    <s v="Price Missing"/>
    <n v="0"/>
  </r>
  <r>
    <s v="ORD02947"/>
    <s v="CUST0287"/>
    <s v="PRD0011"/>
    <n v="5"/>
    <s v="Customer Not Found"/>
    <x v="7"/>
    <x v="24"/>
    <x v="5"/>
    <s v="Price Missing"/>
    <n v="0"/>
  </r>
  <r>
    <s v="ORD02948"/>
    <s v="CUST0723"/>
    <s v="PRD0065"/>
    <n v="3"/>
    <s v="Customer Not Found"/>
    <x v="7"/>
    <x v="24"/>
    <x v="5"/>
    <s v="Price Missing"/>
    <n v="0"/>
  </r>
  <r>
    <s v="ORD02949"/>
    <s v="CUST0212"/>
    <s v="PRD0422"/>
    <n v="6"/>
    <s v="Customer Not Found"/>
    <x v="7"/>
    <x v="24"/>
    <x v="5"/>
    <s v="Price Missing"/>
    <n v="0"/>
  </r>
  <r>
    <s v="ORD02950"/>
    <s v="CUST0341"/>
    <s v="PRD0382"/>
    <n v="8"/>
    <s v="Customer Not Found"/>
    <x v="7"/>
    <x v="24"/>
    <x v="5"/>
    <s v="Price Missing"/>
    <n v="0"/>
  </r>
  <r>
    <s v="ORD02951"/>
    <s v="CUST0182"/>
    <s v="PRD0199"/>
    <n v="7"/>
    <s v="Customer Not Found"/>
    <x v="7"/>
    <x v="24"/>
    <x v="5"/>
    <s v="Price Missing"/>
    <n v="0"/>
  </r>
  <r>
    <s v="ORD02952"/>
    <s v="CUST0825"/>
    <s v="PRD0187"/>
    <n v="3"/>
    <s v="Customer Not Found"/>
    <x v="7"/>
    <x v="24"/>
    <x v="5"/>
    <s v="Price Missing"/>
    <n v="0"/>
  </r>
  <r>
    <s v="ORD02953"/>
    <s v="CUST0222"/>
    <s v="PRD0448"/>
    <n v="2"/>
    <s v="Customer Not Found"/>
    <x v="7"/>
    <x v="24"/>
    <x v="5"/>
    <s v="Price Missing"/>
    <n v="0"/>
  </r>
  <r>
    <s v="ORD02954"/>
    <s v="CUST0665"/>
    <s v="PRD0340"/>
    <n v="6"/>
    <s v="Customer Not Found"/>
    <x v="7"/>
    <x v="24"/>
    <x v="5"/>
    <s v="Price Missing"/>
    <n v="0"/>
  </r>
  <r>
    <s v="ORD02955"/>
    <s v="CUST0395"/>
    <s v="PRD0407"/>
    <n v="3"/>
    <s v="Customer Not Found"/>
    <x v="7"/>
    <x v="24"/>
    <x v="5"/>
    <s v="Price Missing"/>
    <n v="0"/>
  </r>
  <r>
    <s v="ORD02956"/>
    <s v="CUST0353"/>
    <s v="PRD0446"/>
    <n v="2"/>
    <s v="Customer Not Found"/>
    <x v="7"/>
    <x v="24"/>
    <x v="5"/>
    <s v="Price Missing"/>
    <n v="0"/>
  </r>
  <r>
    <s v="ORD02957"/>
    <s v="CUST0035"/>
    <s v="PRD0270"/>
    <n v="2"/>
    <s v="Customer Not Found"/>
    <x v="7"/>
    <x v="24"/>
    <x v="5"/>
    <s v="Price Missing"/>
    <n v="0"/>
  </r>
  <r>
    <s v="ORD02958"/>
    <s v="CUST0536"/>
    <s v="PRD0330"/>
    <n v="4"/>
    <s v="Customer Not Found"/>
    <x v="7"/>
    <x v="24"/>
    <x v="5"/>
    <s v="Price Missing"/>
    <n v="0"/>
  </r>
  <r>
    <s v="ORD02959"/>
    <s v="CUST0460"/>
    <s v="PRD0171"/>
    <n v="9"/>
    <s v="Customer Not Found"/>
    <x v="7"/>
    <x v="24"/>
    <x v="5"/>
    <s v="Price Missing"/>
    <n v="0"/>
  </r>
  <r>
    <s v="ORD02960"/>
    <s v="CUST0880"/>
    <s v="PRD0284"/>
    <n v="4"/>
    <s v="Customer Not Found"/>
    <x v="7"/>
    <x v="24"/>
    <x v="5"/>
    <s v="Price Missing"/>
    <n v="0"/>
  </r>
  <r>
    <s v="ORD02961"/>
    <s v="CUST0172"/>
    <s v="PRD0500"/>
    <n v="5"/>
    <s v="Customer Not Found"/>
    <x v="7"/>
    <x v="24"/>
    <x v="5"/>
    <s v="Price Missing"/>
    <n v="0"/>
  </r>
  <r>
    <s v="ORD02962"/>
    <s v="CUST0587"/>
    <s v="PRD0230"/>
    <n v="5"/>
    <s v="Customer Not Found"/>
    <x v="7"/>
    <x v="24"/>
    <x v="5"/>
    <s v="Price Missing"/>
    <n v="0"/>
  </r>
  <r>
    <s v="ORD02963"/>
    <s v="CUST0845"/>
    <s v="PRD0444"/>
    <n v="2"/>
    <s v="Customer Not Found"/>
    <x v="7"/>
    <x v="24"/>
    <x v="5"/>
    <s v="Price Missing"/>
    <n v="0"/>
  </r>
  <r>
    <s v="ORD02964"/>
    <s v="CUST0181"/>
    <s v="PRD0349"/>
    <n v="7"/>
    <s v="Customer Not Found"/>
    <x v="7"/>
    <x v="24"/>
    <x v="5"/>
    <s v="Price Missing"/>
    <n v="0"/>
  </r>
  <r>
    <s v="ORD02965"/>
    <s v="CUST0188"/>
    <s v="PRD0216"/>
    <n v="10"/>
    <s v="Customer Not Found"/>
    <x v="7"/>
    <x v="24"/>
    <x v="5"/>
    <s v="Price Missing"/>
    <n v="0"/>
  </r>
  <r>
    <s v="ORD02966"/>
    <s v="CUST0670"/>
    <s v="PRD0491"/>
    <n v="3"/>
    <s v="Customer Not Found"/>
    <x v="7"/>
    <x v="24"/>
    <x v="5"/>
    <s v="Price Missing"/>
    <n v="0"/>
  </r>
  <r>
    <s v="ORD02967"/>
    <s v="CUST0818"/>
    <s v="PRD0141"/>
    <n v="4"/>
    <s v="Customer Not Found"/>
    <x v="7"/>
    <x v="24"/>
    <x v="5"/>
    <s v="Price Missing"/>
    <n v="0"/>
  </r>
  <r>
    <s v="ORD02968"/>
    <s v="CUST0612"/>
    <s v="PRD0340"/>
    <n v="4"/>
    <s v="Customer Not Found"/>
    <x v="7"/>
    <x v="24"/>
    <x v="5"/>
    <s v="Price Missing"/>
    <n v="0"/>
  </r>
  <r>
    <s v="ORD02969"/>
    <s v="CUST0009"/>
    <s v="PRD0266"/>
    <n v="8"/>
    <s v="Customer Not Found"/>
    <x v="7"/>
    <x v="24"/>
    <x v="5"/>
    <s v="Price Missing"/>
    <n v="0"/>
  </r>
  <r>
    <s v="ORD02970"/>
    <s v="CUST0067"/>
    <s v="PRD0415"/>
    <n v="5"/>
    <s v="Customer Not Found"/>
    <x v="7"/>
    <x v="24"/>
    <x v="5"/>
    <s v="Price Missing"/>
    <n v="0"/>
  </r>
  <r>
    <s v="ORD02971"/>
    <s v="CUST0102"/>
    <s v="PRD0109"/>
    <n v="9"/>
    <s v="Customer Not Found"/>
    <x v="7"/>
    <x v="24"/>
    <x v="5"/>
    <s v="Price Missing"/>
    <n v="0"/>
  </r>
  <r>
    <s v="ORD02972"/>
    <s v="CUST0262"/>
    <s v="PRD0132"/>
    <n v="3"/>
    <s v="Customer Not Found"/>
    <x v="7"/>
    <x v="24"/>
    <x v="5"/>
    <s v="Price Missing"/>
    <n v="0"/>
  </r>
  <r>
    <s v="ORD02973"/>
    <s v="CUST0505"/>
    <s v="PRD0325"/>
    <n v="10"/>
    <s v="Customer Not Found"/>
    <x v="7"/>
    <x v="24"/>
    <x v="5"/>
    <s v="Price Missing"/>
    <n v="0"/>
  </r>
  <r>
    <s v="ORD02974"/>
    <s v="CUST0594"/>
    <s v="PRD0062"/>
    <n v="10"/>
    <s v="Customer Not Found"/>
    <x v="7"/>
    <x v="24"/>
    <x v="5"/>
    <s v="Price Missing"/>
    <n v="0"/>
  </r>
  <r>
    <s v="ORD02975"/>
    <s v="CUST0131"/>
    <s v="PRD0247"/>
    <n v="5"/>
    <s v="Customer Not Found"/>
    <x v="7"/>
    <x v="24"/>
    <x v="5"/>
    <s v="Price Missing"/>
    <n v="0"/>
  </r>
  <r>
    <s v="ORD02976"/>
    <s v="CUST0584"/>
    <s v="PRD0174"/>
    <n v="9"/>
    <s v="Customer Not Found"/>
    <x v="7"/>
    <x v="24"/>
    <x v="5"/>
    <s v="Price Missing"/>
    <n v="0"/>
  </r>
  <r>
    <s v="ORD02977"/>
    <s v="CUST0293"/>
    <s v="PRD0413"/>
    <n v="4"/>
    <s v="Customer Not Found"/>
    <x v="7"/>
    <x v="24"/>
    <x v="5"/>
    <s v="Price Missing"/>
    <n v="0"/>
  </r>
  <r>
    <s v="ORD02978"/>
    <s v="CUST0849"/>
    <s v="PRD0057"/>
    <n v="7"/>
    <s v="Customer Not Found"/>
    <x v="7"/>
    <x v="24"/>
    <x v="5"/>
    <s v="Price Missing"/>
    <n v="0"/>
  </r>
  <r>
    <s v="ORD02979"/>
    <s v="CUST0709"/>
    <s v="PRD0067"/>
    <n v="6"/>
    <s v="Customer Not Found"/>
    <x v="7"/>
    <x v="24"/>
    <x v="5"/>
    <s v="Price Missing"/>
    <n v="0"/>
  </r>
  <r>
    <s v="ORD02980"/>
    <s v="CUST0408"/>
    <s v="PRD0339"/>
    <n v="8"/>
    <s v="Customer Not Found"/>
    <x v="7"/>
    <x v="24"/>
    <x v="5"/>
    <s v="Price Missing"/>
    <n v="0"/>
  </r>
  <r>
    <s v="ORD02981"/>
    <s v="CUST0577"/>
    <s v="PRD0233"/>
    <n v="9"/>
    <s v="Customer Not Found"/>
    <x v="7"/>
    <x v="24"/>
    <x v="5"/>
    <s v="Price Missing"/>
    <n v="0"/>
  </r>
  <r>
    <s v="ORD02982"/>
    <s v="CUST0189"/>
    <s v="PRD0450"/>
    <n v="6"/>
    <s v="Customer Not Found"/>
    <x v="7"/>
    <x v="24"/>
    <x v="5"/>
    <s v="Price Missing"/>
    <n v="0"/>
  </r>
  <r>
    <s v="ORD02983"/>
    <s v="CUST0955"/>
    <s v="PRD0030"/>
    <n v="4"/>
    <s v="Customer Not Found"/>
    <x v="7"/>
    <x v="24"/>
    <x v="5"/>
    <s v="Price Missing"/>
    <n v="0"/>
  </r>
  <r>
    <s v="ORD02984"/>
    <s v="CUST0545"/>
    <s v="PRD0311"/>
    <n v="5"/>
    <s v="Customer Not Found"/>
    <x v="7"/>
    <x v="24"/>
    <x v="5"/>
    <s v="Price Missing"/>
    <n v="0"/>
  </r>
  <r>
    <s v="ORD02985"/>
    <s v="CUST0113"/>
    <s v="PRD0329"/>
    <n v="9"/>
    <s v="Customer Not Found"/>
    <x v="7"/>
    <x v="24"/>
    <x v="5"/>
    <s v="Price Missing"/>
    <n v="0"/>
  </r>
  <r>
    <s v="ORD02986"/>
    <s v="CUST0477"/>
    <s v="PRD0483"/>
    <n v="8"/>
    <s v="Customer Not Found"/>
    <x v="7"/>
    <x v="24"/>
    <x v="5"/>
    <s v="Price Missing"/>
    <n v="0"/>
  </r>
  <r>
    <s v="ORD02987"/>
    <s v="CUST0038"/>
    <s v="PRD0273"/>
    <n v="1"/>
    <s v="Customer Not Found"/>
    <x v="7"/>
    <x v="24"/>
    <x v="5"/>
    <s v="Price Missing"/>
    <n v="0"/>
  </r>
  <r>
    <s v="ORD02988"/>
    <s v="CUST0241"/>
    <s v="PRD0225"/>
    <n v="10"/>
    <s v="Customer Not Found"/>
    <x v="7"/>
    <x v="24"/>
    <x v="5"/>
    <s v="Price Missing"/>
    <n v="0"/>
  </r>
  <r>
    <s v="ORD02989"/>
    <s v="CUST0262"/>
    <s v="PRD0464"/>
    <n v="5"/>
    <s v="Customer Not Found"/>
    <x v="7"/>
    <x v="24"/>
    <x v="5"/>
    <s v="Price Missing"/>
    <n v="0"/>
  </r>
  <r>
    <s v="ORD02990"/>
    <s v="CUST0221"/>
    <s v="PRD0351"/>
    <n v="3"/>
    <s v="Customer Not Found"/>
    <x v="7"/>
    <x v="24"/>
    <x v="5"/>
    <s v="Price Missing"/>
    <n v="0"/>
  </r>
  <r>
    <s v="ORD02991"/>
    <s v="CUST0448"/>
    <s v="PRD0425"/>
    <n v="2"/>
    <s v="Customer Not Found"/>
    <x v="7"/>
    <x v="24"/>
    <x v="5"/>
    <s v="Price Missing"/>
    <n v="0"/>
  </r>
  <r>
    <s v="ORD02992"/>
    <s v="CUST0429"/>
    <s v="PRD0196"/>
    <n v="3"/>
    <s v="Customer Not Found"/>
    <x v="7"/>
    <x v="24"/>
    <x v="5"/>
    <s v="Price Missing"/>
    <n v="0"/>
  </r>
  <r>
    <s v="ORD02993"/>
    <s v="CUST0896"/>
    <s v="PRD0450"/>
    <n v="5"/>
    <s v="Customer Not Found"/>
    <x v="7"/>
    <x v="24"/>
    <x v="5"/>
    <s v="Price Missing"/>
    <n v="0"/>
  </r>
  <r>
    <s v="ORD02994"/>
    <s v="CUST0396"/>
    <s v="PRD0014"/>
    <n v="4"/>
    <s v="Customer Not Found"/>
    <x v="7"/>
    <x v="24"/>
    <x v="5"/>
    <s v="Price Missing"/>
    <n v="0"/>
  </r>
  <r>
    <s v="ORD02995"/>
    <s v="CUST0268"/>
    <s v="PRD0349"/>
    <n v="3"/>
    <s v="Customer Not Found"/>
    <x v="7"/>
    <x v="24"/>
    <x v="5"/>
    <s v="Price Missing"/>
    <n v="0"/>
  </r>
  <r>
    <s v="ORD02996"/>
    <s v="CUST0843"/>
    <s v="PRD0270"/>
    <n v="8"/>
    <s v="Customer Not Found"/>
    <x v="7"/>
    <x v="24"/>
    <x v="5"/>
    <s v="Price Missing"/>
    <n v="0"/>
  </r>
  <r>
    <s v="ORD02997"/>
    <s v="CUST0408"/>
    <s v="PRD0443"/>
    <n v="6"/>
    <s v="Customer Not Found"/>
    <x v="7"/>
    <x v="24"/>
    <x v="5"/>
    <s v="Price Missing"/>
    <n v="0"/>
  </r>
  <r>
    <s v="ORD02998"/>
    <s v="CUST0810"/>
    <s v="PRD0049"/>
    <n v="10"/>
    <s v="Customer Not Found"/>
    <x v="7"/>
    <x v="24"/>
    <x v="5"/>
    <s v="Price Missing"/>
    <n v="0"/>
  </r>
  <r>
    <s v="ORD02999"/>
    <s v="CUST0429"/>
    <s v="PRD0314"/>
    <n v="10"/>
    <s v="Customer Not Found"/>
    <x v="7"/>
    <x v="24"/>
    <x v="5"/>
    <s v="Price Missing"/>
    <n v="0"/>
  </r>
  <r>
    <s v="ORD03000"/>
    <s v="CUST0374"/>
    <s v="PRD0068"/>
    <n v="6"/>
    <s v="Customer Not Found"/>
    <x v="7"/>
    <x v="24"/>
    <x v="5"/>
    <s v="Price Missing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5BD21-5A59-48C8-A50C-FA3A57FD93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:B11" firstHeaderRow="1" firstDataRow="1" firstDataCol="1"/>
  <pivotFields count="10">
    <pivotField showAll="0"/>
    <pivotField showAll="0"/>
    <pivotField showAll="0"/>
    <pivotField numFmtId="1" showAll="0"/>
    <pivotField showAll="0"/>
    <pivotField axis="axisRow"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</pivotFields>
  <rowFields count="1">
    <field x="5"/>
  </rowFields>
  <rowItems count="8">
    <i>
      <x/>
    </i>
    <i>
      <x v="2"/>
    </i>
    <i>
      <x v="6"/>
    </i>
    <i>
      <x v="3"/>
    </i>
    <i>
      <x v="4"/>
    </i>
    <i>
      <x v="7"/>
    </i>
    <i>
      <x v="5"/>
    </i>
    <i t="grand">
      <x/>
    </i>
  </rowItems>
  <colItems count="1">
    <i/>
  </colItems>
  <dataFields count="1">
    <dataField name="Revenue" fld="9" baseField="5" baseItem="0" numFmtId="166"/>
  </dataFields>
  <formats count="2">
    <format dxfId="11">
      <pivotArea dataOnly="0" labelOnly="1" outline="0" axis="axisValues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D6404-B104-4AE2-B6E2-81ED561E08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Category">
  <location ref="B17:J24" firstHeaderRow="1" firstDataRow="2" firstDataCol="1"/>
  <pivotFields count="10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Col" compact="0" outline="0"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axis="axisRow" compact="0" outline="0" showAll="0">
      <items count="7">
        <item h="1" x="5"/>
        <item x="2"/>
        <item x="0"/>
        <item x="3"/>
        <item x="1"/>
        <item x="4"/>
        <item t="default"/>
      </items>
    </pivotField>
    <pivotField compact="0" outline="0" showAll="0"/>
    <pivotField dataField="1" compact="0" numFmtId="164" outline="0"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8">
    <i>
      <x/>
    </i>
    <i>
      <x v="2"/>
    </i>
    <i>
      <x v="6"/>
    </i>
    <i>
      <x v="3"/>
    </i>
    <i>
      <x v="4"/>
    </i>
    <i>
      <x v="7"/>
    </i>
    <i>
      <x v="5"/>
    </i>
    <i t="grand">
      <x/>
    </i>
  </colItems>
  <dataFields count="1">
    <dataField name="Revenue" fld="9" showDataAs="percentOfCol" baseField="5" baseItem="0" numFmtId="10"/>
  </dataFields>
  <formats count="2"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3DBD3-4706-4A76-881B-1C64401A9B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rgory">
  <location ref="D4:E10" firstHeaderRow="1" firstDataRow="1" firstDataCol="1"/>
  <pivotFields count="10">
    <pivotField showAll="0"/>
    <pivotField showAll="0"/>
    <pivotField showAll="0"/>
    <pivotField numFmtId="1" showAll="0"/>
    <pivotField showAll="0"/>
    <pivotField showAll="0">
      <items count="9">
        <item x="5"/>
        <item h="1" x="7"/>
        <item x="6"/>
        <item x="0"/>
        <item x="4"/>
        <item x="2"/>
        <item x="3"/>
        <item x="1"/>
        <item t="default"/>
      </items>
    </pivotField>
    <pivotField showAll="0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axis="axisRow" showAll="0" sortType="descending">
      <items count="7">
        <item h="1" x="5"/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7"/>
  </rowFields>
  <rowItems count="6">
    <i>
      <x v="2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Revenue" fld="9" baseField="7" baseItem="2" numFmtId="166"/>
  </dataFields>
  <formats count="2">
    <format dxfId="15">
      <pivotArea dataOnly="0" labelOnly="1" outline="0" axis="axisValues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F910A-C611-43AF-9ECC-674E02605D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Performing Products ">
  <location ref="G3:H14" firstHeaderRow="1" firstDataRow="1" firstDataCol="1"/>
  <pivotFields count="10">
    <pivotField showAll="0"/>
    <pivotField showAll="0"/>
    <pivotField showAll="0"/>
    <pivotField numFmtId="1" showAll="0"/>
    <pivotField showAll="0"/>
    <pivotField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showAll="0"/>
    <pivotField showAll="0"/>
    <pivotField dataField="1" numFmtId="164" showAll="0"/>
  </pivotFields>
  <rowFields count="1">
    <field x="6"/>
  </rowFields>
  <rowItems count="11">
    <i>
      <x v="23"/>
    </i>
    <i>
      <x v="57"/>
    </i>
    <i>
      <x v="68"/>
    </i>
    <i>
      <x v="74"/>
    </i>
    <i>
      <x v="93"/>
    </i>
    <i>
      <x v="98"/>
    </i>
    <i>
      <x v="104"/>
    </i>
    <i>
      <x v="133"/>
    </i>
    <i>
      <x v="154"/>
    </i>
    <i>
      <x v="176"/>
    </i>
    <i t="grand">
      <x/>
    </i>
  </rowItems>
  <colItems count="1">
    <i/>
  </colItems>
  <dataFields count="1">
    <dataField name="Revenue" fld="9" baseField="6" baseItem="23" numFmtId="166"/>
  </dataFields>
  <formats count="2">
    <format dxfId="17">
      <pivotArea dataOnly="0" labelOnly="1" outline="0" axis="axisValues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D4D08-71A7-420F-B2F6-5DC4F33E9CC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Performing Products ">
  <location ref="H7:I18" firstHeaderRow="1" firstDataRow="1" firstDataCol="1"/>
  <pivotFields count="10">
    <pivotField showAll="0"/>
    <pivotField showAll="0"/>
    <pivotField showAll="0"/>
    <pivotField numFmtId="1" showAll="0"/>
    <pivotField showAll="0"/>
    <pivotField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showAll="0"/>
    <pivotField showAll="0"/>
    <pivotField dataField="1" numFmtId="164" showAll="0"/>
  </pivotFields>
  <rowFields count="1">
    <field x="6"/>
  </rowFields>
  <rowItems count="11">
    <i>
      <x v="23"/>
    </i>
    <i>
      <x v="57"/>
    </i>
    <i>
      <x v="68"/>
    </i>
    <i>
      <x v="74"/>
    </i>
    <i>
      <x v="93"/>
    </i>
    <i>
      <x v="98"/>
    </i>
    <i>
      <x v="104"/>
    </i>
    <i>
      <x v="133"/>
    </i>
    <i>
      <x v="154"/>
    </i>
    <i>
      <x v="176"/>
    </i>
    <i t="grand">
      <x/>
    </i>
  </rowItems>
  <colItems count="1">
    <i/>
  </colItems>
  <dataFields count="1">
    <dataField name="Revenue" fld="9" baseField="6" baseItem="23" numFmtId="166"/>
  </dataFields>
  <formats count="4">
    <format dxfId="2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1">
      <pivotArea field="6" type="button" dataOnly="0" labelOnly="1" outline="0" axis="axisRow" fieldPosition="0"/>
    </format>
    <format dxfId="0">
      <pivotArea field="6" type="button" dataOnly="0" labelOnly="1" outline="0" axis="axisRow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0">
              <x v="23"/>
              <x v="57"/>
              <x v="68"/>
              <x v="74"/>
              <x v="93"/>
              <x v="98"/>
              <x v="104"/>
              <x v="133"/>
              <x v="154"/>
              <x v="17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BD2A4-C498-4112-BF49-1CB0BB90B7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rgory">
  <location ref="H7:I13" firstHeaderRow="1" firstDataRow="1" firstDataCol="1"/>
  <pivotFields count="10">
    <pivotField showAll="0"/>
    <pivotField showAll="0"/>
    <pivotField showAll="0"/>
    <pivotField numFmtId="1" showAll="0"/>
    <pivotField showAll="0"/>
    <pivotField showAll="0">
      <items count="9">
        <item x="5"/>
        <item h="1" x="7"/>
        <item x="6"/>
        <item x="0"/>
        <item x="4"/>
        <item x="2"/>
        <item x="3"/>
        <item x="1"/>
        <item t="default"/>
      </items>
    </pivotField>
    <pivotField showAll="0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axis="axisRow" showAll="0" sortType="descending">
      <items count="7">
        <item h="1" x="5"/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7"/>
  </rowFields>
  <rowItems count="6">
    <i>
      <x v="2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Revenue" fld="9" baseField="7" baseItem="2" numFmtId="166"/>
  </dataFields>
  <formats count="2">
    <format dxfId="4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4A74C-99F9-426A-8B5D-05C5C2B029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H5:I13" firstHeaderRow="1" firstDataRow="1" firstDataCol="1"/>
  <pivotFields count="10">
    <pivotField showAll="0"/>
    <pivotField showAll="0"/>
    <pivotField showAll="0"/>
    <pivotField numFmtId="1" showAll="0"/>
    <pivotField showAll="0"/>
    <pivotField axis="axisRow"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</pivotFields>
  <rowFields count="1">
    <field x="5"/>
  </rowFields>
  <rowItems count="8">
    <i>
      <x/>
    </i>
    <i>
      <x v="2"/>
    </i>
    <i>
      <x v="6"/>
    </i>
    <i>
      <x v="3"/>
    </i>
    <i>
      <x v="4"/>
    </i>
    <i>
      <x v="7"/>
    </i>
    <i>
      <x v="5"/>
    </i>
    <i t="grand">
      <x/>
    </i>
  </rowItems>
  <colItems count="1">
    <i/>
  </colItems>
  <dataFields count="1">
    <dataField name="Revenue" fld="9" baseField="5" baseItem="0" numFmtId="166"/>
  </dataFields>
  <formats count="2">
    <format dxfId="6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">
              <x v="0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01D4C-8543-4D86-A94E-BA47F90A411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rowHeaderCaption="Category">
  <location ref="F5:N12" firstHeaderRow="1" firstDataRow="2" firstDataCol="1"/>
  <pivotFields count="10">
    <pivotField compact="0" showAll="0"/>
    <pivotField compact="0" showAll="0"/>
    <pivotField compact="0" showAll="0"/>
    <pivotField compact="0" numFmtId="1" showAll="0"/>
    <pivotField compact="0" showAll="0"/>
    <pivotField axis="axisCol" compact="0"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axis="axisRow" compact="0" showAll="0">
      <items count="7">
        <item h="1" x="5"/>
        <item x="2"/>
        <item x="0"/>
        <item x="3"/>
        <item x="1"/>
        <item x="4"/>
        <item t="default"/>
      </items>
    </pivotField>
    <pivotField compact="0" showAll="0"/>
    <pivotField dataField="1" compact="0" numFmtId="164"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8">
    <i>
      <x/>
    </i>
    <i>
      <x v="2"/>
    </i>
    <i>
      <x v="6"/>
    </i>
    <i>
      <x v="3"/>
    </i>
    <i>
      <x v="4"/>
    </i>
    <i>
      <x v="7"/>
    </i>
    <i>
      <x v="5"/>
    </i>
    <i t="grand">
      <x/>
    </i>
  </colItems>
  <dataFields count="1">
    <dataField name="Revenue" fld="9" showDataAs="percentOfCol" baseField="5" baseItem="0" numFmtId="1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331F0-CC20-41EA-8E0B-EAF8F058165D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op 10 Performing Products ">
  <location ref="G16:H27" firstHeaderRow="1" firstDataRow="1" firstDataCol="1"/>
  <pivotFields count="10">
    <pivotField showAll="0"/>
    <pivotField showAll="0"/>
    <pivotField showAll="0"/>
    <pivotField numFmtId="1" showAll="0"/>
    <pivotField showAll="0"/>
    <pivotField showAll="0" sortType="descending">
      <items count="9">
        <item x="5"/>
        <item h="1" x="7"/>
        <item x="6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>
      <items count="185">
        <item x="24"/>
        <item x="54"/>
        <item x="5"/>
        <item x="0"/>
        <item x="33"/>
        <item x="83"/>
        <item x="25"/>
        <item x="57"/>
        <item x="14"/>
        <item x="102"/>
        <item x="76"/>
        <item x="4"/>
        <item x="93"/>
        <item x="37"/>
        <item x="86"/>
        <item x="67"/>
        <item x="111"/>
        <item x="94"/>
        <item x="89"/>
        <item x="23"/>
        <item x="29"/>
        <item x="3"/>
        <item x="108"/>
        <item x="73"/>
        <item x="120"/>
        <item x="16"/>
        <item x="47"/>
        <item x="10"/>
        <item x="60"/>
        <item x="74"/>
        <item x="31"/>
        <item x="95"/>
        <item x="121"/>
        <item x="116"/>
        <item x="45"/>
        <item x="92"/>
        <item x="51"/>
        <item x="90"/>
        <item x="18"/>
        <item x="100"/>
        <item x="123"/>
        <item x="26"/>
        <item x="53"/>
        <item x="63"/>
        <item x="115"/>
        <item x="68"/>
        <item x="99"/>
        <item x="20"/>
        <item x="128"/>
        <item x="135"/>
        <item x="75"/>
        <item x="39"/>
        <item x="42"/>
        <item x="109"/>
        <item x="104"/>
        <item x="81"/>
        <item x="84"/>
        <item x="1"/>
        <item x="139"/>
        <item x="72"/>
        <item x="117"/>
        <item x="64"/>
        <item x="153"/>
        <item x="149"/>
        <item x="2"/>
        <item x="145"/>
        <item x="141"/>
        <item x="91"/>
        <item x="48"/>
        <item x="138"/>
        <item x="78"/>
        <item x="11"/>
        <item x="148"/>
        <item x="79"/>
        <item x="36"/>
        <item x="130"/>
        <item x="161"/>
        <item x="154"/>
        <item x="131"/>
        <item x="8"/>
        <item x="58"/>
        <item x="143"/>
        <item x="97"/>
        <item x="127"/>
        <item x="88"/>
        <item x="22"/>
        <item x="158"/>
        <item x="40"/>
        <item x="49"/>
        <item x="132"/>
        <item x="105"/>
        <item x="137"/>
        <item x="107"/>
        <item x="19"/>
        <item x="17"/>
        <item x="162"/>
        <item x="7"/>
        <item x="101"/>
        <item x="69"/>
        <item x="85"/>
        <item x="35"/>
        <item x="6"/>
        <item x="165"/>
        <item x="106"/>
        <item x="46"/>
        <item x="71"/>
        <item x="9"/>
        <item x="12"/>
        <item x="98"/>
        <item x="13"/>
        <item x="56"/>
        <item x="155"/>
        <item x="136"/>
        <item x="144"/>
        <item x="110"/>
        <item x="112"/>
        <item x="113"/>
        <item x="163"/>
        <item x="118"/>
        <item x="152"/>
        <item x="177"/>
        <item x="169"/>
        <item x="160"/>
        <item x="129"/>
        <item x="172"/>
        <item x="166"/>
        <item x="34"/>
        <item x="179"/>
        <item x="176"/>
        <item x="180"/>
        <item x="170"/>
        <item x="142"/>
        <item x="119"/>
        <item x="44"/>
        <item x="168"/>
        <item x="62"/>
        <item x="175"/>
        <item x="28"/>
        <item x="159"/>
        <item x="140"/>
        <item x="77"/>
        <item x="70"/>
        <item x="21"/>
        <item x="122"/>
        <item x="164"/>
        <item x="183"/>
        <item x="55"/>
        <item x="174"/>
        <item x="52"/>
        <item x="30"/>
        <item x="125"/>
        <item x="133"/>
        <item x="178"/>
        <item x="61"/>
        <item x="50"/>
        <item x="134"/>
        <item x="32"/>
        <item x="103"/>
        <item x="59"/>
        <item x="87"/>
        <item x="114"/>
        <item x="96"/>
        <item x="146"/>
        <item x="126"/>
        <item x="65"/>
        <item x="124"/>
        <item x="157"/>
        <item x="150"/>
        <item x="182"/>
        <item x="181"/>
        <item x="151"/>
        <item x="171"/>
        <item x="66"/>
        <item x="80"/>
        <item x="173"/>
        <item x="167"/>
        <item x="147"/>
        <item x="82"/>
        <item x="156"/>
        <item x="38"/>
        <item x="43"/>
        <item x="27"/>
        <item x="15"/>
        <item x="41"/>
        <item t="default"/>
      </items>
    </pivotField>
    <pivotField showAll="0"/>
    <pivotField showAll="0"/>
    <pivotField dataField="1" numFmtId="164" showAll="0"/>
  </pivotFields>
  <rowFields count="1">
    <field x="6"/>
  </rowFields>
  <rowItems count="11">
    <i>
      <x v="23"/>
    </i>
    <i>
      <x v="57"/>
    </i>
    <i>
      <x v="68"/>
    </i>
    <i>
      <x v="74"/>
    </i>
    <i>
      <x v="93"/>
    </i>
    <i>
      <x v="98"/>
    </i>
    <i>
      <x v="104"/>
    </i>
    <i>
      <x v="133"/>
    </i>
    <i>
      <x v="154"/>
    </i>
    <i>
      <x v="176"/>
    </i>
    <i t="grand">
      <x/>
    </i>
  </rowItems>
  <colItems count="1">
    <i/>
  </colItems>
  <dataFields count="1">
    <dataField name="Revenue" fld="9" baseField="6" baseItem="23" numFmtId="166"/>
  </dataFields>
  <formats count="2">
    <format dxfId="9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0">
              <x v="23"/>
              <x v="57"/>
              <x v="68"/>
              <x v="74"/>
              <x v="93"/>
              <x v="98"/>
              <x v="104"/>
              <x v="133"/>
              <x v="154"/>
              <x v="17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29513-6A78-4B3D-B89F-C6E44ED21569}" name="Customer_Table" displayName="Customer_Table" ref="A1:J3001" totalsRowShown="0" headerRowDxfId="29" dataDxfId="28">
  <autoFilter ref="A1:J3001" xr:uid="{00000000-0001-0000-0200-000000000000}"/>
  <tableColumns count="10">
    <tableColumn id="1" xr3:uid="{4572E562-0AE2-48F2-ABE0-129D97E94847}" name="OrderID" dataDxfId="27"/>
    <tableColumn id="2" xr3:uid="{4AC7E7BF-5607-475B-9361-81B394E7FF7F}" name="CustomerID" dataDxfId="26"/>
    <tableColumn id="3" xr3:uid="{903C2D94-504D-4A9A-B0A0-3FB4AD90D8D1}" name="ProductID" dataDxfId="25"/>
    <tableColumn id="4" xr3:uid="{172FC226-B266-4375-B688-EF2B8BBCC744}" name="Quantity" dataDxfId="24"/>
    <tableColumn id="5" xr3:uid="{E01130F9-EE73-4197-A006-53E0AFCE9B19}" name="Customer Name" dataDxfId="23">
      <calculatedColumnFormula>_xlfn.XLOOKUP(B2,Customers!A2:A1001,Customers!B2:B1001,"Customer Not Found",0)</calculatedColumnFormula>
    </tableColumn>
    <tableColumn id="6" xr3:uid="{08914A49-89E4-49C7-B296-1FF662656E79}" name="Country" dataDxfId="22">
      <calculatedColumnFormula>_xlfn.XLOOKUP(Orders!B2,Customers!A2:A1001,Customers!C2:C1001,"Country not Found",0)</calculatedColumnFormula>
    </tableColumn>
    <tableColumn id="7" xr3:uid="{95276FA7-917D-490E-B9CA-6FA51DDBE6F3}" name="Product Name" dataDxfId="21">
      <calculatedColumnFormula>_xlfn.XLOOKUP(C2,Products!A2:A501,Products!B2:B501,"Product Missing",0)</calculatedColumnFormula>
    </tableColumn>
    <tableColumn id="8" xr3:uid="{D43FA8BA-1859-4ADD-BE43-8E1166EF042F}" name="Category" dataDxfId="20">
      <calculatedColumnFormula>_xlfn.XLOOKUP(C2,Products!A2:A501,Products!C2:C501,"Category Missing",0)</calculatedColumnFormula>
    </tableColumn>
    <tableColumn id="9" xr3:uid="{4EA7FDF9-E28B-490D-825E-61EE4BD893E3}" name="Unit Price " dataDxfId="19">
      <calculatedColumnFormula>_xlfn.XLOOKUP(Orders!C2,Products!A2:A501,Products!D2:D501,"Price Missing",0)</calculatedColumnFormula>
    </tableColumn>
    <tableColumn id="10" xr3:uid="{F6CFCF0F-92E5-4D66-A7C6-D3E0999A32A5}" name="Total Sales" dataDxfId="18">
      <calculatedColumnFormula>IFERROR(I2*D2,0)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1001"/>
  <sheetViews>
    <sheetView workbookViewId="0">
      <selection activeCell="A2" sqref="A2"/>
    </sheetView>
  </sheetViews>
  <sheetFormatPr defaultColWidth="9" defaultRowHeight="15" x14ac:dyDescent="0.25"/>
  <cols>
    <col min="1" max="1" width="16" style="15" bestFit="1" customWidth="1"/>
    <col min="2" max="2" width="21" style="15" bestFit="1" customWidth="1"/>
    <col min="3" max="3" width="16.28515625" style="15" bestFit="1" customWidth="1"/>
    <col min="4" max="4" width="39" style="15" bestFit="1" customWidth="1"/>
  </cols>
  <sheetData>
    <row r="1" spans="1:4" ht="21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21" x14ac:dyDescent="0.35">
      <c r="A2" s="7" t="s">
        <v>4</v>
      </c>
      <c r="B2" s="7" t="s">
        <v>5</v>
      </c>
      <c r="C2" s="7" t="s">
        <v>6</v>
      </c>
      <c r="D2" s="7" t="s">
        <v>7</v>
      </c>
    </row>
    <row r="3" spans="1:4" ht="21" x14ac:dyDescent="0.35">
      <c r="A3" s="7" t="s">
        <v>8</v>
      </c>
      <c r="B3" s="7" t="s">
        <v>9</v>
      </c>
      <c r="C3" s="7" t="s">
        <v>10</v>
      </c>
      <c r="D3" s="7" t="s">
        <v>11</v>
      </c>
    </row>
    <row r="4" spans="1:4" ht="21" x14ac:dyDescent="0.35">
      <c r="A4" s="7" t="s">
        <v>12</v>
      </c>
      <c r="B4" s="7" t="s">
        <v>13</v>
      </c>
      <c r="C4" s="7" t="s">
        <v>14</v>
      </c>
      <c r="D4" s="7" t="s">
        <v>15</v>
      </c>
    </row>
    <row r="5" spans="1:4" ht="21" x14ac:dyDescent="0.35">
      <c r="A5" s="7" t="s">
        <v>16</v>
      </c>
      <c r="B5" s="7" t="s">
        <v>17</v>
      </c>
      <c r="C5" s="7" t="s">
        <v>14</v>
      </c>
      <c r="D5" s="7" t="s">
        <v>18</v>
      </c>
    </row>
    <row r="6" spans="1:4" ht="21" x14ac:dyDescent="0.35">
      <c r="A6" s="7" t="s">
        <v>19</v>
      </c>
      <c r="B6" s="7" t="s">
        <v>20</v>
      </c>
      <c r="C6" s="7" t="s">
        <v>14</v>
      </c>
      <c r="D6" s="7" t="s">
        <v>21</v>
      </c>
    </row>
    <row r="7" spans="1:4" ht="21" x14ac:dyDescent="0.35">
      <c r="A7" s="7" t="s">
        <v>22</v>
      </c>
      <c r="B7" s="7" t="s">
        <v>23</v>
      </c>
      <c r="C7" s="7" t="s">
        <v>10</v>
      </c>
      <c r="D7" s="7" t="s">
        <v>24</v>
      </c>
    </row>
    <row r="8" spans="1:4" ht="21" x14ac:dyDescent="0.35">
      <c r="A8" s="7" t="s">
        <v>25</v>
      </c>
      <c r="B8" s="7" t="s">
        <v>26</v>
      </c>
      <c r="C8" s="7" t="s">
        <v>27</v>
      </c>
      <c r="D8" s="7" t="s">
        <v>28</v>
      </c>
    </row>
    <row r="9" spans="1:4" ht="21" x14ac:dyDescent="0.35">
      <c r="A9" s="7" t="s">
        <v>29</v>
      </c>
      <c r="B9" s="7" t="s">
        <v>30</v>
      </c>
      <c r="C9" s="7" t="s">
        <v>31</v>
      </c>
      <c r="D9" s="7" t="s">
        <v>32</v>
      </c>
    </row>
    <row r="10" spans="1:4" ht="21" x14ac:dyDescent="0.35">
      <c r="A10" s="7" t="s">
        <v>33</v>
      </c>
      <c r="B10" s="7" t="s">
        <v>34</v>
      </c>
      <c r="C10" s="7" t="s">
        <v>10</v>
      </c>
      <c r="D10" s="7" t="s">
        <v>35</v>
      </c>
    </row>
    <row r="11" spans="1:4" ht="21" x14ac:dyDescent="0.35">
      <c r="A11" s="7" t="s">
        <v>36</v>
      </c>
      <c r="B11" s="7" t="s">
        <v>37</v>
      </c>
      <c r="C11" s="7" t="s">
        <v>10</v>
      </c>
      <c r="D11" s="7" t="s">
        <v>38</v>
      </c>
    </row>
    <row r="12" spans="1:4" ht="21" x14ac:dyDescent="0.35">
      <c r="A12" s="7" t="s">
        <v>39</v>
      </c>
      <c r="B12" s="7" t="s">
        <v>40</v>
      </c>
      <c r="C12" s="7" t="s">
        <v>41</v>
      </c>
      <c r="D12" s="7" t="s">
        <v>42</v>
      </c>
    </row>
    <row r="13" spans="1:4" ht="21" x14ac:dyDescent="0.35">
      <c r="A13" s="7" t="s">
        <v>43</v>
      </c>
      <c r="B13" s="7" t="s">
        <v>44</v>
      </c>
      <c r="C13" s="7" t="s">
        <v>27</v>
      </c>
      <c r="D13" s="7" t="s">
        <v>45</v>
      </c>
    </row>
    <row r="14" spans="1:4" ht="21" x14ac:dyDescent="0.35">
      <c r="A14" s="7" t="s">
        <v>46</v>
      </c>
      <c r="B14" s="7" t="s">
        <v>47</v>
      </c>
      <c r="C14" s="7" t="s">
        <v>14</v>
      </c>
      <c r="D14" s="7" t="s">
        <v>48</v>
      </c>
    </row>
    <row r="15" spans="1:4" ht="21" x14ac:dyDescent="0.35">
      <c r="A15" s="7" t="s">
        <v>49</v>
      </c>
      <c r="B15" s="7" t="s">
        <v>50</v>
      </c>
      <c r="C15" s="7" t="s">
        <v>10</v>
      </c>
      <c r="D15" s="7" t="s">
        <v>51</v>
      </c>
    </row>
    <row r="16" spans="1:4" ht="21" x14ac:dyDescent="0.35">
      <c r="A16" s="7" t="s">
        <v>52</v>
      </c>
      <c r="B16" s="7" t="s">
        <v>53</v>
      </c>
      <c r="C16" s="7" t="s">
        <v>6</v>
      </c>
      <c r="D16" s="7" t="s">
        <v>54</v>
      </c>
    </row>
    <row r="17" spans="1:4" ht="21" x14ac:dyDescent="0.35">
      <c r="A17" s="7" t="s">
        <v>55</v>
      </c>
      <c r="B17" s="7" t="s">
        <v>56</v>
      </c>
      <c r="C17" s="7" t="s">
        <v>10</v>
      </c>
      <c r="D17" s="7" t="s">
        <v>57</v>
      </c>
    </row>
    <row r="18" spans="1:4" ht="21" x14ac:dyDescent="0.35">
      <c r="A18" s="7" t="s">
        <v>58</v>
      </c>
      <c r="B18" s="7" t="s">
        <v>59</v>
      </c>
      <c r="C18" s="7" t="s">
        <v>6</v>
      </c>
      <c r="D18" s="7" t="s">
        <v>60</v>
      </c>
    </row>
    <row r="19" spans="1:4" ht="21" x14ac:dyDescent="0.35">
      <c r="A19" s="7" t="s">
        <v>61</v>
      </c>
      <c r="B19" s="7" t="s">
        <v>62</v>
      </c>
      <c r="C19" s="7" t="s">
        <v>27</v>
      </c>
      <c r="D19" s="7" t="s">
        <v>63</v>
      </c>
    </row>
    <row r="20" spans="1:4" ht="21" x14ac:dyDescent="0.35">
      <c r="A20" s="7" t="s">
        <v>64</v>
      </c>
      <c r="B20" s="7" t="s">
        <v>65</v>
      </c>
      <c r="C20" s="7" t="s">
        <v>27</v>
      </c>
      <c r="D20" s="7" t="s">
        <v>66</v>
      </c>
    </row>
    <row r="21" spans="1:4" ht="21" x14ac:dyDescent="0.35">
      <c r="A21" s="7" t="s">
        <v>67</v>
      </c>
      <c r="B21" s="7" t="s">
        <v>68</v>
      </c>
      <c r="C21" s="7" t="s">
        <v>14</v>
      </c>
      <c r="D21" s="7" t="s">
        <v>69</v>
      </c>
    </row>
    <row r="22" spans="1:4" ht="21" x14ac:dyDescent="0.35">
      <c r="A22" s="7" t="s">
        <v>70</v>
      </c>
      <c r="B22" s="7" t="s">
        <v>71</v>
      </c>
      <c r="C22" s="7" t="s">
        <v>14</v>
      </c>
      <c r="D22" s="7" t="s">
        <v>72</v>
      </c>
    </row>
    <row r="23" spans="1:4" ht="21" x14ac:dyDescent="0.35">
      <c r="A23" s="7" t="s">
        <v>73</v>
      </c>
      <c r="B23" s="7" t="s">
        <v>74</v>
      </c>
      <c r="C23" s="7" t="s">
        <v>27</v>
      </c>
      <c r="D23" s="7" t="s">
        <v>75</v>
      </c>
    </row>
    <row r="24" spans="1:4" ht="21" x14ac:dyDescent="0.35">
      <c r="A24" s="7" t="s">
        <v>76</v>
      </c>
      <c r="B24" s="7" t="s">
        <v>77</v>
      </c>
      <c r="C24" s="7" t="s">
        <v>78</v>
      </c>
      <c r="D24" s="7" t="s">
        <v>79</v>
      </c>
    </row>
    <row r="25" spans="1:4" ht="21" x14ac:dyDescent="0.35">
      <c r="A25" s="7" t="s">
        <v>80</v>
      </c>
      <c r="B25" s="7" t="s">
        <v>81</v>
      </c>
      <c r="C25" s="7" t="s">
        <v>31</v>
      </c>
      <c r="D25" s="7" t="s">
        <v>82</v>
      </c>
    </row>
    <row r="26" spans="1:4" ht="21" x14ac:dyDescent="0.35">
      <c r="A26" s="7" t="s">
        <v>83</v>
      </c>
      <c r="B26" s="7" t="s">
        <v>84</v>
      </c>
      <c r="C26" s="7" t="s">
        <v>27</v>
      </c>
      <c r="D26" s="7" t="s">
        <v>85</v>
      </c>
    </row>
    <row r="27" spans="1:4" ht="21" x14ac:dyDescent="0.35">
      <c r="A27" s="7" t="s">
        <v>86</v>
      </c>
      <c r="B27" s="7" t="s">
        <v>87</v>
      </c>
      <c r="C27" s="7" t="s">
        <v>78</v>
      </c>
      <c r="D27" s="7" t="s">
        <v>88</v>
      </c>
    </row>
    <row r="28" spans="1:4" ht="21" x14ac:dyDescent="0.35">
      <c r="A28" s="7" t="s">
        <v>89</v>
      </c>
      <c r="B28" s="7" t="s">
        <v>90</v>
      </c>
      <c r="C28" s="7" t="s">
        <v>14</v>
      </c>
      <c r="D28" s="7" t="s">
        <v>91</v>
      </c>
    </row>
    <row r="29" spans="1:4" ht="21" x14ac:dyDescent="0.35">
      <c r="A29" s="7" t="s">
        <v>92</v>
      </c>
      <c r="B29" s="7" t="s">
        <v>93</v>
      </c>
      <c r="C29" s="7" t="s">
        <v>27</v>
      </c>
      <c r="D29" s="7" t="s">
        <v>94</v>
      </c>
    </row>
    <row r="30" spans="1:4" ht="21" x14ac:dyDescent="0.35">
      <c r="A30" s="7" t="s">
        <v>95</v>
      </c>
      <c r="B30" s="7" t="s">
        <v>96</v>
      </c>
      <c r="C30" s="7" t="s">
        <v>14</v>
      </c>
      <c r="D30" s="7" t="s">
        <v>97</v>
      </c>
    </row>
    <row r="31" spans="1:4" ht="21" x14ac:dyDescent="0.35">
      <c r="A31" s="7" t="s">
        <v>98</v>
      </c>
      <c r="B31" s="7" t="s">
        <v>99</v>
      </c>
      <c r="C31" s="7" t="s">
        <v>14</v>
      </c>
      <c r="D31" s="7" t="s">
        <v>100</v>
      </c>
    </row>
    <row r="32" spans="1:4" ht="21" x14ac:dyDescent="0.35">
      <c r="A32" s="7" t="s">
        <v>101</v>
      </c>
      <c r="B32" s="7" t="s">
        <v>102</v>
      </c>
      <c r="C32" s="7" t="s">
        <v>10</v>
      </c>
      <c r="D32" s="7" t="s">
        <v>103</v>
      </c>
    </row>
    <row r="33" spans="1:4" ht="21" x14ac:dyDescent="0.35">
      <c r="A33" s="7" t="s">
        <v>104</v>
      </c>
      <c r="B33" s="7" t="s">
        <v>105</v>
      </c>
      <c r="C33" s="7" t="s">
        <v>41</v>
      </c>
      <c r="D33" s="7" t="s">
        <v>106</v>
      </c>
    </row>
    <row r="34" spans="1:4" ht="21" x14ac:dyDescent="0.35">
      <c r="A34" s="7" t="s">
        <v>107</v>
      </c>
      <c r="B34" s="7" t="s">
        <v>108</v>
      </c>
      <c r="C34" s="7" t="s">
        <v>78</v>
      </c>
      <c r="D34" s="7" t="s">
        <v>109</v>
      </c>
    </row>
    <row r="35" spans="1:4" ht="21" x14ac:dyDescent="0.35">
      <c r="A35" s="7" t="s">
        <v>110</v>
      </c>
      <c r="B35" s="7" t="s">
        <v>111</v>
      </c>
      <c r="C35" s="7" t="s">
        <v>78</v>
      </c>
      <c r="D35" s="7" t="s">
        <v>112</v>
      </c>
    </row>
    <row r="36" spans="1:4" ht="21" x14ac:dyDescent="0.35">
      <c r="A36" s="7" t="s">
        <v>113</v>
      </c>
      <c r="B36" s="7" t="s">
        <v>114</v>
      </c>
      <c r="C36" s="7" t="s">
        <v>6</v>
      </c>
      <c r="D36" s="7" t="s">
        <v>115</v>
      </c>
    </row>
    <row r="37" spans="1:4" ht="21" x14ac:dyDescent="0.35">
      <c r="A37" s="7" t="s">
        <v>116</v>
      </c>
      <c r="B37" s="7" t="s">
        <v>117</v>
      </c>
      <c r="C37" s="7" t="s">
        <v>10</v>
      </c>
      <c r="D37" s="7" t="s">
        <v>118</v>
      </c>
    </row>
    <row r="38" spans="1:4" ht="21" x14ac:dyDescent="0.35">
      <c r="A38" s="7" t="s">
        <v>119</v>
      </c>
      <c r="B38" s="7" t="s">
        <v>120</v>
      </c>
      <c r="C38" s="7" t="s">
        <v>27</v>
      </c>
      <c r="D38" s="7" t="s">
        <v>121</v>
      </c>
    </row>
    <row r="39" spans="1:4" ht="21" x14ac:dyDescent="0.35">
      <c r="A39" s="7" t="s">
        <v>122</v>
      </c>
      <c r="B39" s="7" t="s">
        <v>123</v>
      </c>
      <c r="C39" s="7" t="s">
        <v>31</v>
      </c>
      <c r="D39" s="7" t="s">
        <v>124</v>
      </c>
    </row>
    <row r="40" spans="1:4" ht="21" x14ac:dyDescent="0.35">
      <c r="A40" s="7" t="s">
        <v>125</v>
      </c>
      <c r="B40" s="7" t="s">
        <v>126</v>
      </c>
      <c r="C40" s="7" t="s">
        <v>14</v>
      </c>
      <c r="D40" s="7" t="s">
        <v>127</v>
      </c>
    </row>
    <row r="41" spans="1:4" ht="21" x14ac:dyDescent="0.35">
      <c r="A41" s="7" t="s">
        <v>128</v>
      </c>
      <c r="B41" s="7" t="s">
        <v>129</v>
      </c>
      <c r="C41" s="7" t="s">
        <v>78</v>
      </c>
      <c r="D41" s="7" t="s">
        <v>130</v>
      </c>
    </row>
    <row r="42" spans="1:4" ht="21" x14ac:dyDescent="0.35">
      <c r="A42" s="7" t="s">
        <v>131</v>
      </c>
      <c r="B42" s="7" t="s">
        <v>132</v>
      </c>
      <c r="C42" s="7" t="s">
        <v>14</v>
      </c>
      <c r="D42" s="7" t="s">
        <v>133</v>
      </c>
    </row>
    <row r="43" spans="1:4" ht="21" x14ac:dyDescent="0.35">
      <c r="A43" s="7" t="s">
        <v>134</v>
      </c>
      <c r="B43" s="7" t="s">
        <v>135</v>
      </c>
      <c r="C43" s="7" t="s">
        <v>27</v>
      </c>
      <c r="D43" s="7" t="s">
        <v>136</v>
      </c>
    </row>
    <row r="44" spans="1:4" ht="21" x14ac:dyDescent="0.35">
      <c r="A44" s="7" t="s">
        <v>137</v>
      </c>
      <c r="B44" s="7" t="s">
        <v>138</v>
      </c>
      <c r="C44" s="7" t="s">
        <v>10</v>
      </c>
      <c r="D44" s="7" t="s">
        <v>139</v>
      </c>
    </row>
    <row r="45" spans="1:4" ht="21" x14ac:dyDescent="0.35">
      <c r="A45" s="7" t="s">
        <v>140</v>
      </c>
      <c r="B45" s="7" t="s">
        <v>141</v>
      </c>
      <c r="C45" s="7" t="s">
        <v>41</v>
      </c>
      <c r="D45" s="7" t="s">
        <v>142</v>
      </c>
    </row>
    <row r="46" spans="1:4" ht="21" x14ac:dyDescent="0.35">
      <c r="A46" s="7" t="s">
        <v>143</v>
      </c>
      <c r="B46" s="7" t="s">
        <v>144</v>
      </c>
      <c r="C46" s="7" t="s">
        <v>6</v>
      </c>
      <c r="D46" s="7" t="s">
        <v>145</v>
      </c>
    </row>
    <row r="47" spans="1:4" ht="21" x14ac:dyDescent="0.35">
      <c r="A47" s="7" t="s">
        <v>146</v>
      </c>
      <c r="B47" s="7" t="s">
        <v>147</v>
      </c>
      <c r="C47" s="7" t="s">
        <v>27</v>
      </c>
      <c r="D47" s="7" t="s">
        <v>148</v>
      </c>
    </row>
    <row r="48" spans="1:4" ht="21" x14ac:dyDescent="0.35">
      <c r="A48" s="7" t="s">
        <v>149</v>
      </c>
      <c r="B48" s="7" t="s">
        <v>150</v>
      </c>
      <c r="C48" s="7" t="s">
        <v>14</v>
      </c>
      <c r="D48" s="7" t="s">
        <v>151</v>
      </c>
    </row>
    <row r="49" spans="1:4" ht="21" x14ac:dyDescent="0.35">
      <c r="A49" s="7" t="s">
        <v>152</v>
      </c>
      <c r="B49" s="7" t="s">
        <v>153</v>
      </c>
      <c r="C49" s="7" t="s">
        <v>10</v>
      </c>
      <c r="D49" s="7" t="s">
        <v>154</v>
      </c>
    </row>
    <row r="50" spans="1:4" ht="21" x14ac:dyDescent="0.35">
      <c r="A50" s="7" t="s">
        <v>155</v>
      </c>
      <c r="B50" s="7" t="s">
        <v>156</v>
      </c>
      <c r="C50" s="7" t="s">
        <v>6</v>
      </c>
      <c r="D50" s="7" t="s">
        <v>157</v>
      </c>
    </row>
    <row r="51" spans="1:4" ht="21" x14ac:dyDescent="0.35">
      <c r="A51" s="7" t="s">
        <v>158</v>
      </c>
      <c r="B51" s="7" t="s">
        <v>159</v>
      </c>
      <c r="C51" s="7" t="s">
        <v>6</v>
      </c>
      <c r="D51" s="7" t="s">
        <v>160</v>
      </c>
    </row>
    <row r="52" spans="1:4" ht="21" x14ac:dyDescent="0.35">
      <c r="A52" s="7" t="s">
        <v>161</v>
      </c>
      <c r="B52" s="7" t="s">
        <v>162</v>
      </c>
      <c r="C52" s="7" t="s">
        <v>41</v>
      </c>
      <c r="D52" s="7" t="s">
        <v>163</v>
      </c>
    </row>
    <row r="53" spans="1:4" ht="21" x14ac:dyDescent="0.35">
      <c r="A53" s="7" t="s">
        <v>164</v>
      </c>
      <c r="B53" s="7" t="s">
        <v>165</v>
      </c>
      <c r="C53" s="7" t="s">
        <v>41</v>
      </c>
      <c r="D53" s="7" t="s">
        <v>166</v>
      </c>
    </row>
    <row r="54" spans="1:4" ht="21" x14ac:dyDescent="0.35">
      <c r="A54" s="7" t="s">
        <v>167</v>
      </c>
      <c r="B54" s="7" t="s">
        <v>168</v>
      </c>
      <c r="C54" s="7" t="s">
        <v>27</v>
      </c>
      <c r="D54" s="7" t="s">
        <v>169</v>
      </c>
    </row>
    <row r="55" spans="1:4" ht="21" x14ac:dyDescent="0.35">
      <c r="A55" s="7" t="s">
        <v>170</v>
      </c>
      <c r="B55" s="7" t="s">
        <v>171</v>
      </c>
      <c r="C55" s="7" t="s">
        <v>6</v>
      </c>
      <c r="D55" s="7" t="s">
        <v>172</v>
      </c>
    </row>
    <row r="56" spans="1:4" ht="21" x14ac:dyDescent="0.35">
      <c r="A56" s="7" t="s">
        <v>173</v>
      </c>
      <c r="B56" s="7" t="s">
        <v>174</v>
      </c>
      <c r="C56" s="7" t="s">
        <v>31</v>
      </c>
      <c r="D56" s="7" t="s">
        <v>175</v>
      </c>
    </row>
    <row r="57" spans="1:4" ht="21" x14ac:dyDescent="0.35">
      <c r="A57" s="7" t="s">
        <v>176</v>
      </c>
      <c r="B57" s="7" t="s">
        <v>177</v>
      </c>
      <c r="C57" s="7" t="s">
        <v>41</v>
      </c>
      <c r="D57" s="7" t="s">
        <v>178</v>
      </c>
    </row>
    <row r="58" spans="1:4" ht="21" x14ac:dyDescent="0.35">
      <c r="A58" s="7" t="s">
        <v>179</v>
      </c>
      <c r="B58" s="7" t="s">
        <v>180</v>
      </c>
      <c r="C58" s="7" t="s">
        <v>10</v>
      </c>
      <c r="D58" s="7" t="s">
        <v>181</v>
      </c>
    </row>
    <row r="59" spans="1:4" ht="21" x14ac:dyDescent="0.35">
      <c r="A59" s="7" t="s">
        <v>182</v>
      </c>
      <c r="B59" s="7" t="s">
        <v>183</v>
      </c>
      <c r="C59" s="7" t="s">
        <v>6</v>
      </c>
      <c r="D59" s="7" t="s">
        <v>184</v>
      </c>
    </row>
    <row r="60" spans="1:4" ht="21" x14ac:dyDescent="0.35">
      <c r="A60" s="7" t="s">
        <v>185</v>
      </c>
      <c r="B60" s="7" t="s">
        <v>186</v>
      </c>
      <c r="C60" s="7" t="s">
        <v>41</v>
      </c>
      <c r="D60" s="7" t="s">
        <v>187</v>
      </c>
    </row>
    <row r="61" spans="1:4" ht="21" x14ac:dyDescent="0.35">
      <c r="A61" s="7" t="s">
        <v>188</v>
      </c>
      <c r="B61" s="7" t="s">
        <v>189</v>
      </c>
      <c r="C61" s="7" t="s">
        <v>10</v>
      </c>
      <c r="D61" s="7" t="s">
        <v>190</v>
      </c>
    </row>
    <row r="62" spans="1:4" ht="21" x14ac:dyDescent="0.35">
      <c r="A62" s="7" t="s">
        <v>191</v>
      </c>
      <c r="B62" s="7" t="s">
        <v>192</v>
      </c>
      <c r="C62" s="7" t="s">
        <v>14</v>
      </c>
      <c r="D62" s="7" t="s">
        <v>193</v>
      </c>
    </row>
    <row r="63" spans="1:4" ht="21" x14ac:dyDescent="0.35">
      <c r="A63" s="7" t="s">
        <v>194</v>
      </c>
      <c r="B63" s="7" t="s">
        <v>195</v>
      </c>
      <c r="C63" s="7" t="s">
        <v>41</v>
      </c>
      <c r="D63" s="7" t="s">
        <v>196</v>
      </c>
    </row>
    <row r="64" spans="1:4" ht="21" x14ac:dyDescent="0.35">
      <c r="A64" s="7" t="s">
        <v>197</v>
      </c>
      <c r="B64" s="7" t="s">
        <v>198</v>
      </c>
      <c r="C64" s="7" t="s">
        <v>78</v>
      </c>
      <c r="D64" s="7" t="s">
        <v>199</v>
      </c>
    </row>
    <row r="65" spans="1:4" ht="21" x14ac:dyDescent="0.35">
      <c r="A65" s="7" t="s">
        <v>200</v>
      </c>
      <c r="B65" s="7" t="s">
        <v>201</v>
      </c>
      <c r="C65" s="7" t="s">
        <v>14</v>
      </c>
      <c r="D65" s="7" t="s">
        <v>202</v>
      </c>
    </row>
    <row r="66" spans="1:4" ht="21" x14ac:dyDescent="0.35">
      <c r="A66" s="7" t="s">
        <v>203</v>
      </c>
      <c r="B66" s="7" t="s">
        <v>204</v>
      </c>
      <c r="C66" s="7" t="s">
        <v>31</v>
      </c>
      <c r="D66" s="7" t="s">
        <v>205</v>
      </c>
    </row>
    <row r="67" spans="1:4" ht="21" x14ac:dyDescent="0.35">
      <c r="A67" s="7" t="s">
        <v>206</v>
      </c>
      <c r="B67" s="7" t="s">
        <v>207</v>
      </c>
      <c r="C67" s="7" t="s">
        <v>10</v>
      </c>
      <c r="D67" s="7" t="s">
        <v>208</v>
      </c>
    </row>
    <row r="68" spans="1:4" ht="21" x14ac:dyDescent="0.35">
      <c r="A68" s="7" t="s">
        <v>209</v>
      </c>
      <c r="B68" s="7" t="s">
        <v>210</v>
      </c>
      <c r="C68" s="7" t="s">
        <v>78</v>
      </c>
      <c r="D68" s="7" t="s">
        <v>211</v>
      </c>
    </row>
    <row r="69" spans="1:4" ht="21" x14ac:dyDescent="0.35">
      <c r="A69" s="7" t="s">
        <v>212</v>
      </c>
      <c r="B69" s="7" t="s">
        <v>213</v>
      </c>
      <c r="C69" s="7" t="s">
        <v>27</v>
      </c>
      <c r="D69" s="7" t="s">
        <v>214</v>
      </c>
    </row>
    <row r="70" spans="1:4" ht="21" x14ac:dyDescent="0.35">
      <c r="A70" s="7" t="s">
        <v>215</v>
      </c>
      <c r="B70" s="7" t="s">
        <v>216</v>
      </c>
      <c r="C70" s="7" t="s">
        <v>78</v>
      </c>
      <c r="D70" s="7" t="s">
        <v>217</v>
      </c>
    </row>
    <row r="71" spans="1:4" ht="21" x14ac:dyDescent="0.35">
      <c r="A71" s="7" t="s">
        <v>218</v>
      </c>
      <c r="B71" s="7" t="s">
        <v>219</v>
      </c>
      <c r="C71" s="7" t="s">
        <v>27</v>
      </c>
      <c r="D71" s="7" t="s">
        <v>220</v>
      </c>
    </row>
    <row r="72" spans="1:4" ht="21" x14ac:dyDescent="0.35">
      <c r="A72" s="7" t="s">
        <v>221</v>
      </c>
      <c r="B72" s="7" t="s">
        <v>222</v>
      </c>
      <c r="C72" s="7" t="s">
        <v>31</v>
      </c>
      <c r="D72" s="7" t="s">
        <v>223</v>
      </c>
    </row>
    <row r="73" spans="1:4" ht="21" x14ac:dyDescent="0.35">
      <c r="A73" s="7" t="s">
        <v>224</v>
      </c>
      <c r="B73" s="7" t="s">
        <v>225</v>
      </c>
      <c r="C73" s="7" t="s">
        <v>78</v>
      </c>
      <c r="D73" s="7" t="s">
        <v>226</v>
      </c>
    </row>
    <row r="74" spans="1:4" ht="21" x14ac:dyDescent="0.35">
      <c r="A74" s="7" t="s">
        <v>227</v>
      </c>
      <c r="B74" s="7" t="s">
        <v>228</v>
      </c>
      <c r="C74" s="7" t="s">
        <v>14</v>
      </c>
      <c r="D74" s="7" t="s">
        <v>229</v>
      </c>
    </row>
    <row r="75" spans="1:4" ht="21" x14ac:dyDescent="0.35">
      <c r="A75" s="7" t="s">
        <v>230</v>
      </c>
      <c r="B75" s="7" t="s">
        <v>231</v>
      </c>
      <c r="C75" s="7" t="s">
        <v>27</v>
      </c>
      <c r="D75" s="7" t="s">
        <v>232</v>
      </c>
    </row>
    <row r="76" spans="1:4" ht="21" x14ac:dyDescent="0.35">
      <c r="A76" s="7" t="s">
        <v>233</v>
      </c>
      <c r="B76" s="7" t="s">
        <v>234</v>
      </c>
      <c r="C76" s="7" t="s">
        <v>27</v>
      </c>
      <c r="D76" s="7" t="s">
        <v>235</v>
      </c>
    </row>
    <row r="77" spans="1:4" ht="21" x14ac:dyDescent="0.35">
      <c r="A77" s="7" t="s">
        <v>236</v>
      </c>
      <c r="B77" s="7" t="s">
        <v>237</v>
      </c>
      <c r="C77" s="7" t="s">
        <v>31</v>
      </c>
      <c r="D77" s="7" t="s">
        <v>238</v>
      </c>
    </row>
    <row r="78" spans="1:4" ht="21" x14ac:dyDescent="0.35">
      <c r="A78" s="7" t="s">
        <v>239</v>
      </c>
      <c r="B78" s="7" t="s">
        <v>240</v>
      </c>
      <c r="C78" s="7" t="s">
        <v>10</v>
      </c>
      <c r="D78" s="7" t="s">
        <v>241</v>
      </c>
    </row>
    <row r="79" spans="1:4" ht="21" x14ac:dyDescent="0.35">
      <c r="A79" s="7" t="s">
        <v>242</v>
      </c>
      <c r="B79" s="7" t="s">
        <v>243</v>
      </c>
      <c r="C79" s="7" t="s">
        <v>10</v>
      </c>
      <c r="D79" s="7" t="s">
        <v>244</v>
      </c>
    </row>
    <row r="80" spans="1:4" ht="21" x14ac:dyDescent="0.35">
      <c r="A80" s="7" t="s">
        <v>245</v>
      </c>
      <c r="B80" s="7" t="s">
        <v>246</v>
      </c>
      <c r="C80" s="7" t="s">
        <v>31</v>
      </c>
      <c r="D80" s="7" t="s">
        <v>247</v>
      </c>
    </row>
    <row r="81" spans="1:4" ht="21" x14ac:dyDescent="0.35">
      <c r="A81" s="7" t="s">
        <v>248</v>
      </c>
      <c r="B81" s="7" t="s">
        <v>249</v>
      </c>
      <c r="C81" s="7" t="s">
        <v>31</v>
      </c>
      <c r="D81" s="7" t="s">
        <v>250</v>
      </c>
    </row>
    <row r="82" spans="1:4" ht="21" x14ac:dyDescent="0.35">
      <c r="A82" s="7" t="s">
        <v>251</v>
      </c>
      <c r="B82" s="7" t="s">
        <v>252</v>
      </c>
      <c r="C82" s="7" t="s">
        <v>6</v>
      </c>
      <c r="D82" s="7" t="s">
        <v>253</v>
      </c>
    </row>
    <row r="83" spans="1:4" ht="21" x14ac:dyDescent="0.35">
      <c r="A83" s="7" t="s">
        <v>254</v>
      </c>
      <c r="B83" s="7" t="s">
        <v>255</v>
      </c>
      <c r="C83" s="7" t="s">
        <v>6</v>
      </c>
      <c r="D83" s="7" t="s">
        <v>256</v>
      </c>
    </row>
    <row r="84" spans="1:4" ht="21" x14ac:dyDescent="0.35">
      <c r="A84" s="7" t="s">
        <v>257</v>
      </c>
      <c r="B84" s="7" t="s">
        <v>258</v>
      </c>
      <c r="C84" s="7" t="s">
        <v>6</v>
      </c>
      <c r="D84" s="7" t="s">
        <v>259</v>
      </c>
    </row>
    <row r="85" spans="1:4" ht="21" x14ac:dyDescent="0.35">
      <c r="A85" s="7" t="s">
        <v>260</v>
      </c>
      <c r="B85" s="7" t="s">
        <v>261</v>
      </c>
      <c r="C85" s="7" t="s">
        <v>78</v>
      </c>
      <c r="D85" s="7" t="s">
        <v>262</v>
      </c>
    </row>
    <row r="86" spans="1:4" ht="21" x14ac:dyDescent="0.35">
      <c r="A86" s="7" t="s">
        <v>263</v>
      </c>
      <c r="B86" s="7" t="s">
        <v>264</v>
      </c>
      <c r="C86" s="7" t="s">
        <v>6</v>
      </c>
      <c r="D86" s="7" t="s">
        <v>265</v>
      </c>
    </row>
    <row r="87" spans="1:4" ht="21" x14ac:dyDescent="0.35">
      <c r="A87" s="7" t="s">
        <v>266</v>
      </c>
      <c r="B87" s="7" t="s">
        <v>267</v>
      </c>
      <c r="C87" s="7" t="s">
        <v>78</v>
      </c>
      <c r="D87" s="7" t="s">
        <v>268</v>
      </c>
    </row>
    <row r="88" spans="1:4" ht="21" x14ac:dyDescent="0.35">
      <c r="A88" s="7" t="s">
        <v>269</v>
      </c>
      <c r="B88" s="7" t="s">
        <v>270</v>
      </c>
      <c r="C88" s="7" t="s">
        <v>14</v>
      </c>
      <c r="D88" s="7" t="s">
        <v>271</v>
      </c>
    </row>
    <row r="89" spans="1:4" ht="21" x14ac:dyDescent="0.35">
      <c r="A89" s="7" t="s">
        <v>272</v>
      </c>
      <c r="B89" s="7" t="s">
        <v>273</v>
      </c>
      <c r="C89" s="7" t="s">
        <v>14</v>
      </c>
      <c r="D89" s="7" t="s">
        <v>274</v>
      </c>
    </row>
    <row r="90" spans="1:4" ht="21" x14ac:dyDescent="0.35">
      <c r="A90" s="7" t="s">
        <v>275</v>
      </c>
      <c r="B90" s="7" t="s">
        <v>276</v>
      </c>
      <c r="C90" s="7" t="s">
        <v>41</v>
      </c>
      <c r="D90" s="7" t="s">
        <v>277</v>
      </c>
    </row>
    <row r="91" spans="1:4" ht="21" x14ac:dyDescent="0.35">
      <c r="A91" s="7" t="s">
        <v>278</v>
      </c>
      <c r="B91" s="7" t="s">
        <v>279</v>
      </c>
      <c r="C91" s="7" t="s">
        <v>14</v>
      </c>
      <c r="D91" s="7" t="s">
        <v>280</v>
      </c>
    </row>
    <row r="92" spans="1:4" ht="21" x14ac:dyDescent="0.35">
      <c r="A92" s="7" t="s">
        <v>281</v>
      </c>
      <c r="B92" s="7" t="s">
        <v>282</v>
      </c>
      <c r="C92" s="7" t="s">
        <v>27</v>
      </c>
      <c r="D92" s="7" t="s">
        <v>283</v>
      </c>
    </row>
    <row r="93" spans="1:4" ht="21" x14ac:dyDescent="0.35">
      <c r="A93" s="7" t="s">
        <v>284</v>
      </c>
      <c r="B93" s="7" t="s">
        <v>285</v>
      </c>
      <c r="C93" s="7" t="s">
        <v>10</v>
      </c>
      <c r="D93" s="7" t="s">
        <v>286</v>
      </c>
    </row>
    <row r="94" spans="1:4" ht="21" x14ac:dyDescent="0.35">
      <c r="A94" s="7" t="s">
        <v>287</v>
      </c>
      <c r="B94" s="7" t="s">
        <v>288</v>
      </c>
      <c r="C94" s="7" t="s">
        <v>10</v>
      </c>
      <c r="D94" s="7" t="s">
        <v>289</v>
      </c>
    </row>
    <row r="95" spans="1:4" ht="21" x14ac:dyDescent="0.35">
      <c r="A95" s="7" t="s">
        <v>290</v>
      </c>
      <c r="B95" s="7" t="s">
        <v>291</v>
      </c>
      <c r="C95" s="7" t="s">
        <v>14</v>
      </c>
      <c r="D95" s="7" t="s">
        <v>292</v>
      </c>
    </row>
    <row r="96" spans="1:4" ht="21" x14ac:dyDescent="0.35">
      <c r="A96" s="7" t="s">
        <v>293</v>
      </c>
      <c r="B96" s="7" t="s">
        <v>294</v>
      </c>
      <c r="C96" s="7" t="s">
        <v>10</v>
      </c>
      <c r="D96" s="7" t="s">
        <v>295</v>
      </c>
    </row>
    <row r="97" spans="1:4" ht="21" x14ac:dyDescent="0.35">
      <c r="A97" s="7" t="s">
        <v>296</v>
      </c>
      <c r="B97" s="7" t="s">
        <v>297</v>
      </c>
      <c r="C97" s="7" t="s">
        <v>14</v>
      </c>
      <c r="D97" s="7" t="s">
        <v>298</v>
      </c>
    </row>
    <row r="98" spans="1:4" ht="21" x14ac:dyDescent="0.35">
      <c r="A98" s="7" t="s">
        <v>299</v>
      </c>
      <c r="B98" s="7" t="s">
        <v>300</v>
      </c>
      <c r="C98" s="7" t="s">
        <v>41</v>
      </c>
      <c r="D98" s="7" t="s">
        <v>301</v>
      </c>
    </row>
    <row r="99" spans="1:4" ht="21" x14ac:dyDescent="0.35">
      <c r="A99" s="7" t="s">
        <v>302</v>
      </c>
      <c r="B99" s="7" t="s">
        <v>303</v>
      </c>
      <c r="C99" s="7" t="s">
        <v>27</v>
      </c>
      <c r="D99" s="7" t="s">
        <v>304</v>
      </c>
    </row>
    <row r="100" spans="1:4" ht="21" x14ac:dyDescent="0.35">
      <c r="A100" s="7" t="s">
        <v>305</v>
      </c>
      <c r="B100" s="7" t="s">
        <v>306</v>
      </c>
      <c r="C100" s="7" t="s">
        <v>31</v>
      </c>
      <c r="D100" s="7" t="s">
        <v>307</v>
      </c>
    </row>
    <row r="101" spans="1:4" ht="21" x14ac:dyDescent="0.35">
      <c r="A101" s="7" t="s">
        <v>308</v>
      </c>
      <c r="B101" s="7" t="s">
        <v>309</v>
      </c>
      <c r="C101" s="7" t="s">
        <v>14</v>
      </c>
      <c r="D101" s="7" t="s">
        <v>310</v>
      </c>
    </row>
    <row r="102" spans="1:4" ht="21" x14ac:dyDescent="0.35">
      <c r="A102" s="7" t="s">
        <v>311</v>
      </c>
      <c r="B102" s="7" t="s">
        <v>312</v>
      </c>
      <c r="C102" s="7" t="s">
        <v>10</v>
      </c>
      <c r="D102" s="7" t="s">
        <v>313</v>
      </c>
    </row>
    <row r="103" spans="1:4" ht="21" x14ac:dyDescent="0.35">
      <c r="A103" s="7" t="s">
        <v>314</v>
      </c>
      <c r="B103" s="7" t="s">
        <v>315</v>
      </c>
      <c r="C103" s="7" t="s">
        <v>14</v>
      </c>
      <c r="D103" s="7" t="s">
        <v>316</v>
      </c>
    </row>
    <row r="104" spans="1:4" ht="21" x14ac:dyDescent="0.35">
      <c r="A104" s="7" t="s">
        <v>317</v>
      </c>
      <c r="B104" s="7" t="s">
        <v>318</v>
      </c>
      <c r="C104" s="7" t="s">
        <v>10</v>
      </c>
      <c r="D104" s="7" t="s">
        <v>319</v>
      </c>
    </row>
    <row r="105" spans="1:4" ht="21" x14ac:dyDescent="0.35">
      <c r="A105" s="7" t="s">
        <v>320</v>
      </c>
      <c r="B105" s="7" t="s">
        <v>321</v>
      </c>
      <c r="C105" s="7" t="s">
        <v>14</v>
      </c>
      <c r="D105" s="7" t="s">
        <v>322</v>
      </c>
    </row>
    <row r="106" spans="1:4" ht="21" x14ac:dyDescent="0.35">
      <c r="A106" s="7" t="s">
        <v>323</v>
      </c>
      <c r="B106" s="7" t="s">
        <v>324</v>
      </c>
      <c r="C106" s="7" t="s">
        <v>27</v>
      </c>
      <c r="D106" s="7" t="s">
        <v>325</v>
      </c>
    </row>
    <row r="107" spans="1:4" ht="21" x14ac:dyDescent="0.35">
      <c r="A107" s="7" t="s">
        <v>326</v>
      </c>
      <c r="B107" s="7" t="s">
        <v>327</v>
      </c>
      <c r="C107" s="7" t="s">
        <v>41</v>
      </c>
      <c r="D107" s="7" t="s">
        <v>328</v>
      </c>
    </row>
    <row r="108" spans="1:4" ht="21" x14ac:dyDescent="0.35">
      <c r="A108" s="7" t="s">
        <v>329</v>
      </c>
      <c r="B108" s="7" t="s">
        <v>330</v>
      </c>
      <c r="C108" s="7" t="s">
        <v>41</v>
      </c>
      <c r="D108" s="7" t="s">
        <v>331</v>
      </c>
    </row>
    <row r="109" spans="1:4" ht="21" x14ac:dyDescent="0.35">
      <c r="A109" s="7" t="s">
        <v>332</v>
      </c>
      <c r="B109" s="7" t="s">
        <v>333</v>
      </c>
      <c r="C109" s="7" t="s">
        <v>31</v>
      </c>
      <c r="D109" s="7" t="s">
        <v>334</v>
      </c>
    </row>
    <row r="110" spans="1:4" ht="21" x14ac:dyDescent="0.35">
      <c r="A110" s="7" t="s">
        <v>335</v>
      </c>
      <c r="B110" s="7" t="s">
        <v>336</v>
      </c>
      <c r="C110" s="7" t="s">
        <v>14</v>
      </c>
      <c r="D110" s="7" t="s">
        <v>337</v>
      </c>
    </row>
    <row r="111" spans="1:4" ht="21" x14ac:dyDescent="0.35">
      <c r="A111" s="7" t="s">
        <v>338</v>
      </c>
      <c r="B111" s="7" t="s">
        <v>339</v>
      </c>
      <c r="C111" s="7" t="s">
        <v>10</v>
      </c>
      <c r="D111" s="7" t="s">
        <v>340</v>
      </c>
    </row>
    <row r="112" spans="1:4" ht="21" x14ac:dyDescent="0.35">
      <c r="A112" s="7" t="s">
        <v>341</v>
      </c>
      <c r="B112" s="7" t="s">
        <v>342</v>
      </c>
      <c r="C112" s="7" t="s">
        <v>27</v>
      </c>
      <c r="D112" s="7" t="s">
        <v>343</v>
      </c>
    </row>
    <row r="113" spans="1:4" ht="21" x14ac:dyDescent="0.35">
      <c r="A113" s="7" t="s">
        <v>344</v>
      </c>
      <c r="B113" s="7" t="s">
        <v>345</v>
      </c>
      <c r="C113" s="7" t="s">
        <v>6</v>
      </c>
      <c r="D113" s="7" t="s">
        <v>346</v>
      </c>
    </row>
    <row r="114" spans="1:4" ht="21" x14ac:dyDescent="0.35">
      <c r="A114" s="7" t="s">
        <v>347</v>
      </c>
      <c r="B114" s="7" t="s">
        <v>348</v>
      </c>
      <c r="C114" s="7" t="s">
        <v>14</v>
      </c>
      <c r="D114" s="7" t="s">
        <v>349</v>
      </c>
    </row>
    <row r="115" spans="1:4" ht="21" x14ac:dyDescent="0.35">
      <c r="A115" s="7" t="s">
        <v>350</v>
      </c>
      <c r="B115" s="7" t="s">
        <v>351</v>
      </c>
      <c r="C115" s="7" t="s">
        <v>6</v>
      </c>
      <c r="D115" s="7" t="s">
        <v>352</v>
      </c>
    </row>
    <row r="116" spans="1:4" ht="21" x14ac:dyDescent="0.35">
      <c r="A116" s="7" t="s">
        <v>353</v>
      </c>
      <c r="B116" s="7" t="s">
        <v>354</v>
      </c>
      <c r="C116" s="7" t="s">
        <v>6</v>
      </c>
      <c r="D116" s="7" t="s">
        <v>355</v>
      </c>
    </row>
    <row r="117" spans="1:4" ht="21" x14ac:dyDescent="0.35">
      <c r="A117" s="7" t="s">
        <v>356</v>
      </c>
      <c r="B117" s="7" t="s">
        <v>357</v>
      </c>
      <c r="C117" s="7" t="s">
        <v>14</v>
      </c>
      <c r="D117" s="7" t="s">
        <v>358</v>
      </c>
    </row>
    <row r="118" spans="1:4" ht="21" x14ac:dyDescent="0.35">
      <c r="A118" s="7" t="s">
        <v>359</v>
      </c>
      <c r="B118" s="7" t="s">
        <v>360</v>
      </c>
      <c r="C118" s="7" t="s">
        <v>27</v>
      </c>
      <c r="D118" s="7" t="s">
        <v>361</v>
      </c>
    </row>
    <row r="119" spans="1:4" ht="21" x14ac:dyDescent="0.35">
      <c r="A119" s="7" t="s">
        <v>362</v>
      </c>
      <c r="B119" s="7" t="s">
        <v>363</v>
      </c>
      <c r="C119" s="7" t="s">
        <v>14</v>
      </c>
      <c r="D119" s="7" t="s">
        <v>364</v>
      </c>
    </row>
    <row r="120" spans="1:4" ht="21" x14ac:dyDescent="0.35">
      <c r="A120" s="7" t="s">
        <v>365</v>
      </c>
      <c r="B120" s="7" t="s">
        <v>366</v>
      </c>
      <c r="C120" s="7" t="s">
        <v>27</v>
      </c>
      <c r="D120" s="7" t="s">
        <v>367</v>
      </c>
    </row>
    <row r="121" spans="1:4" ht="21" x14ac:dyDescent="0.35">
      <c r="A121" s="7" t="s">
        <v>368</v>
      </c>
      <c r="B121" s="7" t="s">
        <v>369</v>
      </c>
      <c r="C121" s="7" t="s">
        <v>6</v>
      </c>
      <c r="D121" s="7" t="s">
        <v>370</v>
      </c>
    </row>
    <row r="122" spans="1:4" ht="21" x14ac:dyDescent="0.35">
      <c r="A122" s="7" t="s">
        <v>371</v>
      </c>
      <c r="B122" s="7" t="s">
        <v>372</v>
      </c>
      <c r="C122" s="7" t="s">
        <v>10</v>
      </c>
      <c r="D122" s="7" t="s">
        <v>373</v>
      </c>
    </row>
    <row r="123" spans="1:4" ht="21" x14ac:dyDescent="0.35">
      <c r="A123" s="7" t="s">
        <v>374</v>
      </c>
      <c r="B123" s="7" t="s">
        <v>375</v>
      </c>
      <c r="C123" s="7" t="s">
        <v>78</v>
      </c>
      <c r="D123" s="7" t="s">
        <v>376</v>
      </c>
    </row>
    <row r="124" spans="1:4" ht="21" x14ac:dyDescent="0.35">
      <c r="A124" s="7" t="s">
        <v>377</v>
      </c>
      <c r="B124" s="7" t="s">
        <v>378</v>
      </c>
      <c r="C124" s="7" t="s">
        <v>6</v>
      </c>
      <c r="D124" s="7" t="s">
        <v>379</v>
      </c>
    </row>
    <row r="125" spans="1:4" ht="21" x14ac:dyDescent="0.35">
      <c r="A125" s="7" t="s">
        <v>380</v>
      </c>
      <c r="B125" s="7" t="s">
        <v>381</v>
      </c>
      <c r="C125" s="7" t="s">
        <v>78</v>
      </c>
      <c r="D125" s="7" t="s">
        <v>382</v>
      </c>
    </row>
    <row r="126" spans="1:4" ht="21" x14ac:dyDescent="0.35">
      <c r="A126" s="7" t="s">
        <v>383</v>
      </c>
      <c r="B126" s="7" t="s">
        <v>384</v>
      </c>
      <c r="C126" s="7" t="s">
        <v>6</v>
      </c>
      <c r="D126" s="7" t="s">
        <v>385</v>
      </c>
    </row>
    <row r="127" spans="1:4" ht="21" x14ac:dyDescent="0.35">
      <c r="A127" s="7" t="s">
        <v>386</v>
      </c>
      <c r="B127" s="7" t="s">
        <v>387</v>
      </c>
      <c r="C127" s="7" t="s">
        <v>10</v>
      </c>
      <c r="D127" s="7" t="s">
        <v>388</v>
      </c>
    </row>
    <row r="128" spans="1:4" ht="21" x14ac:dyDescent="0.35">
      <c r="A128" s="7" t="s">
        <v>389</v>
      </c>
      <c r="B128" s="7" t="s">
        <v>390</v>
      </c>
      <c r="C128" s="7" t="s">
        <v>6</v>
      </c>
      <c r="D128" s="7" t="s">
        <v>391</v>
      </c>
    </row>
    <row r="129" spans="1:4" ht="21" x14ac:dyDescent="0.35">
      <c r="A129" s="7" t="s">
        <v>392</v>
      </c>
      <c r="B129" s="7" t="s">
        <v>393</v>
      </c>
      <c r="C129" s="7" t="s">
        <v>10</v>
      </c>
      <c r="D129" s="7" t="s">
        <v>394</v>
      </c>
    </row>
    <row r="130" spans="1:4" ht="21" x14ac:dyDescent="0.35">
      <c r="A130" s="7" t="s">
        <v>395</v>
      </c>
      <c r="B130" s="7" t="s">
        <v>396</v>
      </c>
      <c r="C130" s="7" t="s">
        <v>10</v>
      </c>
      <c r="D130" s="7" t="s">
        <v>397</v>
      </c>
    </row>
    <row r="131" spans="1:4" ht="21" x14ac:dyDescent="0.35">
      <c r="A131" s="7" t="s">
        <v>398</v>
      </c>
      <c r="B131" s="7" t="s">
        <v>399</v>
      </c>
      <c r="C131" s="7" t="s">
        <v>31</v>
      </c>
      <c r="D131" s="7" t="s">
        <v>400</v>
      </c>
    </row>
    <row r="132" spans="1:4" ht="21" x14ac:dyDescent="0.35">
      <c r="A132" s="7" t="s">
        <v>401</v>
      </c>
      <c r="B132" s="7" t="s">
        <v>402</v>
      </c>
      <c r="C132" s="7" t="s">
        <v>27</v>
      </c>
      <c r="D132" s="7" t="s">
        <v>403</v>
      </c>
    </row>
    <row r="133" spans="1:4" ht="21" x14ac:dyDescent="0.35">
      <c r="A133" s="7" t="s">
        <v>404</v>
      </c>
      <c r="B133" s="7" t="s">
        <v>405</v>
      </c>
      <c r="C133" s="7" t="s">
        <v>31</v>
      </c>
      <c r="D133" s="7" t="s">
        <v>406</v>
      </c>
    </row>
    <row r="134" spans="1:4" ht="21" x14ac:dyDescent="0.35">
      <c r="A134" s="7" t="s">
        <v>407</v>
      </c>
      <c r="B134" s="7" t="s">
        <v>408</v>
      </c>
      <c r="C134" s="7" t="s">
        <v>6</v>
      </c>
      <c r="D134" s="7" t="s">
        <v>409</v>
      </c>
    </row>
    <row r="135" spans="1:4" ht="21" x14ac:dyDescent="0.35">
      <c r="A135" s="7" t="s">
        <v>410</v>
      </c>
      <c r="B135" s="7" t="s">
        <v>411</v>
      </c>
      <c r="C135" s="7" t="s">
        <v>41</v>
      </c>
      <c r="D135" s="7" t="s">
        <v>412</v>
      </c>
    </row>
    <row r="136" spans="1:4" ht="21" x14ac:dyDescent="0.35">
      <c r="A136" s="7" t="s">
        <v>413</v>
      </c>
      <c r="B136" s="7" t="s">
        <v>414</v>
      </c>
      <c r="C136" s="7" t="s">
        <v>10</v>
      </c>
      <c r="D136" s="7" t="s">
        <v>415</v>
      </c>
    </row>
    <row r="137" spans="1:4" ht="21" x14ac:dyDescent="0.35">
      <c r="A137" s="7" t="s">
        <v>416</v>
      </c>
      <c r="B137" s="7" t="s">
        <v>417</v>
      </c>
      <c r="C137" s="7" t="s">
        <v>10</v>
      </c>
      <c r="D137" s="7" t="s">
        <v>418</v>
      </c>
    </row>
    <row r="138" spans="1:4" ht="21" x14ac:dyDescent="0.35">
      <c r="A138" s="7" t="s">
        <v>419</v>
      </c>
      <c r="B138" s="7" t="s">
        <v>420</v>
      </c>
      <c r="C138" s="7" t="s">
        <v>27</v>
      </c>
      <c r="D138" s="7" t="s">
        <v>421</v>
      </c>
    </row>
    <row r="139" spans="1:4" ht="21" x14ac:dyDescent="0.35">
      <c r="A139" s="7" t="s">
        <v>422</v>
      </c>
      <c r="B139" s="7" t="s">
        <v>423</v>
      </c>
      <c r="C139" s="7" t="s">
        <v>10</v>
      </c>
      <c r="D139" s="7" t="s">
        <v>424</v>
      </c>
    </row>
    <row r="140" spans="1:4" ht="21" x14ac:dyDescent="0.35">
      <c r="A140" s="7" t="s">
        <v>425</v>
      </c>
      <c r="B140" s="7" t="s">
        <v>426</v>
      </c>
      <c r="C140" s="7" t="s">
        <v>78</v>
      </c>
      <c r="D140" s="7" t="s">
        <v>427</v>
      </c>
    </row>
    <row r="141" spans="1:4" ht="21" x14ac:dyDescent="0.35">
      <c r="A141" s="7" t="s">
        <v>428</v>
      </c>
      <c r="B141" s="7" t="s">
        <v>429</v>
      </c>
      <c r="C141" s="7" t="s">
        <v>41</v>
      </c>
      <c r="D141" s="7" t="s">
        <v>430</v>
      </c>
    </row>
    <row r="142" spans="1:4" ht="21" x14ac:dyDescent="0.35">
      <c r="A142" s="7" t="s">
        <v>431</v>
      </c>
      <c r="B142" s="7" t="s">
        <v>432</v>
      </c>
      <c r="C142" s="7" t="s">
        <v>78</v>
      </c>
      <c r="D142" s="7" t="s">
        <v>433</v>
      </c>
    </row>
    <row r="143" spans="1:4" ht="21" x14ac:dyDescent="0.35">
      <c r="A143" s="7" t="s">
        <v>434</v>
      </c>
      <c r="B143" s="7" t="s">
        <v>435</v>
      </c>
      <c r="C143" s="7" t="s">
        <v>6</v>
      </c>
      <c r="D143" s="7" t="s">
        <v>436</v>
      </c>
    </row>
    <row r="144" spans="1:4" ht="21" x14ac:dyDescent="0.35">
      <c r="A144" s="7" t="s">
        <v>437</v>
      </c>
      <c r="B144" s="7" t="s">
        <v>438</v>
      </c>
      <c r="C144" s="7" t="s">
        <v>6</v>
      </c>
      <c r="D144" s="7" t="s">
        <v>439</v>
      </c>
    </row>
    <row r="145" spans="1:4" ht="21" x14ac:dyDescent="0.35">
      <c r="A145" s="7" t="s">
        <v>440</v>
      </c>
      <c r="B145" s="7" t="s">
        <v>441</v>
      </c>
      <c r="C145" s="7" t="s">
        <v>14</v>
      </c>
      <c r="D145" s="7" t="s">
        <v>442</v>
      </c>
    </row>
    <row r="146" spans="1:4" ht="21" x14ac:dyDescent="0.35">
      <c r="A146" s="7" t="s">
        <v>443</v>
      </c>
      <c r="B146" s="7" t="s">
        <v>444</v>
      </c>
      <c r="C146" s="7" t="s">
        <v>27</v>
      </c>
      <c r="D146" s="7" t="s">
        <v>445</v>
      </c>
    </row>
    <row r="147" spans="1:4" ht="21" x14ac:dyDescent="0.35">
      <c r="A147" s="7" t="s">
        <v>446</v>
      </c>
      <c r="B147" s="7" t="s">
        <v>447</v>
      </c>
      <c r="C147" s="7" t="s">
        <v>6</v>
      </c>
      <c r="D147" s="7" t="s">
        <v>448</v>
      </c>
    </row>
    <row r="148" spans="1:4" ht="21" x14ac:dyDescent="0.35">
      <c r="A148" s="7" t="s">
        <v>449</v>
      </c>
      <c r="B148" s="7" t="s">
        <v>450</v>
      </c>
      <c r="C148" s="7" t="s">
        <v>10</v>
      </c>
      <c r="D148" s="7" t="s">
        <v>451</v>
      </c>
    </row>
    <row r="149" spans="1:4" ht="21" x14ac:dyDescent="0.35">
      <c r="A149" s="7" t="s">
        <v>452</v>
      </c>
      <c r="B149" s="7" t="s">
        <v>453</v>
      </c>
      <c r="C149" s="7" t="s">
        <v>31</v>
      </c>
      <c r="D149" s="7" t="s">
        <v>454</v>
      </c>
    </row>
    <row r="150" spans="1:4" ht="21" x14ac:dyDescent="0.35">
      <c r="A150" s="7" t="s">
        <v>455</v>
      </c>
      <c r="B150" s="7" t="s">
        <v>456</v>
      </c>
      <c r="C150" s="7" t="s">
        <v>41</v>
      </c>
      <c r="D150" s="7" t="s">
        <v>457</v>
      </c>
    </row>
    <row r="151" spans="1:4" ht="21" x14ac:dyDescent="0.35">
      <c r="A151" s="7" t="s">
        <v>458</v>
      </c>
      <c r="B151" s="7" t="s">
        <v>459</v>
      </c>
      <c r="C151" s="7" t="s">
        <v>31</v>
      </c>
      <c r="D151" s="7" t="s">
        <v>460</v>
      </c>
    </row>
    <row r="152" spans="1:4" ht="21" x14ac:dyDescent="0.35">
      <c r="A152" s="7" t="s">
        <v>461</v>
      </c>
      <c r="B152" s="7" t="s">
        <v>462</v>
      </c>
      <c r="C152" s="7" t="s">
        <v>41</v>
      </c>
      <c r="D152" s="7" t="s">
        <v>463</v>
      </c>
    </row>
    <row r="153" spans="1:4" ht="21" x14ac:dyDescent="0.35">
      <c r="A153" s="7" t="s">
        <v>464</v>
      </c>
      <c r="B153" s="7" t="s">
        <v>465</v>
      </c>
      <c r="C153" s="7" t="s">
        <v>14</v>
      </c>
      <c r="D153" s="7" t="s">
        <v>466</v>
      </c>
    </row>
    <row r="154" spans="1:4" ht="21" x14ac:dyDescent="0.35">
      <c r="A154" s="7" t="s">
        <v>467</v>
      </c>
      <c r="B154" s="7" t="s">
        <v>468</v>
      </c>
      <c r="C154" s="7" t="s">
        <v>41</v>
      </c>
      <c r="D154" s="7" t="s">
        <v>469</v>
      </c>
    </row>
    <row r="155" spans="1:4" ht="21" x14ac:dyDescent="0.35">
      <c r="A155" s="7" t="s">
        <v>470</v>
      </c>
      <c r="B155" s="7" t="s">
        <v>471</v>
      </c>
      <c r="C155" s="7" t="s">
        <v>10</v>
      </c>
      <c r="D155" s="7" t="s">
        <v>472</v>
      </c>
    </row>
    <row r="156" spans="1:4" ht="21" x14ac:dyDescent="0.35">
      <c r="A156" s="7" t="s">
        <v>473</v>
      </c>
      <c r="B156" s="7" t="s">
        <v>474</v>
      </c>
      <c r="C156" s="7" t="s">
        <v>31</v>
      </c>
      <c r="D156" s="7" t="s">
        <v>475</v>
      </c>
    </row>
    <row r="157" spans="1:4" ht="21" x14ac:dyDescent="0.35">
      <c r="A157" s="7" t="s">
        <v>476</v>
      </c>
      <c r="B157" s="7" t="s">
        <v>477</v>
      </c>
      <c r="C157" s="7" t="s">
        <v>6</v>
      </c>
      <c r="D157" s="7" t="s">
        <v>478</v>
      </c>
    </row>
    <row r="158" spans="1:4" ht="21" x14ac:dyDescent="0.35">
      <c r="A158" s="7" t="s">
        <v>479</v>
      </c>
      <c r="B158" s="7" t="s">
        <v>480</v>
      </c>
      <c r="C158" s="7" t="s">
        <v>6</v>
      </c>
      <c r="D158" s="7" t="s">
        <v>481</v>
      </c>
    </row>
    <row r="159" spans="1:4" ht="21" x14ac:dyDescent="0.35">
      <c r="A159" s="7" t="s">
        <v>482</v>
      </c>
      <c r="B159" s="7" t="s">
        <v>483</v>
      </c>
      <c r="C159" s="7" t="s">
        <v>6</v>
      </c>
      <c r="D159" s="7" t="s">
        <v>484</v>
      </c>
    </row>
    <row r="160" spans="1:4" ht="21" x14ac:dyDescent="0.35">
      <c r="A160" s="7" t="s">
        <v>485</v>
      </c>
      <c r="B160" s="7" t="s">
        <v>486</v>
      </c>
      <c r="C160" s="7" t="s">
        <v>14</v>
      </c>
      <c r="D160" s="7" t="s">
        <v>487</v>
      </c>
    </row>
    <row r="161" spans="1:4" ht="21" x14ac:dyDescent="0.35">
      <c r="A161" s="7" t="s">
        <v>488</v>
      </c>
      <c r="B161" s="7" t="s">
        <v>489</v>
      </c>
      <c r="C161" s="7" t="s">
        <v>78</v>
      </c>
      <c r="D161" s="7" t="s">
        <v>490</v>
      </c>
    </row>
    <row r="162" spans="1:4" ht="21" x14ac:dyDescent="0.35">
      <c r="A162" s="7" t="s">
        <v>491</v>
      </c>
      <c r="B162" s="7" t="s">
        <v>492</v>
      </c>
      <c r="C162" s="7" t="s">
        <v>14</v>
      </c>
      <c r="D162" s="7" t="s">
        <v>493</v>
      </c>
    </row>
    <row r="163" spans="1:4" ht="21" x14ac:dyDescent="0.35">
      <c r="A163" s="7" t="s">
        <v>494</v>
      </c>
      <c r="B163" s="7" t="s">
        <v>495</v>
      </c>
      <c r="C163" s="7" t="s">
        <v>14</v>
      </c>
      <c r="D163" s="7" t="s">
        <v>496</v>
      </c>
    </row>
    <row r="164" spans="1:4" ht="21" x14ac:dyDescent="0.35">
      <c r="A164" s="7" t="s">
        <v>497</v>
      </c>
      <c r="B164" s="7" t="s">
        <v>498</v>
      </c>
      <c r="C164" s="7" t="s">
        <v>31</v>
      </c>
      <c r="D164" s="7" t="s">
        <v>499</v>
      </c>
    </row>
    <row r="165" spans="1:4" ht="21" x14ac:dyDescent="0.35">
      <c r="A165" s="7" t="s">
        <v>500</v>
      </c>
      <c r="B165" s="7" t="s">
        <v>501</v>
      </c>
      <c r="C165" s="7" t="s">
        <v>10</v>
      </c>
      <c r="D165" s="7" t="s">
        <v>502</v>
      </c>
    </row>
    <row r="166" spans="1:4" ht="21" x14ac:dyDescent="0.35">
      <c r="A166" s="7" t="s">
        <v>503</v>
      </c>
      <c r="B166" s="7" t="s">
        <v>504</v>
      </c>
      <c r="C166" s="7" t="s">
        <v>27</v>
      </c>
      <c r="D166" s="7" t="s">
        <v>505</v>
      </c>
    </row>
    <row r="167" spans="1:4" ht="21" x14ac:dyDescent="0.35">
      <c r="A167" s="7" t="s">
        <v>506</v>
      </c>
      <c r="B167" s="7" t="s">
        <v>507</v>
      </c>
      <c r="C167" s="7" t="s">
        <v>78</v>
      </c>
      <c r="D167" s="7" t="s">
        <v>508</v>
      </c>
    </row>
    <row r="168" spans="1:4" ht="21" x14ac:dyDescent="0.35">
      <c r="A168" s="7" t="s">
        <v>509</v>
      </c>
      <c r="B168" s="7" t="s">
        <v>510</v>
      </c>
      <c r="C168" s="7" t="s">
        <v>6</v>
      </c>
      <c r="D168" s="7" t="s">
        <v>511</v>
      </c>
    </row>
    <row r="169" spans="1:4" ht="21" x14ac:dyDescent="0.35">
      <c r="A169" s="7" t="s">
        <v>512</v>
      </c>
      <c r="B169" s="7" t="s">
        <v>513</v>
      </c>
      <c r="C169" s="7" t="s">
        <v>6</v>
      </c>
      <c r="D169" s="7" t="s">
        <v>514</v>
      </c>
    </row>
    <row r="170" spans="1:4" ht="21" x14ac:dyDescent="0.35">
      <c r="A170" s="7" t="s">
        <v>515</v>
      </c>
      <c r="B170" s="7" t="s">
        <v>516</v>
      </c>
      <c r="C170" s="7" t="s">
        <v>6</v>
      </c>
      <c r="D170" s="7" t="s">
        <v>517</v>
      </c>
    </row>
    <row r="171" spans="1:4" ht="21" x14ac:dyDescent="0.35">
      <c r="A171" s="7" t="s">
        <v>518</v>
      </c>
      <c r="B171" s="7" t="s">
        <v>519</v>
      </c>
      <c r="C171" s="7" t="s">
        <v>41</v>
      </c>
      <c r="D171" s="7" t="s">
        <v>520</v>
      </c>
    </row>
    <row r="172" spans="1:4" ht="21" x14ac:dyDescent="0.35">
      <c r="A172" s="7" t="s">
        <v>521</v>
      </c>
      <c r="B172" s="7" t="s">
        <v>522</v>
      </c>
      <c r="C172" s="7" t="s">
        <v>78</v>
      </c>
      <c r="D172" s="7" t="s">
        <v>523</v>
      </c>
    </row>
    <row r="173" spans="1:4" ht="21" x14ac:dyDescent="0.35">
      <c r="A173" s="7" t="s">
        <v>524</v>
      </c>
      <c r="B173" s="7" t="s">
        <v>525</v>
      </c>
      <c r="C173" s="7" t="s">
        <v>27</v>
      </c>
      <c r="D173" s="7" t="s">
        <v>526</v>
      </c>
    </row>
    <row r="174" spans="1:4" ht="21" x14ac:dyDescent="0.35">
      <c r="A174" s="7" t="s">
        <v>527</v>
      </c>
      <c r="B174" s="7" t="s">
        <v>528</v>
      </c>
      <c r="C174" s="7" t="s">
        <v>31</v>
      </c>
      <c r="D174" s="7" t="s">
        <v>529</v>
      </c>
    </row>
    <row r="175" spans="1:4" ht="21" x14ac:dyDescent="0.35">
      <c r="A175" s="7" t="s">
        <v>530</v>
      </c>
      <c r="B175" s="7" t="s">
        <v>531</v>
      </c>
      <c r="C175" s="7" t="s">
        <v>78</v>
      </c>
      <c r="D175" s="7" t="s">
        <v>532</v>
      </c>
    </row>
    <row r="176" spans="1:4" ht="21" x14ac:dyDescent="0.35">
      <c r="A176" s="7" t="s">
        <v>533</v>
      </c>
      <c r="B176" s="7" t="s">
        <v>534</v>
      </c>
      <c r="C176" s="7" t="s">
        <v>41</v>
      </c>
      <c r="D176" s="7" t="s">
        <v>535</v>
      </c>
    </row>
    <row r="177" spans="1:4" ht="21" x14ac:dyDescent="0.35">
      <c r="A177" s="7" t="s">
        <v>536</v>
      </c>
      <c r="B177" s="7" t="s">
        <v>537</v>
      </c>
      <c r="C177" s="7" t="s">
        <v>10</v>
      </c>
      <c r="D177" s="7" t="s">
        <v>538</v>
      </c>
    </row>
    <row r="178" spans="1:4" ht="21" x14ac:dyDescent="0.35">
      <c r="A178" s="7" t="s">
        <v>539</v>
      </c>
      <c r="B178" s="7" t="s">
        <v>540</v>
      </c>
      <c r="C178" s="7" t="s">
        <v>27</v>
      </c>
      <c r="D178" s="7" t="s">
        <v>541</v>
      </c>
    </row>
    <row r="179" spans="1:4" ht="21" x14ac:dyDescent="0.35">
      <c r="A179" s="7" t="s">
        <v>542</v>
      </c>
      <c r="B179" s="7" t="s">
        <v>543</v>
      </c>
      <c r="C179" s="7" t="s">
        <v>31</v>
      </c>
      <c r="D179" s="7" t="s">
        <v>544</v>
      </c>
    </row>
    <row r="180" spans="1:4" ht="21" x14ac:dyDescent="0.35">
      <c r="A180" s="7" t="s">
        <v>545</v>
      </c>
      <c r="B180" s="7" t="s">
        <v>546</v>
      </c>
      <c r="C180" s="7" t="s">
        <v>31</v>
      </c>
      <c r="D180" s="7" t="s">
        <v>547</v>
      </c>
    </row>
    <row r="181" spans="1:4" ht="21" x14ac:dyDescent="0.35">
      <c r="A181" s="7" t="s">
        <v>548</v>
      </c>
      <c r="B181" s="7" t="s">
        <v>549</v>
      </c>
      <c r="C181" s="7" t="s">
        <v>78</v>
      </c>
      <c r="D181" s="7" t="s">
        <v>550</v>
      </c>
    </row>
    <row r="182" spans="1:4" ht="21" x14ac:dyDescent="0.35">
      <c r="A182" s="7" t="s">
        <v>551</v>
      </c>
      <c r="B182" s="7" t="s">
        <v>552</v>
      </c>
      <c r="C182" s="7" t="s">
        <v>10</v>
      </c>
      <c r="D182" s="7" t="s">
        <v>553</v>
      </c>
    </row>
    <row r="183" spans="1:4" ht="21" x14ac:dyDescent="0.35">
      <c r="A183" s="7" t="s">
        <v>554</v>
      </c>
      <c r="B183" s="7" t="s">
        <v>555</v>
      </c>
      <c r="C183" s="7" t="s">
        <v>78</v>
      </c>
      <c r="D183" s="7" t="s">
        <v>556</v>
      </c>
    </row>
    <row r="184" spans="1:4" ht="21" x14ac:dyDescent="0.35">
      <c r="A184" s="7" t="s">
        <v>557</v>
      </c>
      <c r="B184" s="7" t="s">
        <v>558</v>
      </c>
      <c r="C184" s="7" t="s">
        <v>14</v>
      </c>
      <c r="D184" s="7" t="s">
        <v>559</v>
      </c>
    </row>
    <row r="185" spans="1:4" ht="21" x14ac:dyDescent="0.35">
      <c r="A185" s="7" t="s">
        <v>560</v>
      </c>
      <c r="B185" s="7" t="s">
        <v>561</v>
      </c>
      <c r="C185" s="7" t="s">
        <v>27</v>
      </c>
      <c r="D185" s="7" t="s">
        <v>562</v>
      </c>
    </row>
    <row r="186" spans="1:4" ht="21" x14ac:dyDescent="0.35">
      <c r="A186" s="7" t="s">
        <v>563</v>
      </c>
      <c r="B186" s="7" t="s">
        <v>564</v>
      </c>
      <c r="C186" s="7" t="s">
        <v>14</v>
      </c>
      <c r="D186" s="7" t="s">
        <v>565</v>
      </c>
    </row>
    <row r="187" spans="1:4" ht="21" x14ac:dyDescent="0.35">
      <c r="A187" s="7" t="s">
        <v>566</v>
      </c>
      <c r="B187" s="7" t="s">
        <v>567</v>
      </c>
      <c r="C187" s="7" t="s">
        <v>6</v>
      </c>
      <c r="D187" s="7" t="s">
        <v>568</v>
      </c>
    </row>
    <row r="188" spans="1:4" ht="21" x14ac:dyDescent="0.35">
      <c r="A188" s="7" t="s">
        <v>569</v>
      </c>
      <c r="B188" s="7" t="s">
        <v>570</v>
      </c>
      <c r="C188" s="7" t="s">
        <v>6</v>
      </c>
      <c r="D188" s="7" t="s">
        <v>571</v>
      </c>
    </row>
    <row r="189" spans="1:4" ht="21" x14ac:dyDescent="0.35">
      <c r="A189" s="7" t="s">
        <v>572</v>
      </c>
      <c r="B189" s="7" t="s">
        <v>573</v>
      </c>
      <c r="C189" s="7" t="s">
        <v>10</v>
      </c>
      <c r="D189" s="7" t="s">
        <v>574</v>
      </c>
    </row>
    <row r="190" spans="1:4" ht="21" x14ac:dyDescent="0.35">
      <c r="A190" s="7" t="s">
        <v>575</v>
      </c>
      <c r="B190" s="7" t="s">
        <v>576</v>
      </c>
      <c r="C190" s="7" t="s">
        <v>31</v>
      </c>
      <c r="D190" s="7" t="s">
        <v>577</v>
      </c>
    </row>
    <row r="191" spans="1:4" ht="21" x14ac:dyDescent="0.35">
      <c r="A191" s="7" t="s">
        <v>578</v>
      </c>
      <c r="B191" s="7" t="s">
        <v>579</v>
      </c>
      <c r="C191" s="7" t="s">
        <v>31</v>
      </c>
      <c r="D191" s="7" t="s">
        <v>580</v>
      </c>
    </row>
    <row r="192" spans="1:4" ht="21" x14ac:dyDescent="0.35">
      <c r="A192" s="7" t="s">
        <v>581</v>
      </c>
      <c r="B192" s="7" t="s">
        <v>582</v>
      </c>
      <c r="C192" s="7" t="s">
        <v>27</v>
      </c>
      <c r="D192" s="7" t="s">
        <v>583</v>
      </c>
    </row>
    <row r="193" spans="1:4" ht="21" x14ac:dyDescent="0.35">
      <c r="A193" s="7" t="s">
        <v>584</v>
      </c>
      <c r="B193" s="7" t="s">
        <v>585</v>
      </c>
      <c r="C193" s="7" t="s">
        <v>41</v>
      </c>
      <c r="D193" s="7" t="s">
        <v>586</v>
      </c>
    </row>
    <row r="194" spans="1:4" ht="21" x14ac:dyDescent="0.35">
      <c r="A194" s="7" t="s">
        <v>587</v>
      </c>
      <c r="B194" s="7" t="s">
        <v>588</v>
      </c>
      <c r="C194" s="7" t="s">
        <v>31</v>
      </c>
      <c r="D194" s="7" t="s">
        <v>589</v>
      </c>
    </row>
    <row r="195" spans="1:4" ht="21" x14ac:dyDescent="0.35">
      <c r="A195" s="7" t="s">
        <v>590</v>
      </c>
      <c r="B195" s="7" t="s">
        <v>591</v>
      </c>
      <c r="C195" s="7" t="s">
        <v>78</v>
      </c>
      <c r="D195" s="7" t="s">
        <v>592</v>
      </c>
    </row>
    <row r="196" spans="1:4" ht="21" x14ac:dyDescent="0.35">
      <c r="A196" s="7" t="s">
        <v>593</v>
      </c>
      <c r="B196" s="7" t="s">
        <v>594</v>
      </c>
      <c r="C196" s="7" t="s">
        <v>41</v>
      </c>
      <c r="D196" s="7" t="s">
        <v>595</v>
      </c>
    </row>
    <row r="197" spans="1:4" ht="21" x14ac:dyDescent="0.35">
      <c r="A197" s="7" t="s">
        <v>596</v>
      </c>
      <c r="B197" s="7" t="s">
        <v>597</v>
      </c>
      <c r="C197" s="7" t="s">
        <v>27</v>
      </c>
      <c r="D197" s="7" t="s">
        <v>598</v>
      </c>
    </row>
    <row r="198" spans="1:4" ht="21" x14ac:dyDescent="0.35">
      <c r="A198" s="7" t="s">
        <v>599</v>
      </c>
      <c r="B198" s="7" t="s">
        <v>600</v>
      </c>
      <c r="C198" s="7" t="s">
        <v>27</v>
      </c>
      <c r="D198" s="7" t="s">
        <v>601</v>
      </c>
    </row>
    <row r="199" spans="1:4" ht="21" x14ac:dyDescent="0.35">
      <c r="A199" s="7" t="s">
        <v>602</v>
      </c>
      <c r="B199" s="7" t="s">
        <v>603</v>
      </c>
      <c r="C199" s="7" t="s">
        <v>14</v>
      </c>
      <c r="D199" s="7" t="s">
        <v>604</v>
      </c>
    </row>
    <row r="200" spans="1:4" ht="21" x14ac:dyDescent="0.35">
      <c r="A200" s="7" t="s">
        <v>605</v>
      </c>
      <c r="B200" s="7" t="s">
        <v>606</v>
      </c>
      <c r="C200" s="7" t="s">
        <v>27</v>
      </c>
      <c r="D200" s="7" t="s">
        <v>607</v>
      </c>
    </row>
    <row r="201" spans="1:4" ht="21" x14ac:dyDescent="0.35">
      <c r="A201" s="7" t="s">
        <v>608</v>
      </c>
      <c r="B201" s="7" t="s">
        <v>609</v>
      </c>
      <c r="C201" s="7" t="s">
        <v>31</v>
      </c>
      <c r="D201" s="7" t="s">
        <v>610</v>
      </c>
    </row>
    <row r="202" spans="1:4" ht="21" x14ac:dyDescent="0.35">
      <c r="A202" s="7" t="s">
        <v>611</v>
      </c>
      <c r="B202" s="7" t="s">
        <v>612</v>
      </c>
      <c r="C202" s="7" t="s">
        <v>27</v>
      </c>
      <c r="D202" s="7" t="s">
        <v>613</v>
      </c>
    </row>
    <row r="203" spans="1:4" ht="21" x14ac:dyDescent="0.35">
      <c r="A203" s="7" t="s">
        <v>614</v>
      </c>
      <c r="B203" s="7" t="s">
        <v>615</v>
      </c>
      <c r="C203" s="7" t="s">
        <v>27</v>
      </c>
      <c r="D203" s="7" t="s">
        <v>616</v>
      </c>
    </row>
    <row r="204" spans="1:4" ht="21" x14ac:dyDescent="0.35">
      <c r="A204" s="7" t="s">
        <v>617</v>
      </c>
      <c r="B204" s="7" t="s">
        <v>618</v>
      </c>
      <c r="C204" s="7" t="s">
        <v>10</v>
      </c>
      <c r="D204" s="7" t="s">
        <v>619</v>
      </c>
    </row>
    <row r="205" spans="1:4" ht="21" x14ac:dyDescent="0.35">
      <c r="A205" s="7" t="s">
        <v>620</v>
      </c>
      <c r="B205" s="7" t="s">
        <v>621</v>
      </c>
      <c r="C205" s="7" t="s">
        <v>27</v>
      </c>
      <c r="D205" s="7" t="s">
        <v>622</v>
      </c>
    </row>
    <row r="206" spans="1:4" ht="21" x14ac:dyDescent="0.35">
      <c r="A206" s="7" t="s">
        <v>623</v>
      </c>
      <c r="B206" s="7" t="s">
        <v>624</v>
      </c>
      <c r="C206" s="7" t="s">
        <v>41</v>
      </c>
      <c r="D206" s="7" t="s">
        <v>625</v>
      </c>
    </row>
    <row r="207" spans="1:4" ht="21" x14ac:dyDescent="0.35">
      <c r="A207" s="7" t="s">
        <v>626</v>
      </c>
      <c r="B207" s="7" t="s">
        <v>627</v>
      </c>
      <c r="C207" s="7" t="s">
        <v>31</v>
      </c>
      <c r="D207" s="7" t="s">
        <v>628</v>
      </c>
    </row>
    <row r="208" spans="1:4" ht="21" x14ac:dyDescent="0.35">
      <c r="A208" s="7" t="s">
        <v>629</v>
      </c>
      <c r="B208" s="7" t="s">
        <v>630</v>
      </c>
      <c r="C208" s="7" t="s">
        <v>31</v>
      </c>
      <c r="D208" s="7" t="s">
        <v>631</v>
      </c>
    </row>
    <row r="209" spans="1:4" ht="21" x14ac:dyDescent="0.35">
      <c r="A209" s="7" t="s">
        <v>632</v>
      </c>
      <c r="B209" s="7" t="s">
        <v>633</v>
      </c>
      <c r="C209" s="7" t="s">
        <v>10</v>
      </c>
      <c r="D209" s="7" t="s">
        <v>634</v>
      </c>
    </row>
    <row r="210" spans="1:4" ht="21" x14ac:dyDescent="0.35">
      <c r="A210" s="7" t="s">
        <v>635</v>
      </c>
      <c r="B210" s="7" t="s">
        <v>636</v>
      </c>
      <c r="C210" s="7" t="s">
        <v>10</v>
      </c>
      <c r="D210" s="7" t="s">
        <v>637</v>
      </c>
    </row>
    <row r="211" spans="1:4" ht="21" x14ac:dyDescent="0.35">
      <c r="A211" s="7" t="s">
        <v>638</v>
      </c>
      <c r="B211" s="7" t="s">
        <v>639</v>
      </c>
      <c r="C211" s="7" t="s">
        <v>41</v>
      </c>
      <c r="D211" s="7" t="s">
        <v>640</v>
      </c>
    </row>
    <row r="212" spans="1:4" ht="21" x14ac:dyDescent="0.35">
      <c r="A212" s="7" t="s">
        <v>641</v>
      </c>
      <c r="B212" s="7" t="s">
        <v>642</v>
      </c>
      <c r="C212" s="7" t="s">
        <v>6</v>
      </c>
      <c r="D212" s="7" t="s">
        <v>643</v>
      </c>
    </row>
    <row r="213" spans="1:4" ht="21" x14ac:dyDescent="0.35">
      <c r="A213" s="7" t="s">
        <v>644</v>
      </c>
      <c r="B213" s="7" t="s">
        <v>645</v>
      </c>
      <c r="C213" s="7" t="s">
        <v>6</v>
      </c>
      <c r="D213" s="7" t="s">
        <v>646</v>
      </c>
    </row>
    <row r="214" spans="1:4" ht="21" x14ac:dyDescent="0.35">
      <c r="A214" s="7" t="s">
        <v>647</v>
      </c>
      <c r="B214" s="7" t="s">
        <v>648</v>
      </c>
      <c r="C214" s="7" t="s">
        <v>78</v>
      </c>
      <c r="D214" s="7" t="s">
        <v>649</v>
      </c>
    </row>
    <row r="215" spans="1:4" ht="21" x14ac:dyDescent="0.35">
      <c r="A215" s="7" t="s">
        <v>650</v>
      </c>
      <c r="B215" s="7" t="s">
        <v>651</v>
      </c>
      <c r="C215" s="7" t="s">
        <v>27</v>
      </c>
      <c r="D215" s="7" t="s">
        <v>652</v>
      </c>
    </row>
    <row r="216" spans="1:4" ht="21" x14ac:dyDescent="0.35">
      <c r="A216" s="7" t="s">
        <v>653</v>
      </c>
      <c r="B216" s="7" t="s">
        <v>654</v>
      </c>
      <c r="C216" s="7" t="s">
        <v>27</v>
      </c>
      <c r="D216" s="7" t="s">
        <v>655</v>
      </c>
    </row>
    <row r="217" spans="1:4" ht="21" x14ac:dyDescent="0.35">
      <c r="A217" s="7" t="s">
        <v>656</v>
      </c>
      <c r="B217" s="7" t="s">
        <v>657</v>
      </c>
      <c r="C217" s="7" t="s">
        <v>78</v>
      </c>
      <c r="D217" s="7" t="s">
        <v>658</v>
      </c>
    </row>
    <row r="218" spans="1:4" ht="21" x14ac:dyDescent="0.35">
      <c r="A218" s="7" t="s">
        <v>659</v>
      </c>
      <c r="B218" s="7" t="s">
        <v>660</v>
      </c>
      <c r="C218" s="7" t="s">
        <v>31</v>
      </c>
      <c r="D218" s="7" t="s">
        <v>661</v>
      </c>
    </row>
    <row r="219" spans="1:4" ht="21" x14ac:dyDescent="0.35">
      <c r="A219" s="7" t="s">
        <v>662</v>
      </c>
      <c r="B219" s="7" t="s">
        <v>663</v>
      </c>
      <c r="C219" s="7" t="s">
        <v>31</v>
      </c>
      <c r="D219" s="7" t="s">
        <v>664</v>
      </c>
    </row>
    <row r="220" spans="1:4" ht="21" x14ac:dyDescent="0.35">
      <c r="A220" s="7" t="s">
        <v>665</v>
      </c>
      <c r="B220" s="7" t="s">
        <v>666</v>
      </c>
      <c r="C220" s="7" t="s">
        <v>41</v>
      </c>
      <c r="D220" s="7" t="s">
        <v>667</v>
      </c>
    </row>
    <row r="221" spans="1:4" ht="21" x14ac:dyDescent="0.35">
      <c r="A221" s="7" t="s">
        <v>668</v>
      </c>
      <c r="B221" s="7" t="s">
        <v>669</v>
      </c>
      <c r="C221" s="7" t="s">
        <v>6</v>
      </c>
      <c r="D221" s="7" t="s">
        <v>670</v>
      </c>
    </row>
    <row r="222" spans="1:4" ht="21" x14ac:dyDescent="0.35">
      <c r="A222" s="7" t="s">
        <v>671</v>
      </c>
      <c r="B222" s="7" t="s">
        <v>672</v>
      </c>
      <c r="C222" s="7" t="s">
        <v>78</v>
      </c>
      <c r="D222" s="7" t="s">
        <v>673</v>
      </c>
    </row>
    <row r="223" spans="1:4" ht="21" x14ac:dyDescent="0.35">
      <c r="A223" s="7" t="s">
        <v>674</v>
      </c>
      <c r="B223" s="7" t="s">
        <v>675</v>
      </c>
      <c r="C223" s="7" t="s">
        <v>10</v>
      </c>
      <c r="D223" s="7" t="s">
        <v>676</v>
      </c>
    </row>
    <row r="224" spans="1:4" ht="21" x14ac:dyDescent="0.35">
      <c r="A224" s="7" t="s">
        <v>677</v>
      </c>
      <c r="B224" s="7" t="s">
        <v>678</v>
      </c>
      <c r="C224" s="7" t="s">
        <v>10</v>
      </c>
      <c r="D224" s="7" t="s">
        <v>679</v>
      </c>
    </row>
    <row r="225" spans="1:4" ht="21" x14ac:dyDescent="0.35">
      <c r="A225" s="7" t="s">
        <v>680</v>
      </c>
      <c r="B225" s="7" t="s">
        <v>681</v>
      </c>
      <c r="C225" s="7" t="s">
        <v>27</v>
      </c>
      <c r="D225" s="7" t="s">
        <v>682</v>
      </c>
    </row>
    <row r="226" spans="1:4" ht="21" x14ac:dyDescent="0.35">
      <c r="A226" s="7" t="s">
        <v>683</v>
      </c>
      <c r="B226" s="7" t="s">
        <v>684</v>
      </c>
      <c r="C226" s="7" t="s">
        <v>27</v>
      </c>
      <c r="D226" s="7" t="s">
        <v>685</v>
      </c>
    </row>
    <row r="227" spans="1:4" ht="21" x14ac:dyDescent="0.35">
      <c r="A227" s="7" t="s">
        <v>686</v>
      </c>
      <c r="B227" s="7" t="s">
        <v>687</v>
      </c>
      <c r="C227" s="7" t="s">
        <v>10</v>
      </c>
      <c r="D227" s="7" t="s">
        <v>688</v>
      </c>
    </row>
    <row r="228" spans="1:4" ht="21" x14ac:dyDescent="0.35">
      <c r="A228" s="7" t="s">
        <v>689</v>
      </c>
      <c r="B228" s="7" t="s">
        <v>690</v>
      </c>
      <c r="C228" s="7" t="s">
        <v>31</v>
      </c>
      <c r="D228" s="7" t="s">
        <v>691</v>
      </c>
    </row>
    <row r="229" spans="1:4" ht="21" x14ac:dyDescent="0.35">
      <c r="A229" s="7" t="s">
        <v>692</v>
      </c>
      <c r="B229" s="7" t="s">
        <v>693</v>
      </c>
      <c r="C229" s="7" t="s">
        <v>78</v>
      </c>
      <c r="D229" s="7" t="s">
        <v>694</v>
      </c>
    </row>
    <row r="230" spans="1:4" ht="21" x14ac:dyDescent="0.35">
      <c r="A230" s="7" t="s">
        <v>695</v>
      </c>
      <c r="B230" s="7" t="s">
        <v>696</v>
      </c>
      <c r="C230" s="7" t="s">
        <v>6</v>
      </c>
      <c r="D230" s="7" t="s">
        <v>697</v>
      </c>
    </row>
    <row r="231" spans="1:4" ht="21" x14ac:dyDescent="0.35">
      <c r="A231" s="7" t="s">
        <v>698</v>
      </c>
      <c r="B231" s="7" t="s">
        <v>699</v>
      </c>
      <c r="C231" s="7" t="s">
        <v>41</v>
      </c>
      <c r="D231" s="7" t="s">
        <v>700</v>
      </c>
    </row>
    <row r="232" spans="1:4" ht="21" x14ac:dyDescent="0.35">
      <c r="A232" s="7" t="s">
        <v>701</v>
      </c>
      <c r="B232" s="7" t="s">
        <v>702</v>
      </c>
      <c r="C232" s="7" t="s">
        <v>78</v>
      </c>
      <c r="D232" s="7" t="s">
        <v>703</v>
      </c>
    </row>
    <row r="233" spans="1:4" ht="21" x14ac:dyDescent="0.35">
      <c r="A233" s="7" t="s">
        <v>704</v>
      </c>
      <c r="B233" s="7" t="s">
        <v>705</v>
      </c>
      <c r="C233" s="7" t="s">
        <v>31</v>
      </c>
      <c r="D233" s="7" t="s">
        <v>706</v>
      </c>
    </row>
    <row r="234" spans="1:4" ht="21" x14ac:dyDescent="0.35">
      <c r="A234" s="7" t="s">
        <v>707</v>
      </c>
      <c r="B234" s="7" t="s">
        <v>708</v>
      </c>
      <c r="C234" s="7" t="s">
        <v>31</v>
      </c>
      <c r="D234" s="7" t="s">
        <v>709</v>
      </c>
    </row>
    <row r="235" spans="1:4" ht="21" x14ac:dyDescent="0.35">
      <c r="A235" s="7" t="s">
        <v>710</v>
      </c>
      <c r="B235" s="7" t="s">
        <v>711</v>
      </c>
      <c r="C235" s="7" t="s">
        <v>31</v>
      </c>
      <c r="D235" s="7" t="s">
        <v>712</v>
      </c>
    </row>
    <row r="236" spans="1:4" ht="21" x14ac:dyDescent="0.35">
      <c r="A236" s="7" t="s">
        <v>713</v>
      </c>
      <c r="B236" s="7" t="s">
        <v>714</v>
      </c>
      <c r="C236" s="7" t="s">
        <v>78</v>
      </c>
      <c r="D236" s="7" t="s">
        <v>715</v>
      </c>
    </row>
    <row r="237" spans="1:4" ht="21" x14ac:dyDescent="0.35">
      <c r="A237" s="7" t="s">
        <v>716</v>
      </c>
      <c r="B237" s="7" t="s">
        <v>717</v>
      </c>
      <c r="C237" s="7" t="s">
        <v>10</v>
      </c>
      <c r="D237" s="7" t="s">
        <v>718</v>
      </c>
    </row>
    <row r="238" spans="1:4" ht="21" x14ac:dyDescent="0.35">
      <c r="A238" s="7" t="s">
        <v>719</v>
      </c>
      <c r="B238" s="7" t="s">
        <v>720</v>
      </c>
      <c r="C238" s="7" t="s">
        <v>27</v>
      </c>
      <c r="D238" s="7" t="s">
        <v>721</v>
      </c>
    </row>
    <row r="239" spans="1:4" ht="21" x14ac:dyDescent="0.35">
      <c r="A239" s="7" t="s">
        <v>722</v>
      </c>
      <c r="B239" s="7" t="s">
        <v>723</v>
      </c>
      <c r="C239" s="7" t="s">
        <v>14</v>
      </c>
      <c r="D239" s="7" t="s">
        <v>724</v>
      </c>
    </row>
    <row r="240" spans="1:4" ht="21" x14ac:dyDescent="0.35">
      <c r="A240" s="7" t="s">
        <v>725</v>
      </c>
      <c r="B240" s="7" t="s">
        <v>726</v>
      </c>
      <c r="C240" s="7" t="s">
        <v>78</v>
      </c>
      <c r="D240" s="7" t="s">
        <v>727</v>
      </c>
    </row>
    <row r="241" spans="1:4" ht="21" x14ac:dyDescent="0.35">
      <c r="A241" s="7" t="s">
        <v>728</v>
      </c>
      <c r="B241" s="7" t="s">
        <v>729</v>
      </c>
      <c r="C241" s="7" t="s">
        <v>6</v>
      </c>
      <c r="D241" s="7" t="s">
        <v>730</v>
      </c>
    </row>
    <row r="242" spans="1:4" ht="21" x14ac:dyDescent="0.35">
      <c r="A242" s="7" t="s">
        <v>731</v>
      </c>
      <c r="B242" s="7" t="s">
        <v>732</v>
      </c>
      <c r="C242" s="7" t="s">
        <v>10</v>
      </c>
      <c r="D242" s="7" t="s">
        <v>733</v>
      </c>
    </row>
    <row r="243" spans="1:4" ht="21" x14ac:dyDescent="0.35">
      <c r="A243" s="7" t="s">
        <v>734</v>
      </c>
      <c r="B243" s="7" t="s">
        <v>735</v>
      </c>
      <c r="C243" s="7" t="s">
        <v>14</v>
      </c>
      <c r="D243" s="7" t="s">
        <v>736</v>
      </c>
    </row>
    <row r="244" spans="1:4" ht="21" x14ac:dyDescent="0.35">
      <c r="A244" s="7" t="s">
        <v>737</v>
      </c>
      <c r="B244" s="7" t="s">
        <v>738</v>
      </c>
      <c r="C244" s="7" t="s">
        <v>10</v>
      </c>
      <c r="D244" s="7" t="s">
        <v>739</v>
      </c>
    </row>
    <row r="245" spans="1:4" ht="21" x14ac:dyDescent="0.35">
      <c r="A245" s="7" t="s">
        <v>740</v>
      </c>
      <c r="B245" s="7" t="s">
        <v>741</v>
      </c>
      <c r="C245" s="7" t="s">
        <v>41</v>
      </c>
      <c r="D245" s="7" t="s">
        <v>742</v>
      </c>
    </row>
    <row r="246" spans="1:4" ht="21" x14ac:dyDescent="0.35">
      <c r="A246" s="7" t="s">
        <v>743</v>
      </c>
      <c r="B246" s="7" t="s">
        <v>744</v>
      </c>
      <c r="C246" s="7" t="s">
        <v>78</v>
      </c>
      <c r="D246" s="7" t="s">
        <v>745</v>
      </c>
    </row>
    <row r="247" spans="1:4" ht="21" x14ac:dyDescent="0.35">
      <c r="A247" s="7" t="s">
        <v>746</v>
      </c>
      <c r="B247" s="7" t="s">
        <v>747</v>
      </c>
      <c r="C247" s="7" t="s">
        <v>31</v>
      </c>
      <c r="D247" s="7" t="s">
        <v>748</v>
      </c>
    </row>
    <row r="248" spans="1:4" ht="21" x14ac:dyDescent="0.35">
      <c r="A248" s="7" t="s">
        <v>749</v>
      </c>
      <c r="B248" s="7" t="s">
        <v>750</v>
      </c>
      <c r="C248" s="7" t="s">
        <v>41</v>
      </c>
      <c r="D248" s="7" t="s">
        <v>751</v>
      </c>
    </row>
    <row r="249" spans="1:4" ht="21" x14ac:dyDescent="0.35">
      <c r="A249" s="7" t="s">
        <v>752</v>
      </c>
      <c r="B249" s="7" t="s">
        <v>753</v>
      </c>
      <c r="C249" s="7" t="s">
        <v>14</v>
      </c>
      <c r="D249" s="7" t="s">
        <v>754</v>
      </c>
    </row>
    <row r="250" spans="1:4" ht="21" x14ac:dyDescent="0.35">
      <c r="A250" s="7" t="s">
        <v>755</v>
      </c>
      <c r="B250" s="7" t="s">
        <v>756</v>
      </c>
      <c r="C250" s="7" t="s">
        <v>6</v>
      </c>
      <c r="D250" s="7" t="s">
        <v>757</v>
      </c>
    </row>
    <row r="251" spans="1:4" ht="21" x14ac:dyDescent="0.35">
      <c r="A251" s="7" t="s">
        <v>758</v>
      </c>
      <c r="B251" s="7" t="s">
        <v>759</v>
      </c>
      <c r="C251" s="7" t="s">
        <v>14</v>
      </c>
      <c r="D251" s="7" t="s">
        <v>760</v>
      </c>
    </row>
    <row r="252" spans="1:4" ht="21" x14ac:dyDescent="0.35">
      <c r="A252" s="7" t="s">
        <v>761</v>
      </c>
      <c r="B252" s="7" t="s">
        <v>762</v>
      </c>
      <c r="C252" s="7" t="s">
        <v>31</v>
      </c>
      <c r="D252" s="7" t="s">
        <v>763</v>
      </c>
    </row>
    <row r="253" spans="1:4" ht="21" x14ac:dyDescent="0.35">
      <c r="A253" s="7" t="s">
        <v>764</v>
      </c>
      <c r="B253" s="7" t="s">
        <v>765</v>
      </c>
      <c r="C253" s="7" t="s">
        <v>78</v>
      </c>
      <c r="D253" s="7" t="s">
        <v>766</v>
      </c>
    </row>
    <row r="254" spans="1:4" ht="21" x14ac:dyDescent="0.35">
      <c r="A254" s="7" t="s">
        <v>767</v>
      </c>
      <c r="B254" s="7" t="s">
        <v>768</v>
      </c>
      <c r="C254" s="7" t="s">
        <v>27</v>
      </c>
      <c r="D254" s="7" t="s">
        <v>769</v>
      </c>
    </row>
    <row r="255" spans="1:4" ht="21" x14ac:dyDescent="0.35">
      <c r="A255" s="7" t="s">
        <v>770</v>
      </c>
      <c r="B255" s="7" t="s">
        <v>771</v>
      </c>
      <c r="C255" s="7" t="s">
        <v>27</v>
      </c>
      <c r="D255" s="7" t="s">
        <v>772</v>
      </c>
    </row>
    <row r="256" spans="1:4" ht="21" x14ac:dyDescent="0.35">
      <c r="A256" s="7" t="s">
        <v>773</v>
      </c>
      <c r="B256" s="7" t="s">
        <v>774</v>
      </c>
      <c r="C256" s="7" t="s">
        <v>6</v>
      </c>
      <c r="D256" s="7" t="s">
        <v>775</v>
      </c>
    </row>
    <row r="257" spans="1:4" ht="21" x14ac:dyDescent="0.35">
      <c r="A257" s="7" t="s">
        <v>776</v>
      </c>
      <c r="B257" s="7" t="s">
        <v>777</v>
      </c>
      <c r="C257" s="7" t="s">
        <v>14</v>
      </c>
      <c r="D257" s="7" t="s">
        <v>778</v>
      </c>
    </row>
    <row r="258" spans="1:4" ht="21" x14ac:dyDescent="0.35">
      <c r="A258" s="7" t="s">
        <v>779</v>
      </c>
      <c r="B258" s="7" t="s">
        <v>780</v>
      </c>
      <c r="C258" s="7" t="s">
        <v>78</v>
      </c>
      <c r="D258" s="7" t="s">
        <v>781</v>
      </c>
    </row>
    <row r="259" spans="1:4" ht="21" x14ac:dyDescent="0.35">
      <c r="A259" s="7" t="s">
        <v>782</v>
      </c>
      <c r="B259" s="7" t="s">
        <v>783</v>
      </c>
      <c r="C259" s="7" t="s">
        <v>31</v>
      </c>
      <c r="D259" s="7" t="s">
        <v>784</v>
      </c>
    </row>
    <row r="260" spans="1:4" ht="21" x14ac:dyDescent="0.35">
      <c r="A260" s="7" t="s">
        <v>785</v>
      </c>
      <c r="B260" s="7" t="s">
        <v>786</v>
      </c>
      <c r="C260" s="7" t="s">
        <v>14</v>
      </c>
      <c r="D260" s="7" t="s">
        <v>787</v>
      </c>
    </row>
    <row r="261" spans="1:4" ht="21" x14ac:dyDescent="0.35">
      <c r="A261" s="7" t="s">
        <v>788</v>
      </c>
      <c r="B261" s="7" t="s">
        <v>789</v>
      </c>
      <c r="C261" s="7" t="s">
        <v>31</v>
      </c>
      <c r="D261" s="7" t="s">
        <v>790</v>
      </c>
    </row>
    <row r="262" spans="1:4" ht="21" x14ac:dyDescent="0.35">
      <c r="A262" s="7" t="s">
        <v>791</v>
      </c>
      <c r="B262" s="7" t="s">
        <v>792</v>
      </c>
      <c r="C262" s="7" t="s">
        <v>78</v>
      </c>
      <c r="D262" s="7" t="s">
        <v>793</v>
      </c>
    </row>
    <row r="263" spans="1:4" ht="21" x14ac:dyDescent="0.35">
      <c r="A263" s="7" t="s">
        <v>794</v>
      </c>
      <c r="B263" s="7" t="s">
        <v>795</v>
      </c>
      <c r="C263" s="7" t="s">
        <v>14</v>
      </c>
      <c r="D263" s="7" t="s">
        <v>796</v>
      </c>
    </row>
    <row r="264" spans="1:4" ht="21" x14ac:dyDescent="0.35">
      <c r="A264" s="7" t="s">
        <v>797</v>
      </c>
      <c r="B264" s="7" t="s">
        <v>798</v>
      </c>
      <c r="C264" s="7" t="s">
        <v>14</v>
      </c>
      <c r="D264" s="7" t="s">
        <v>799</v>
      </c>
    </row>
    <row r="265" spans="1:4" ht="21" x14ac:dyDescent="0.35">
      <c r="A265" s="7" t="s">
        <v>800</v>
      </c>
      <c r="B265" s="7" t="s">
        <v>801</v>
      </c>
      <c r="C265" s="7" t="s">
        <v>78</v>
      </c>
      <c r="D265" s="7" t="s">
        <v>802</v>
      </c>
    </row>
    <row r="266" spans="1:4" ht="21" x14ac:dyDescent="0.35">
      <c r="A266" s="7" t="s">
        <v>803</v>
      </c>
      <c r="B266" s="7" t="s">
        <v>804</v>
      </c>
      <c r="C266" s="7" t="s">
        <v>10</v>
      </c>
      <c r="D266" s="7" t="s">
        <v>805</v>
      </c>
    </row>
    <row r="267" spans="1:4" ht="21" x14ac:dyDescent="0.35">
      <c r="A267" s="7" t="s">
        <v>806</v>
      </c>
      <c r="B267" s="7" t="s">
        <v>807</v>
      </c>
      <c r="C267" s="7" t="s">
        <v>78</v>
      </c>
      <c r="D267" s="7" t="s">
        <v>808</v>
      </c>
    </row>
    <row r="268" spans="1:4" ht="21" x14ac:dyDescent="0.35">
      <c r="A268" s="7" t="s">
        <v>809</v>
      </c>
      <c r="B268" s="7" t="s">
        <v>810</v>
      </c>
      <c r="C268" s="7" t="s">
        <v>10</v>
      </c>
      <c r="D268" s="7" t="s">
        <v>811</v>
      </c>
    </row>
    <row r="269" spans="1:4" ht="21" x14ac:dyDescent="0.35">
      <c r="A269" s="7" t="s">
        <v>812</v>
      </c>
      <c r="B269" s="7" t="s">
        <v>813</v>
      </c>
      <c r="C269" s="7" t="s">
        <v>41</v>
      </c>
      <c r="D269" s="7" t="s">
        <v>814</v>
      </c>
    </row>
    <row r="270" spans="1:4" ht="21" x14ac:dyDescent="0.35">
      <c r="A270" s="7" t="s">
        <v>815</v>
      </c>
      <c r="B270" s="7" t="s">
        <v>816</v>
      </c>
      <c r="C270" s="7" t="s">
        <v>78</v>
      </c>
      <c r="D270" s="7" t="s">
        <v>817</v>
      </c>
    </row>
    <row r="271" spans="1:4" ht="21" x14ac:dyDescent="0.35">
      <c r="A271" s="7" t="s">
        <v>818</v>
      </c>
      <c r="B271" s="7" t="s">
        <v>819</v>
      </c>
      <c r="C271" s="7" t="s">
        <v>10</v>
      </c>
      <c r="D271" s="7" t="s">
        <v>820</v>
      </c>
    </row>
    <row r="272" spans="1:4" ht="21" x14ac:dyDescent="0.35">
      <c r="A272" s="7" t="s">
        <v>821</v>
      </c>
      <c r="B272" s="7" t="s">
        <v>822</v>
      </c>
      <c r="C272" s="7" t="s">
        <v>31</v>
      </c>
      <c r="D272" s="7" t="s">
        <v>823</v>
      </c>
    </row>
    <row r="273" spans="1:4" ht="21" x14ac:dyDescent="0.35">
      <c r="A273" s="7" t="s">
        <v>824</v>
      </c>
      <c r="B273" s="7" t="s">
        <v>825</v>
      </c>
      <c r="C273" s="7" t="s">
        <v>10</v>
      </c>
      <c r="D273" s="7" t="s">
        <v>826</v>
      </c>
    </row>
    <row r="274" spans="1:4" ht="21" x14ac:dyDescent="0.35">
      <c r="A274" s="7" t="s">
        <v>827</v>
      </c>
      <c r="B274" s="7" t="s">
        <v>828</v>
      </c>
      <c r="C274" s="7" t="s">
        <v>14</v>
      </c>
      <c r="D274" s="7" t="s">
        <v>829</v>
      </c>
    </row>
    <row r="275" spans="1:4" ht="21" x14ac:dyDescent="0.35">
      <c r="A275" s="7" t="s">
        <v>830</v>
      </c>
      <c r="B275" s="7" t="s">
        <v>831</v>
      </c>
      <c r="C275" s="7" t="s">
        <v>31</v>
      </c>
      <c r="D275" s="7" t="s">
        <v>832</v>
      </c>
    </row>
    <row r="276" spans="1:4" ht="21" x14ac:dyDescent="0.35">
      <c r="A276" s="7" t="s">
        <v>833</v>
      </c>
      <c r="B276" s="7" t="s">
        <v>834</v>
      </c>
      <c r="C276" s="7" t="s">
        <v>14</v>
      </c>
      <c r="D276" s="7" t="s">
        <v>835</v>
      </c>
    </row>
    <row r="277" spans="1:4" ht="21" x14ac:dyDescent="0.35">
      <c r="A277" s="7" t="s">
        <v>836</v>
      </c>
      <c r="B277" s="7" t="s">
        <v>837</v>
      </c>
      <c r="C277" s="7" t="s">
        <v>31</v>
      </c>
      <c r="D277" s="7" t="s">
        <v>838</v>
      </c>
    </row>
    <row r="278" spans="1:4" ht="21" x14ac:dyDescent="0.35">
      <c r="A278" s="7" t="s">
        <v>839</v>
      </c>
      <c r="B278" s="7" t="s">
        <v>840</v>
      </c>
      <c r="C278" s="7" t="s">
        <v>78</v>
      </c>
      <c r="D278" s="7" t="s">
        <v>841</v>
      </c>
    </row>
    <row r="279" spans="1:4" ht="21" x14ac:dyDescent="0.35">
      <c r="A279" s="7" t="s">
        <v>842</v>
      </c>
      <c r="B279" s="7" t="s">
        <v>843</v>
      </c>
      <c r="C279" s="7" t="s">
        <v>78</v>
      </c>
      <c r="D279" s="7" t="s">
        <v>844</v>
      </c>
    </row>
    <row r="280" spans="1:4" ht="21" x14ac:dyDescent="0.35">
      <c r="A280" s="7" t="s">
        <v>845</v>
      </c>
      <c r="B280" s="7" t="s">
        <v>846</v>
      </c>
      <c r="C280" s="7" t="s">
        <v>78</v>
      </c>
      <c r="D280" s="7" t="s">
        <v>847</v>
      </c>
    </row>
    <row r="281" spans="1:4" ht="21" x14ac:dyDescent="0.35">
      <c r="A281" s="7" t="s">
        <v>848</v>
      </c>
      <c r="B281" s="7" t="s">
        <v>849</v>
      </c>
      <c r="C281" s="7" t="s">
        <v>10</v>
      </c>
      <c r="D281" s="7" t="s">
        <v>850</v>
      </c>
    </row>
    <row r="282" spans="1:4" ht="21" x14ac:dyDescent="0.35">
      <c r="A282" s="7" t="s">
        <v>851</v>
      </c>
      <c r="B282" s="7" t="s">
        <v>852</v>
      </c>
      <c r="C282" s="7" t="s">
        <v>27</v>
      </c>
      <c r="D282" s="7" t="s">
        <v>853</v>
      </c>
    </row>
    <row r="283" spans="1:4" ht="21" x14ac:dyDescent="0.35">
      <c r="A283" s="7" t="s">
        <v>854</v>
      </c>
      <c r="B283" s="7" t="s">
        <v>855</v>
      </c>
      <c r="C283" s="7" t="s">
        <v>27</v>
      </c>
      <c r="D283" s="7" t="s">
        <v>856</v>
      </c>
    </row>
    <row r="284" spans="1:4" ht="21" x14ac:dyDescent="0.35">
      <c r="A284" s="7" t="s">
        <v>857</v>
      </c>
      <c r="B284" s="7" t="s">
        <v>858</v>
      </c>
      <c r="C284" s="7" t="s">
        <v>27</v>
      </c>
      <c r="D284" s="7" t="s">
        <v>859</v>
      </c>
    </row>
    <row r="285" spans="1:4" ht="21" x14ac:dyDescent="0.35">
      <c r="A285" s="7" t="s">
        <v>860</v>
      </c>
      <c r="B285" s="7" t="s">
        <v>861</v>
      </c>
      <c r="C285" s="7" t="s">
        <v>41</v>
      </c>
      <c r="D285" s="7" t="s">
        <v>862</v>
      </c>
    </row>
    <row r="286" spans="1:4" ht="21" x14ac:dyDescent="0.35">
      <c r="A286" s="7" t="s">
        <v>863</v>
      </c>
      <c r="B286" s="7" t="s">
        <v>864</v>
      </c>
      <c r="C286" s="7" t="s">
        <v>10</v>
      </c>
      <c r="D286" s="7" t="s">
        <v>865</v>
      </c>
    </row>
    <row r="287" spans="1:4" ht="21" x14ac:dyDescent="0.35">
      <c r="A287" s="7" t="s">
        <v>866</v>
      </c>
      <c r="B287" s="7" t="s">
        <v>867</v>
      </c>
      <c r="C287" s="7" t="s">
        <v>14</v>
      </c>
      <c r="D287" s="7" t="s">
        <v>868</v>
      </c>
    </row>
    <row r="288" spans="1:4" ht="21" x14ac:dyDescent="0.35">
      <c r="A288" s="7" t="s">
        <v>869</v>
      </c>
      <c r="B288" s="7" t="s">
        <v>870</v>
      </c>
      <c r="C288" s="7" t="s">
        <v>41</v>
      </c>
      <c r="D288" s="7" t="s">
        <v>871</v>
      </c>
    </row>
    <row r="289" spans="1:4" ht="21" x14ac:dyDescent="0.35">
      <c r="A289" s="7" t="s">
        <v>872</v>
      </c>
      <c r="B289" s="7" t="s">
        <v>873</v>
      </c>
      <c r="C289" s="7" t="s">
        <v>78</v>
      </c>
      <c r="D289" s="7" t="s">
        <v>874</v>
      </c>
    </row>
    <row r="290" spans="1:4" ht="21" x14ac:dyDescent="0.35">
      <c r="A290" s="7" t="s">
        <v>875</v>
      </c>
      <c r="B290" s="7" t="s">
        <v>876</v>
      </c>
      <c r="C290" s="7" t="s">
        <v>14</v>
      </c>
      <c r="D290" s="7" t="s">
        <v>877</v>
      </c>
    </row>
    <row r="291" spans="1:4" ht="21" x14ac:dyDescent="0.35">
      <c r="A291" s="7" t="s">
        <v>878</v>
      </c>
      <c r="B291" s="7" t="s">
        <v>879</v>
      </c>
      <c r="C291" s="7" t="s">
        <v>78</v>
      </c>
      <c r="D291" s="7" t="s">
        <v>880</v>
      </c>
    </row>
    <row r="292" spans="1:4" ht="21" x14ac:dyDescent="0.35">
      <c r="A292" s="7" t="s">
        <v>881</v>
      </c>
      <c r="B292" s="7" t="s">
        <v>882</v>
      </c>
      <c r="C292" s="7" t="s">
        <v>6</v>
      </c>
      <c r="D292" s="7" t="s">
        <v>883</v>
      </c>
    </row>
    <row r="293" spans="1:4" ht="21" x14ac:dyDescent="0.35">
      <c r="A293" s="7" t="s">
        <v>884</v>
      </c>
      <c r="B293" s="7" t="s">
        <v>885</v>
      </c>
      <c r="C293" s="7" t="s">
        <v>41</v>
      </c>
      <c r="D293" s="7" t="s">
        <v>886</v>
      </c>
    </row>
    <row r="294" spans="1:4" ht="21" x14ac:dyDescent="0.35">
      <c r="A294" s="7" t="s">
        <v>887</v>
      </c>
      <c r="B294" s="7" t="s">
        <v>888</v>
      </c>
      <c r="C294" s="7" t="s">
        <v>27</v>
      </c>
      <c r="D294" s="7" t="s">
        <v>889</v>
      </c>
    </row>
    <row r="295" spans="1:4" ht="21" x14ac:dyDescent="0.35">
      <c r="A295" s="7" t="s">
        <v>890</v>
      </c>
      <c r="B295" s="7" t="s">
        <v>891</v>
      </c>
      <c r="C295" s="7" t="s">
        <v>78</v>
      </c>
      <c r="D295" s="7" t="s">
        <v>892</v>
      </c>
    </row>
    <row r="296" spans="1:4" ht="21" x14ac:dyDescent="0.35">
      <c r="A296" s="7" t="s">
        <v>893</v>
      </c>
      <c r="B296" s="7" t="s">
        <v>894</v>
      </c>
      <c r="C296" s="7" t="s">
        <v>6</v>
      </c>
      <c r="D296" s="7" t="s">
        <v>895</v>
      </c>
    </row>
    <row r="297" spans="1:4" ht="21" x14ac:dyDescent="0.35">
      <c r="A297" s="7" t="s">
        <v>896</v>
      </c>
      <c r="B297" s="7" t="s">
        <v>897</v>
      </c>
      <c r="C297" s="7" t="s">
        <v>41</v>
      </c>
      <c r="D297" s="7" t="s">
        <v>898</v>
      </c>
    </row>
    <row r="298" spans="1:4" ht="21" x14ac:dyDescent="0.35">
      <c r="A298" s="7" t="s">
        <v>899</v>
      </c>
      <c r="B298" s="7" t="s">
        <v>900</v>
      </c>
      <c r="C298" s="7" t="s">
        <v>41</v>
      </c>
      <c r="D298" s="7" t="s">
        <v>901</v>
      </c>
    </row>
    <row r="299" spans="1:4" ht="21" x14ac:dyDescent="0.35">
      <c r="A299" s="7" t="s">
        <v>902</v>
      </c>
      <c r="B299" s="7" t="s">
        <v>903</v>
      </c>
      <c r="C299" s="7" t="s">
        <v>14</v>
      </c>
      <c r="D299" s="7" t="s">
        <v>904</v>
      </c>
    </row>
    <row r="300" spans="1:4" ht="21" x14ac:dyDescent="0.35">
      <c r="A300" s="7" t="s">
        <v>905</v>
      </c>
      <c r="B300" s="7" t="s">
        <v>906</v>
      </c>
      <c r="C300" s="7" t="s">
        <v>31</v>
      </c>
      <c r="D300" s="7" t="s">
        <v>907</v>
      </c>
    </row>
    <row r="301" spans="1:4" ht="21" x14ac:dyDescent="0.35">
      <c r="A301" s="7" t="s">
        <v>908</v>
      </c>
      <c r="B301" s="7" t="s">
        <v>909</v>
      </c>
      <c r="C301" s="7" t="s">
        <v>10</v>
      </c>
      <c r="D301" s="7" t="s">
        <v>910</v>
      </c>
    </row>
    <row r="302" spans="1:4" ht="21" x14ac:dyDescent="0.35">
      <c r="A302" s="7" t="s">
        <v>911</v>
      </c>
      <c r="B302" s="7" t="s">
        <v>912</v>
      </c>
      <c r="C302" s="7" t="s">
        <v>10</v>
      </c>
      <c r="D302" s="7" t="s">
        <v>913</v>
      </c>
    </row>
    <row r="303" spans="1:4" ht="21" x14ac:dyDescent="0.35">
      <c r="A303" s="7" t="s">
        <v>914</v>
      </c>
      <c r="B303" s="7" t="s">
        <v>915</v>
      </c>
      <c r="C303" s="7" t="s">
        <v>78</v>
      </c>
      <c r="D303" s="7" t="s">
        <v>916</v>
      </c>
    </row>
    <row r="304" spans="1:4" ht="21" x14ac:dyDescent="0.35">
      <c r="A304" s="7" t="s">
        <v>917</v>
      </c>
      <c r="B304" s="7" t="s">
        <v>918</v>
      </c>
      <c r="C304" s="7" t="s">
        <v>14</v>
      </c>
      <c r="D304" s="7" t="s">
        <v>919</v>
      </c>
    </row>
    <row r="305" spans="1:4" ht="21" x14ac:dyDescent="0.35">
      <c r="A305" s="7" t="s">
        <v>920</v>
      </c>
      <c r="B305" s="7" t="s">
        <v>921</v>
      </c>
      <c r="C305" s="7" t="s">
        <v>78</v>
      </c>
      <c r="D305" s="7" t="s">
        <v>922</v>
      </c>
    </row>
    <row r="306" spans="1:4" ht="21" x14ac:dyDescent="0.35">
      <c r="A306" s="7" t="s">
        <v>923</v>
      </c>
      <c r="B306" s="7" t="s">
        <v>924</v>
      </c>
      <c r="C306" s="7" t="s">
        <v>10</v>
      </c>
      <c r="D306" s="7" t="s">
        <v>925</v>
      </c>
    </row>
    <row r="307" spans="1:4" ht="21" x14ac:dyDescent="0.35">
      <c r="A307" s="7" t="s">
        <v>926</v>
      </c>
      <c r="B307" s="7" t="s">
        <v>927</v>
      </c>
      <c r="C307" s="7" t="s">
        <v>41</v>
      </c>
      <c r="D307" s="7" t="s">
        <v>928</v>
      </c>
    </row>
    <row r="308" spans="1:4" ht="21" x14ac:dyDescent="0.35">
      <c r="A308" s="7" t="s">
        <v>929</v>
      </c>
      <c r="B308" s="7" t="s">
        <v>930</v>
      </c>
      <c r="C308" s="7" t="s">
        <v>31</v>
      </c>
      <c r="D308" s="7" t="s">
        <v>931</v>
      </c>
    </row>
    <row r="309" spans="1:4" ht="21" x14ac:dyDescent="0.35">
      <c r="A309" s="7" t="s">
        <v>932</v>
      </c>
      <c r="B309" s="7" t="s">
        <v>933</v>
      </c>
      <c r="C309" s="7" t="s">
        <v>6</v>
      </c>
      <c r="D309" s="7" t="s">
        <v>934</v>
      </c>
    </row>
    <row r="310" spans="1:4" ht="21" x14ac:dyDescent="0.35">
      <c r="A310" s="7" t="s">
        <v>935</v>
      </c>
      <c r="B310" s="7" t="s">
        <v>936</v>
      </c>
      <c r="C310" s="7" t="s">
        <v>10</v>
      </c>
      <c r="D310" s="7" t="s">
        <v>937</v>
      </c>
    </row>
    <row r="311" spans="1:4" ht="21" x14ac:dyDescent="0.35">
      <c r="A311" s="7" t="s">
        <v>938</v>
      </c>
      <c r="B311" s="7" t="s">
        <v>939</v>
      </c>
      <c r="C311" s="7" t="s">
        <v>10</v>
      </c>
      <c r="D311" s="7" t="s">
        <v>940</v>
      </c>
    </row>
    <row r="312" spans="1:4" ht="21" x14ac:dyDescent="0.35">
      <c r="A312" s="7" t="s">
        <v>941</v>
      </c>
      <c r="B312" s="7" t="s">
        <v>942</v>
      </c>
      <c r="C312" s="7" t="s">
        <v>31</v>
      </c>
      <c r="D312" s="7" t="s">
        <v>943</v>
      </c>
    </row>
    <row r="313" spans="1:4" ht="21" x14ac:dyDescent="0.35">
      <c r="A313" s="7" t="s">
        <v>944</v>
      </c>
      <c r="B313" s="7" t="s">
        <v>945</v>
      </c>
      <c r="C313" s="7" t="s">
        <v>78</v>
      </c>
      <c r="D313" s="7" t="s">
        <v>946</v>
      </c>
    </row>
    <row r="314" spans="1:4" ht="21" x14ac:dyDescent="0.35">
      <c r="A314" s="7" t="s">
        <v>947</v>
      </c>
      <c r="B314" s="7" t="s">
        <v>948</v>
      </c>
      <c r="C314" s="7" t="s">
        <v>78</v>
      </c>
      <c r="D314" s="7" t="s">
        <v>949</v>
      </c>
    </row>
    <row r="315" spans="1:4" ht="21" x14ac:dyDescent="0.35">
      <c r="A315" s="7" t="s">
        <v>950</v>
      </c>
      <c r="B315" s="7" t="s">
        <v>951</v>
      </c>
      <c r="C315" s="7" t="s">
        <v>31</v>
      </c>
      <c r="D315" s="7" t="s">
        <v>952</v>
      </c>
    </row>
    <row r="316" spans="1:4" ht="21" x14ac:dyDescent="0.35">
      <c r="A316" s="7" t="s">
        <v>953</v>
      </c>
      <c r="B316" s="7" t="s">
        <v>954</v>
      </c>
      <c r="C316" s="7" t="s">
        <v>78</v>
      </c>
      <c r="D316" s="7" t="s">
        <v>955</v>
      </c>
    </row>
    <row r="317" spans="1:4" ht="21" x14ac:dyDescent="0.35">
      <c r="A317" s="7" t="s">
        <v>956</v>
      </c>
      <c r="B317" s="7" t="s">
        <v>957</v>
      </c>
      <c r="C317" s="7" t="s">
        <v>6</v>
      </c>
      <c r="D317" s="7" t="s">
        <v>958</v>
      </c>
    </row>
    <row r="318" spans="1:4" ht="21" x14ac:dyDescent="0.35">
      <c r="A318" s="7" t="s">
        <v>959</v>
      </c>
      <c r="B318" s="7" t="s">
        <v>960</v>
      </c>
      <c r="C318" s="7" t="s">
        <v>10</v>
      </c>
      <c r="D318" s="7" t="s">
        <v>961</v>
      </c>
    </row>
    <row r="319" spans="1:4" ht="21" x14ac:dyDescent="0.35">
      <c r="A319" s="7" t="s">
        <v>962</v>
      </c>
      <c r="B319" s="7" t="s">
        <v>963</v>
      </c>
      <c r="C319" s="7" t="s">
        <v>41</v>
      </c>
      <c r="D319" s="7" t="s">
        <v>964</v>
      </c>
    </row>
    <row r="320" spans="1:4" ht="21" x14ac:dyDescent="0.35">
      <c r="A320" s="7" t="s">
        <v>965</v>
      </c>
      <c r="B320" s="7" t="s">
        <v>966</v>
      </c>
      <c r="C320" s="7" t="s">
        <v>6</v>
      </c>
      <c r="D320" s="7" t="s">
        <v>967</v>
      </c>
    </row>
    <row r="321" spans="1:4" ht="21" x14ac:dyDescent="0.35">
      <c r="A321" s="7" t="s">
        <v>968</v>
      </c>
      <c r="B321" s="7" t="s">
        <v>969</v>
      </c>
      <c r="C321" s="7" t="s">
        <v>27</v>
      </c>
      <c r="D321" s="7" t="s">
        <v>970</v>
      </c>
    </row>
    <row r="322" spans="1:4" ht="21" x14ac:dyDescent="0.35">
      <c r="A322" s="7" t="s">
        <v>971</v>
      </c>
      <c r="B322" s="7" t="s">
        <v>972</v>
      </c>
      <c r="C322" s="7" t="s">
        <v>27</v>
      </c>
      <c r="D322" s="7" t="s">
        <v>973</v>
      </c>
    </row>
    <row r="323" spans="1:4" ht="21" x14ac:dyDescent="0.35">
      <c r="A323" s="7" t="s">
        <v>974</v>
      </c>
      <c r="B323" s="7" t="s">
        <v>975</v>
      </c>
      <c r="C323" s="7" t="s">
        <v>41</v>
      </c>
      <c r="D323" s="7" t="s">
        <v>976</v>
      </c>
    </row>
    <row r="324" spans="1:4" ht="21" x14ac:dyDescent="0.35">
      <c r="A324" s="7" t="s">
        <v>977</v>
      </c>
      <c r="B324" s="7" t="s">
        <v>978</v>
      </c>
      <c r="C324" s="7" t="s">
        <v>41</v>
      </c>
      <c r="D324" s="7" t="s">
        <v>979</v>
      </c>
    </row>
    <row r="325" spans="1:4" ht="21" x14ac:dyDescent="0.35">
      <c r="A325" s="7" t="s">
        <v>980</v>
      </c>
      <c r="B325" s="7" t="s">
        <v>981</v>
      </c>
      <c r="C325" s="7" t="s">
        <v>14</v>
      </c>
      <c r="D325" s="7" t="s">
        <v>982</v>
      </c>
    </row>
    <row r="326" spans="1:4" ht="21" x14ac:dyDescent="0.35">
      <c r="A326" s="7" t="s">
        <v>983</v>
      </c>
      <c r="B326" s="7" t="s">
        <v>984</v>
      </c>
      <c r="C326" s="7" t="s">
        <v>78</v>
      </c>
      <c r="D326" s="7" t="s">
        <v>985</v>
      </c>
    </row>
    <row r="327" spans="1:4" ht="21" x14ac:dyDescent="0.35">
      <c r="A327" s="7" t="s">
        <v>986</v>
      </c>
      <c r="B327" s="7" t="s">
        <v>987</v>
      </c>
      <c r="C327" s="7" t="s">
        <v>31</v>
      </c>
      <c r="D327" s="7" t="s">
        <v>988</v>
      </c>
    </row>
    <row r="328" spans="1:4" ht="21" x14ac:dyDescent="0.35">
      <c r="A328" s="7" t="s">
        <v>989</v>
      </c>
      <c r="B328" s="7" t="s">
        <v>990</v>
      </c>
      <c r="C328" s="7" t="s">
        <v>10</v>
      </c>
      <c r="D328" s="7" t="s">
        <v>991</v>
      </c>
    </row>
    <row r="329" spans="1:4" ht="21" x14ac:dyDescent="0.35">
      <c r="A329" s="7" t="s">
        <v>992</v>
      </c>
      <c r="B329" s="7" t="s">
        <v>993</v>
      </c>
      <c r="C329" s="7" t="s">
        <v>78</v>
      </c>
      <c r="D329" s="7" t="s">
        <v>994</v>
      </c>
    </row>
    <row r="330" spans="1:4" ht="21" x14ac:dyDescent="0.35">
      <c r="A330" s="7" t="s">
        <v>995</v>
      </c>
      <c r="B330" s="7" t="s">
        <v>996</v>
      </c>
      <c r="C330" s="7" t="s">
        <v>6</v>
      </c>
      <c r="D330" s="7" t="s">
        <v>997</v>
      </c>
    </row>
    <row r="331" spans="1:4" ht="21" x14ac:dyDescent="0.35">
      <c r="A331" s="7" t="s">
        <v>998</v>
      </c>
      <c r="B331" s="7" t="s">
        <v>999</v>
      </c>
      <c r="C331" s="7" t="s">
        <v>27</v>
      </c>
      <c r="D331" s="7" t="s">
        <v>1000</v>
      </c>
    </row>
    <row r="332" spans="1:4" ht="21" x14ac:dyDescent="0.35">
      <c r="A332" s="7" t="s">
        <v>1001</v>
      </c>
      <c r="B332" s="7" t="s">
        <v>1002</v>
      </c>
      <c r="C332" s="7" t="s">
        <v>14</v>
      </c>
      <c r="D332" s="7" t="s">
        <v>1003</v>
      </c>
    </row>
    <row r="333" spans="1:4" ht="21" x14ac:dyDescent="0.35">
      <c r="A333" s="7" t="s">
        <v>1004</v>
      </c>
      <c r="B333" s="7" t="s">
        <v>1005</v>
      </c>
      <c r="C333" s="7" t="s">
        <v>6</v>
      </c>
      <c r="D333" s="7" t="s">
        <v>1006</v>
      </c>
    </row>
    <row r="334" spans="1:4" ht="21" x14ac:dyDescent="0.35">
      <c r="A334" s="7" t="s">
        <v>1007</v>
      </c>
      <c r="B334" s="7" t="s">
        <v>1008</v>
      </c>
      <c r="C334" s="7" t="s">
        <v>31</v>
      </c>
      <c r="D334" s="7" t="s">
        <v>1009</v>
      </c>
    </row>
    <row r="335" spans="1:4" ht="21" x14ac:dyDescent="0.35">
      <c r="A335" s="7" t="s">
        <v>1010</v>
      </c>
      <c r="B335" s="7" t="s">
        <v>1011</v>
      </c>
      <c r="C335" s="7" t="s">
        <v>14</v>
      </c>
      <c r="D335" s="7" t="s">
        <v>1012</v>
      </c>
    </row>
    <row r="336" spans="1:4" ht="21" x14ac:dyDescent="0.35">
      <c r="A336" s="7" t="s">
        <v>1013</v>
      </c>
      <c r="B336" s="7" t="s">
        <v>1014</v>
      </c>
      <c r="C336" s="7" t="s">
        <v>6</v>
      </c>
      <c r="D336" s="7" t="s">
        <v>1015</v>
      </c>
    </row>
    <row r="337" spans="1:4" ht="21" x14ac:dyDescent="0.35">
      <c r="A337" s="7" t="s">
        <v>1016</v>
      </c>
      <c r="B337" s="7" t="s">
        <v>1017</v>
      </c>
      <c r="C337" s="7" t="s">
        <v>31</v>
      </c>
      <c r="D337" s="7" t="s">
        <v>1018</v>
      </c>
    </row>
    <row r="338" spans="1:4" ht="21" x14ac:dyDescent="0.35">
      <c r="A338" s="7" t="s">
        <v>1019</v>
      </c>
      <c r="B338" s="7" t="s">
        <v>1020</v>
      </c>
      <c r="C338" s="7" t="s">
        <v>10</v>
      </c>
      <c r="D338" s="7" t="s">
        <v>1021</v>
      </c>
    </row>
    <row r="339" spans="1:4" ht="21" x14ac:dyDescent="0.35">
      <c r="A339" s="7" t="s">
        <v>1022</v>
      </c>
      <c r="B339" s="7" t="s">
        <v>1023</v>
      </c>
      <c r="C339" s="7" t="s">
        <v>78</v>
      </c>
      <c r="D339" s="7" t="s">
        <v>1024</v>
      </c>
    </row>
    <row r="340" spans="1:4" ht="21" x14ac:dyDescent="0.35">
      <c r="A340" s="7" t="s">
        <v>1025</v>
      </c>
      <c r="B340" s="7" t="s">
        <v>1026</v>
      </c>
      <c r="C340" s="7" t="s">
        <v>41</v>
      </c>
      <c r="D340" s="7" t="s">
        <v>1027</v>
      </c>
    </row>
    <row r="341" spans="1:4" ht="21" x14ac:dyDescent="0.35">
      <c r="A341" s="7" t="s">
        <v>1028</v>
      </c>
      <c r="B341" s="7" t="s">
        <v>1029</v>
      </c>
      <c r="C341" s="7" t="s">
        <v>41</v>
      </c>
      <c r="D341" s="7" t="s">
        <v>1030</v>
      </c>
    </row>
    <row r="342" spans="1:4" ht="21" x14ac:dyDescent="0.35">
      <c r="A342" s="7" t="s">
        <v>1031</v>
      </c>
      <c r="B342" s="7" t="s">
        <v>1032</v>
      </c>
      <c r="C342" s="7" t="s">
        <v>27</v>
      </c>
      <c r="D342" s="7" t="s">
        <v>1033</v>
      </c>
    </row>
    <row r="343" spans="1:4" ht="21" x14ac:dyDescent="0.35">
      <c r="A343" s="7" t="s">
        <v>1034</v>
      </c>
      <c r="B343" s="7" t="s">
        <v>1035</v>
      </c>
      <c r="C343" s="7" t="s">
        <v>6</v>
      </c>
      <c r="D343" s="7" t="s">
        <v>1036</v>
      </c>
    </row>
    <row r="344" spans="1:4" ht="21" x14ac:dyDescent="0.35">
      <c r="A344" s="7" t="s">
        <v>1037</v>
      </c>
      <c r="B344" s="7" t="s">
        <v>1038</v>
      </c>
      <c r="C344" s="7" t="s">
        <v>78</v>
      </c>
      <c r="D344" s="7" t="s">
        <v>1039</v>
      </c>
    </row>
    <row r="345" spans="1:4" ht="21" x14ac:dyDescent="0.35">
      <c r="A345" s="7" t="s">
        <v>1040</v>
      </c>
      <c r="B345" s="7" t="s">
        <v>1041</v>
      </c>
      <c r="C345" s="7" t="s">
        <v>41</v>
      </c>
      <c r="D345" s="7" t="s">
        <v>1042</v>
      </c>
    </row>
    <row r="346" spans="1:4" ht="21" x14ac:dyDescent="0.35">
      <c r="A346" s="7" t="s">
        <v>1043</v>
      </c>
      <c r="B346" s="7" t="s">
        <v>1044</v>
      </c>
      <c r="C346" s="7" t="s">
        <v>14</v>
      </c>
      <c r="D346" s="7" t="s">
        <v>1045</v>
      </c>
    </row>
    <row r="347" spans="1:4" ht="21" x14ac:dyDescent="0.35">
      <c r="A347" s="7" t="s">
        <v>1046</v>
      </c>
      <c r="B347" s="7" t="s">
        <v>1047</v>
      </c>
      <c r="C347" s="7" t="s">
        <v>14</v>
      </c>
      <c r="D347" s="7" t="s">
        <v>1048</v>
      </c>
    </row>
    <row r="348" spans="1:4" ht="21" x14ac:dyDescent="0.35">
      <c r="A348" s="7" t="s">
        <v>1049</v>
      </c>
      <c r="B348" s="7" t="s">
        <v>1050</v>
      </c>
      <c r="C348" s="7" t="s">
        <v>14</v>
      </c>
      <c r="D348" s="7" t="s">
        <v>1051</v>
      </c>
    </row>
    <row r="349" spans="1:4" ht="21" x14ac:dyDescent="0.35">
      <c r="A349" s="7" t="s">
        <v>1052</v>
      </c>
      <c r="B349" s="7" t="s">
        <v>1053</v>
      </c>
      <c r="C349" s="7" t="s">
        <v>14</v>
      </c>
      <c r="D349" s="7" t="s">
        <v>1054</v>
      </c>
    </row>
    <row r="350" spans="1:4" ht="21" x14ac:dyDescent="0.35">
      <c r="A350" s="7" t="s">
        <v>1055</v>
      </c>
      <c r="B350" s="7" t="s">
        <v>1056</v>
      </c>
      <c r="C350" s="7" t="s">
        <v>78</v>
      </c>
      <c r="D350" s="7" t="s">
        <v>1057</v>
      </c>
    </row>
    <row r="351" spans="1:4" ht="21" x14ac:dyDescent="0.35">
      <c r="A351" s="7" t="s">
        <v>1058</v>
      </c>
      <c r="B351" s="7" t="s">
        <v>1059</v>
      </c>
      <c r="C351" s="7" t="s">
        <v>31</v>
      </c>
      <c r="D351" s="7" t="s">
        <v>1060</v>
      </c>
    </row>
    <row r="352" spans="1:4" ht="21" x14ac:dyDescent="0.35">
      <c r="A352" s="7" t="s">
        <v>1061</v>
      </c>
      <c r="B352" s="7" t="s">
        <v>1062</v>
      </c>
      <c r="C352" s="7" t="s">
        <v>10</v>
      </c>
      <c r="D352" s="7" t="s">
        <v>1063</v>
      </c>
    </row>
    <row r="353" spans="1:4" ht="21" x14ac:dyDescent="0.35">
      <c r="A353" s="7" t="s">
        <v>1064</v>
      </c>
      <c r="B353" s="7" t="s">
        <v>1065</v>
      </c>
      <c r="C353" s="7" t="s">
        <v>6</v>
      </c>
      <c r="D353" s="7" t="s">
        <v>1066</v>
      </c>
    </row>
    <row r="354" spans="1:4" ht="21" x14ac:dyDescent="0.35">
      <c r="A354" s="7" t="s">
        <v>1067</v>
      </c>
      <c r="B354" s="7" t="s">
        <v>1068</v>
      </c>
      <c r="C354" s="7" t="s">
        <v>78</v>
      </c>
      <c r="D354" s="7" t="s">
        <v>1069</v>
      </c>
    </row>
    <row r="355" spans="1:4" ht="21" x14ac:dyDescent="0.35">
      <c r="A355" s="7" t="s">
        <v>1070</v>
      </c>
      <c r="B355" s="7" t="s">
        <v>1071</v>
      </c>
      <c r="C355" s="7" t="s">
        <v>6</v>
      </c>
      <c r="D355" s="7" t="s">
        <v>1072</v>
      </c>
    </row>
    <row r="356" spans="1:4" ht="21" x14ac:dyDescent="0.35">
      <c r="A356" s="7" t="s">
        <v>1073</v>
      </c>
      <c r="B356" s="7" t="s">
        <v>1074</v>
      </c>
      <c r="C356" s="7" t="s">
        <v>31</v>
      </c>
      <c r="D356" s="7" t="s">
        <v>1075</v>
      </c>
    </row>
    <row r="357" spans="1:4" ht="21" x14ac:dyDescent="0.35">
      <c r="A357" s="7" t="s">
        <v>1076</v>
      </c>
      <c r="B357" s="7" t="s">
        <v>1077</v>
      </c>
      <c r="C357" s="7" t="s">
        <v>6</v>
      </c>
      <c r="D357" s="7" t="s">
        <v>1078</v>
      </c>
    </row>
    <row r="358" spans="1:4" ht="21" x14ac:dyDescent="0.35">
      <c r="A358" s="7" t="s">
        <v>1079</v>
      </c>
      <c r="B358" s="7" t="s">
        <v>1080</v>
      </c>
      <c r="C358" s="7" t="s">
        <v>14</v>
      </c>
      <c r="D358" s="7" t="s">
        <v>1081</v>
      </c>
    </row>
    <row r="359" spans="1:4" ht="21" x14ac:dyDescent="0.35">
      <c r="A359" s="7" t="s">
        <v>1082</v>
      </c>
      <c r="B359" s="7" t="s">
        <v>1083</v>
      </c>
      <c r="C359" s="7" t="s">
        <v>14</v>
      </c>
      <c r="D359" s="7" t="s">
        <v>1084</v>
      </c>
    </row>
    <row r="360" spans="1:4" ht="21" x14ac:dyDescent="0.35">
      <c r="A360" s="7" t="s">
        <v>1085</v>
      </c>
      <c r="B360" s="7" t="s">
        <v>1086</v>
      </c>
      <c r="C360" s="7" t="s">
        <v>41</v>
      </c>
      <c r="D360" s="7" t="s">
        <v>1087</v>
      </c>
    </row>
    <row r="361" spans="1:4" ht="21" x14ac:dyDescent="0.35">
      <c r="A361" s="7" t="s">
        <v>1088</v>
      </c>
      <c r="B361" s="7" t="s">
        <v>1089</v>
      </c>
      <c r="C361" s="7" t="s">
        <v>14</v>
      </c>
      <c r="D361" s="7" t="s">
        <v>1090</v>
      </c>
    </row>
    <row r="362" spans="1:4" ht="21" x14ac:dyDescent="0.35">
      <c r="A362" s="7" t="s">
        <v>1091</v>
      </c>
      <c r="B362" s="7" t="s">
        <v>1092</v>
      </c>
      <c r="C362" s="7" t="s">
        <v>41</v>
      </c>
      <c r="D362" s="7" t="s">
        <v>1093</v>
      </c>
    </row>
    <row r="363" spans="1:4" ht="21" x14ac:dyDescent="0.35">
      <c r="A363" s="7" t="s">
        <v>1094</v>
      </c>
      <c r="B363" s="7" t="s">
        <v>1095</v>
      </c>
      <c r="C363" s="7" t="s">
        <v>27</v>
      </c>
      <c r="D363" s="7" t="s">
        <v>1096</v>
      </c>
    </row>
    <row r="364" spans="1:4" ht="21" x14ac:dyDescent="0.35">
      <c r="A364" s="7" t="s">
        <v>1097</v>
      </c>
      <c r="B364" s="7" t="s">
        <v>1098</v>
      </c>
      <c r="C364" s="7" t="s">
        <v>41</v>
      </c>
      <c r="D364" s="7" t="s">
        <v>1099</v>
      </c>
    </row>
    <row r="365" spans="1:4" ht="21" x14ac:dyDescent="0.35">
      <c r="A365" s="7" t="s">
        <v>1100</v>
      </c>
      <c r="B365" s="7" t="s">
        <v>1101</v>
      </c>
      <c r="C365" s="7" t="s">
        <v>41</v>
      </c>
      <c r="D365" s="7" t="s">
        <v>1102</v>
      </c>
    </row>
    <row r="366" spans="1:4" ht="21" x14ac:dyDescent="0.35">
      <c r="A366" s="7" t="s">
        <v>1103</v>
      </c>
      <c r="B366" s="7" t="s">
        <v>1104</v>
      </c>
      <c r="C366" s="7" t="s">
        <v>41</v>
      </c>
      <c r="D366" s="7" t="s">
        <v>1105</v>
      </c>
    </row>
    <row r="367" spans="1:4" ht="21" x14ac:dyDescent="0.35">
      <c r="A367" s="7" t="s">
        <v>1106</v>
      </c>
      <c r="B367" s="7" t="s">
        <v>1107</v>
      </c>
      <c r="C367" s="7" t="s">
        <v>27</v>
      </c>
      <c r="D367" s="7" t="s">
        <v>1108</v>
      </c>
    </row>
    <row r="368" spans="1:4" ht="21" x14ac:dyDescent="0.35">
      <c r="A368" s="7" t="s">
        <v>1109</v>
      </c>
      <c r="B368" s="7" t="s">
        <v>1110</v>
      </c>
      <c r="C368" s="7" t="s">
        <v>31</v>
      </c>
      <c r="D368" s="7" t="s">
        <v>1111</v>
      </c>
    </row>
    <row r="369" spans="1:4" ht="21" x14ac:dyDescent="0.35">
      <c r="A369" s="7" t="s">
        <v>1112</v>
      </c>
      <c r="B369" s="7" t="s">
        <v>1113</v>
      </c>
      <c r="C369" s="7" t="s">
        <v>6</v>
      </c>
      <c r="D369" s="7" t="s">
        <v>1114</v>
      </c>
    </row>
    <row r="370" spans="1:4" ht="21" x14ac:dyDescent="0.35">
      <c r="A370" s="7" t="s">
        <v>1115</v>
      </c>
      <c r="B370" s="7" t="s">
        <v>1116</v>
      </c>
      <c r="C370" s="7" t="s">
        <v>31</v>
      </c>
      <c r="D370" s="7" t="s">
        <v>1117</v>
      </c>
    </row>
    <row r="371" spans="1:4" ht="21" x14ac:dyDescent="0.35">
      <c r="A371" s="7" t="s">
        <v>1118</v>
      </c>
      <c r="B371" s="7" t="s">
        <v>1119</v>
      </c>
      <c r="C371" s="7" t="s">
        <v>14</v>
      </c>
      <c r="D371" s="7" t="s">
        <v>1120</v>
      </c>
    </row>
    <row r="372" spans="1:4" ht="21" x14ac:dyDescent="0.35">
      <c r="A372" s="7" t="s">
        <v>1121</v>
      </c>
      <c r="B372" s="7" t="s">
        <v>1122</v>
      </c>
      <c r="C372" s="7" t="s">
        <v>10</v>
      </c>
      <c r="D372" s="7" t="s">
        <v>1123</v>
      </c>
    </row>
    <row r="373" spans="1:4" ht="21" x14ac:dyDescent="0.35">
      <c r="A373" s="7" t="s">
        <v>1124</v>
      </c>
      <c r="B373" s="7" t="s">
        <v>1125</v>
      </c>
      <c r="C373" s="7" t="s">
        <v>6</v>
      </c>
      <c r="D373" s="7" t="s">
        <v>1126</v>
      </c>
    </row>
    <row r="374" spans="1:4" ht="21" x14ac:dyDescent="0.35">
      <c r="A374" s="7" t="s">
        <v>1127</v>
      </c>
      <c r="B374" s="7" t="s">
        <v>1128</v>
      </c>
      <c r="C374" s="7" t="s">
        <v>31</v>
      </c>
      <c r="D374" s="7" t="s">
        <v>1129</v>
      </c>
    </row>
    <row r="375" spans="1:4" ht="21" x14ac:dyDescent="0.35">
      <c r="A375" s="7" t="s">
        <v>1130</v>
      </c>
      <c r="B375" s="7" t="s">
        <v>1131</v>
      </c>
      <c r="C375" s="7" t="s">
        <v>31</v>
      </c>
      <c r="D375" s="7" t="s">
        <v>1132</v>
      </c>
    </row>
    <row r="376" spans="1:4" ht="21" x14ac:dyDescent="0.35">
      <c r="A376" s="7" t="s">
        <v>1133</v>
      </c>
      <c r="B376" s="7" t="s">
        <v>1134</v>
      </c>
      <c r="C376" s="7" t="s">
        <v>27</v>
      </c>
      <c r="D376" s="7" t="s">
        <v>1135</v>
      </c>
    </row>
    <row r="377" spans="1:4" ht="21" x14ac:dyDescent="0.35">
      <c r="A377" s="7" t="s">
        <v>1136</v>
      </c>
      <c r="B377" s="7" t="s">
        <v>1137</v>
      </c>
      <c r="C377" s="7" t="s">
        <v>78</v>
      </c>
      <c r="D377" s="7" t="s">
        <v>1138</v>
      </c>
    </row>
    <row r="378" spans="1:4" ht="21" x14ac:dyDescent="0.35">
      <c r="A378" s="7" t="s">
        <v>1139</v>
      </c>
      <c r="B378" s="7" t="s">
        <v>1140</v>
      </c>
      <c r="C378" s="7" t="s">
        <v>10</v>
      </c>
      <c r="D378" s="7" t="s">
        <v>1141</v>
      </c>
    </row>
    <row r="379" spans="1:4" ht="21" x14ac:dyDescent="0.35">
      <c r="A379" s="7" t="s">
        <v>1142</v>
      </c>
      <c r="B379" s="7" t="s">
        <v>1143</v>
      </c>
      <c r="C379" s="7" t="s">
        <v>31</v>
      </c>
      <c r="D379" s="7" t="s">
        <v>1144</v>
      </c>
    </row>
    <row r="380" spans="1:4" ht="21" x14ac:dyDescent="0.35">
      <c r="A380" s="7" t="s">
        <v>1145</v>
      </c>
      <c r="B380" s="7" t="s">
        <v>1146</v>
      </c>
      <c r="C380" s="7" t="s">
        <v>10</v>
      </c>
      <c r="D380" s="7" t="s">
        <v>1147</v>
      </c>
    </row>
    <row r="381" spans="1:4" ht="21" x14ac:dyDescent="0.35">
      <c r="A381" s="7" t="s">
        <v>1148</v>
      </c>
      <c r="B381" s="7" t="s">
        <v>1149</v>
      </c>
      <c r="C381" s="7" t="s">
        <v>41</v>
      </c>
      <c r="D381" s="7" t="s">
        <v>1150</v>
      </c>
    </row>
    <row r="382" spans="1:4" ht="21" x14ac:dyDescent="0.35">
      <c r="A382" s="7" t="s">
        <v>1151</v>
      </c>
      <c r="B382" s="7" t="s">
        <v>1152</v>
      </c>
      <c r="C382" s="7" t="s">
        <v>41</v>
      </c>
      <c r="D382" s="7" t="s">
        <v>1153</v>
      </c>
    </row>
    <row r="383" spans="1:4" ht="21" x14ac:dyDescent="0.35">
      <c r="A383" s="7" t="s">
        <v>1154</v>
      </c>
      <c r="B383" s="7" t="s">
        <v>1155</v>
      </c>
      <c r="C383" s="7" t="s">
        <v>31</v>
      </c>
      <c r="D383" s="7" t="s">
        <v>1156</v>
      </c>
    </row>
    <row r="384" spans="1:4" ht="21" x14ac:dyDescent="0.35">
      <c r="A384" s="7" t="s">
        <v>1157</v>
      </c>
      <c r="B384" s="7" t="s">
        <v>1158</v>
      </c>
      <c r="C384" s="7" t="s">
        <v>27</v>
      </c>
      <c r="D384" s="7" t="s">
        <v>1159</v>
      </c>
    </row>
    <row r="385" spans="1:4" ht="21" x14ac:dyDescent="0.35">
      <c r="A385" s="7" t="s">
        <v>1160</v>
      </c>
      <c r="B385" s="7" t="s">
        <v>1161</v>
      </c>
      <c r="C385" s="7" t="s">
        <v>14</v>
      </c>
      <c r="D385" s="7" t="s">
        <v>1162</v>
      </c>
    </row>
    <row r="386" spans="1:4" ht="21" x14ac:dyDescent="0.35">
      <c r="A386" s="7" t="s">
        <v>1163</v>
      </c>
      <c r="B386" s="7" t="s">
        <v>1164</v>
      </c>
      <c r="C386" s="7" t="s">
        <v>10</v>
      </c>
      <c r="D386" s="7" t="s">
        <v>1165</v>
      </c>
    </row>
    <row r="387" spans="1:4" ht="21" x14ac:dyDescent="0.35">
      <c r="A387" s="7" t="s">
        <v>1166</v>
      </c>
      <c r="B387" s="7" t="s">
        <v>1167</v>
      </c>
      <c r="C387" s="7" t="s">
        <v>78</v>
      </c>
      <c r="D387" s="7" t="s">
        <v>1168</v>
      </c>
    </row>
    <row r="388" spans="1:4" ht="21" x14ac:dyDescent="0.35">
      <c r="A388" s="7" t="s">
        <v>1169</v>
      </c>
      <c r="B388" s="7" t="s">
        <v>1170</v>
      </c>
      <c r="C388" s="7" t="s">
        <v>14</v>
      </c>
      <c r="D388" s="7" t="s">
        <v>1171</v>
      </c>
    </row>
    <row r="389" spans="1:4" ht="21" x14ac:dyDescent="0.35">
      <c r="A389" s="7" t="s">
        <v>1172</v>
      </c>
      <c r="B389" s="7" t="s">
        <v>1173</v>
      </c>
      <c r="C389" s="7" t="s">
        <v>31</v>
      </c>
      <c r="D389" s="7" t="s">
        <v>1174</v>
      </c>
    </row>
    <row r="390" spans="1:4" ht="21" x14ac:dyDescent="0.35">
      <c r="A390" s="7" t="s">
        <v>1175</v>
      </c>
      <c r="B390" s="7" t="s">
        <v>1176</v>
      </c>
      <c r="C390" s="7" t="s">
        <v>14</v>
      </c>
      <c r="D390" s="7" t="s">
        <v>1177</v>
      </c>
    </row>
    <row r="391" spans="1:4" ht="21" x14ac:dyDescent="0.35">
      <c r="A391" s="7" t="s">
        <v>1178</v>
      </c>
      <c r="B391" s="7" t="s">
        <v>1179</v>
      </c>
      <c r="C391" s="7" t="s">
        <v>27</v>
      </c>
      <c r="D391" s="7" t="s">
        <v>1180</v>
      </c>
    </row>
    <row r="392" spans="1:4" ht="21" x14ac:dyDescent="0.35">
      <c r="A392" s="7" t="s">
        <v>1181</v>
      </c>
      <c r="B392" s="7" t="s">
        <v>1182</v>
      </c>
      <c r="C392" s="7" t="s">
        <v>6</v>
      </c>
      <c r="D392" s="7" t="s">
        <v>1183</v>
      </c>
    </row>
    <row r="393" spans="1:4" ht="21" x14ac:dyDescent="0.35">
      <c r="A393" s="7" t="s">
        <v>1184</v>
      </c>
      <c r="B393" s="7" t="s">
        <v>1185</v>
      </c>
      <c r="C393" s="7" t="s">
        <v>14</v>
      </c>
      <c r="D393" s="7" t="s">
        <v>1186</v>
      </c>
    </row>
    <row r="394" spans="1:4" ht="21" x14ac:dyDescent="0.35">
      <c r="A394" s="7" t="s">
        <v>1187</v>
      </c>
      <c r="B394" s="7" t="s">
        <v>1188</v>
      </c>
      <c r="C394" s="7" t="s">
        <v>27</v>
      </c>
      <c r="D394" s="7" t="s">
        <v>1189</v>
      </c>
    </row>
    <row r="395" spans="1:4" ht="21" x14ac:dyDescent="0.35">
      <c r="A395" s="7" t="s">
        <v>1190</v>
      </c>
      <c r="B395" s="7" t="s">
        <v>1191</v>
      </c>
      <c r="C395" s="7" t="s">
        <v>6</v>
      </c>
      <c r="D395" s="7" t="s">
        <v>1192</v>
      </c>
    </row>
    <row r="396" spans="1:4" ht="21" x14ac:dyDescent="0.35">
      <c r="A396" s="7" t="s">
        <v>1193</v>
      </c>
      <c r="B396" s="7" t="s">
        <v>1194</v>
      </c>
      <c r="C396" s="7" t="s">
        <v>41</v>
      </c>
      <c r="D396" s="7" t="s">
        <v>1195</v>
      </c>
    </row>
    <row r="397" spans="1:4" ht="21" x14ac:dyDescent="0.35">
      <c r="A397" s="7" t="s">
        <v>1196</v>
      </c>
      <c r="B397" s="7" t="s">
        <v>1197</v>
      </c>
      <c r="C397" s="7" t="s">
        <v>31</v>
      </c>
      <c r="D397" s="7" t="s">
        <v>1198</v>
      </c>
    </row>
    <row r="398" spans="1:4" ht="21" x14ac:dyDescent="0.35">
      <c r="A398" s="7" t="s">
        <v>1199</v>
      </c>
      <c r="B398" s="7" t="s">
        <v>1200</v>
      </c>
      <c r="C398" s="7" t="s">
        <v>10</v>
      </c>
      <c r="D398" s="7" t="s">
        <v>1201</v>
      </c>
    </row>
    <row r="399" spans="1:4" ht="21" x14ac:dyDescent="0.35">
      <c r="A399" s="7" t="s">
        <v>1202</v>
      </c>
      <c r="B399" s="7" t="s">
        <v>1203</v>
      </c>
      <c r="C399" s="7" t="s">
        <v>10</v>
      </c>
      <c r="D399" s="7" t="s">
        <v>1204</v>
      </c>
    </row>
    <row r="400" spans="1:4" ht="21" x14ac:dyDescent="0.35">
      <c r="A400" s="7" t="s">
        <v>1205</v>
      </c>
      <c r="B400" s="7" t="s">
        <v>1206</v>
      </c>
      <c r="C400" s="7" t="s">
        <v>41</v>
      </c>
      <c r="D400" s="7" t="s">
        <v>1207</v>
      </c>
    </row>
    <row r="401" spans="1:4" ht="21" x14ac:dyDescent="0.35">
      <c r="A401" s="7" t="s">
        <v>1208</v>
      </c>
      <c r="B401" s="7" t="s">
        <v>1209</v>
      </c>
      <c r="C401" s="7" t="s">
        <v>10</v>
      </c>
      <c r="D401" s="7" t="s">
        <v>1210</v>
      </c>
    </row>
    <row r="402" spans="1:4" ht="21" x14ac:dyDescent="0.35">
      <c r="A402" s="7" t="s">
        <v>1211</v>
      </c>
      <c r="B402" s="7" t="s">
        <v>1212</v>
      </c>
      <c r="C402" s="7" t="s">
        <v>10</v>
      </c>
      <c r="D402" s="7" t="s">
        <v>1213</v>
      </c>
    </row>
    <row r="403" spans="1:4" ht="21" x14ac:dyDescent="0.35">
      <c r="A403" s="7" t="s">
        <v>1214</v>
      </c>
      <c r="B403" s="7" t="s">
        <v>1215</v>
      </c>
      <c r="C403" s="7" t="s">
        <v>27</v>
      </c>
      <c r="D403" s="7" t="s">
        <v>1216</v>
      </c>
    </row>
    <row r="404" spans="1:4" ht="21" x14ac:dyDescent="0.35">
      <c r="A404" s="7" t="s">
        <v>1217</v>
      </c>
      <c r="B404" s="7" t="s">
        <v>1218</v>
      </c>
      <c r="C404" s="7" t="s">
        <v>27</v>
      </c>
      <c r="D404" s="7" t="s">
        <v>1219</v>
      </c>
    </row>
    <row r="405" spans="1:4" ht="21" x14ac:dyDescent="0.35">
      <c r="A405" s="7" t="s">
        <v>1220</v>
      </c>
      <c r="B405" s="7" t="s">
        <v>1221</v>
      </c>
      <c r="C405" s="7" t="s">
        <v>14</v>
      </c>
      <c r="D405" s="7" t="s">
        <v>1222</v>
      </c>
    </row>
    <row r="406" spans="1:4" ht="21" x14ac:dyDescent="0.35">
      <c r="A406" s="7" t="s">
        <v>1223</v>
      </c>
      <c r="B406" s="7" t="s">
        <v>1224</v>
      </c>
      <c r="C406" s="7" t="s">
        <v>14</v>
      </c>
      <c r="D406" s="7" t="s">
        <v>1225</v>
      </c>
    </row>
    <row r="407" spans="1:4" ht="21" x14ac:dyDescent="0.35">
      <c r="A407" s="7" t="s">
        <v>1226</v>
      </c>
      <c r="B407" s="7" t="s">
        <v>1227</v>
      </c>
      <c r="C407" s="7" t="s">
        <v>6</v>
      </c>
      <c r="D407" s="7" t="s">
        <v>1228</v>
      </c>
    </row>
    <row r="408" spans="1:4" ht="21" x14ac:dyDescent="0.35">
      <c r="A408" s="7" t="s">
        <v>1229</v>
      </c>
      <c r="B408" s="7" t="s">
        <v>1230</v>
      </c>
      <c r="C408" s="7" t="s">
        <v>41</v>
      </c>
      <c r="D408" s="7" t="s">
        <v>1231</v>
      </c>
    </row>
    <row r="409" spans="1:4" ht="21" x14ac:dyDescent="0.35">
      <c r="A409" s="7" t="s">
        <v>1232</v>
      </c>
      <c r="B409" s="7" t="s">
        <v>1233</v>
      </c>
      <c r="C409" s="7" t="s">
        <v>41</v>
      </c>
      <c r="D409" s="7" t="s">
        <v>1234</v>
      </c>
    </row>
    <row r="410" spans="1:4" ht="21" x14ac:dyDescent="0.35">
      <c r="A410" s="7" t="s">
        <v>1235</v>
      </c>
      <c r="B410" s="7" t="s">
        <v>1236</v>
      </c>
      <c r="C410" s="7" t="s">
        <v>6</v>
      </c>
      <c r="D410" s="7" t="s">
        <v>1237</v>
      </c>
    </row>
    <row r="411" spans="1:4" ht="21" x14ac:dyDescent="0.35">
      <c r="A411" s="7" t="s">
        <v>1238</v>
      </c>
      <c r="B411" s="7" t="s">
        <v>1239</v>
      </c>
      <c r="C411" s="7" t="s">
        <v>41</v>
      </c>
      <c r="D411" s="7" t="s">
        <v>1240</v>
      </c>
    </row>
    <row r="412" spans="1:4" ht="21" x14ac:dyDescent="0.35">
      <c r="A412" s="7" t="s">
        <v>1241</v>
      </c>
      <c r="B412" s="7" t="s">
        <v>1242</v>
      </c>
      <c r="C412" s="7" t="s">
        <v>78</v>
      </c>
      <c r="D412" s="7" t="s">
        <v>1243</v>
      </c>
    </row>
    <row r="413" spans="1:4" ht="21" x14ac:dyDescent="0.35">
      <c r="A413" s="7" t="s">
        <v>1244</v>
      </c>
      <c r="B413" s="7" t="s">
        <v>1245</v>
      </c>
      <c r="C413" s="7" t="s">
        <v>41</v>
      </c>
      <c r="D413" s="7" t="s">
        <v>1246</v>
      </c>
    </row>
    <row r="414" spans="1:4" ht="21" x14ac:dyDescent="0.35">
      <c r="A414" s="7" t="s">
        <v>1247</v>
      </c>
      <c r="B414" s="7" t="s">
        <v>1248</v>
      </c>
      <c r="C414" s="7" t="s">
        <v>31</v>
      </c>
      <c r="D414" s="7" t="s">
        <v>1249</v>
      </c>
    </row>
    <row r="415" spans="1:4" ht="21" x14ac:dyDescent="0.35">
      <c r="A415" s="7" t="s">
        <v>1250</v>
      </c>
      <c r="B415" s="7" t="s">
        <v>1251</v>
      </c>
      <c r="C415" s="7" t="s">
        <v>14</v>
      </c>
      <c r="D415" s="7" t="s">
        <v>1252</v>
      </c>
    </row>
    <row r="416" spans="1:4" ht="21" x14ac:dyDescent="0.35">
      <c r="A416" s="7" t="s">
        <v>1253</v>
      </c>
      <c r="B416" s="7" t="s">
        <v>1254</v>
      </c>
      <c r="C416" s="7" t="s">
        <v>41</v>
      </c>
      <c r="D416" s="7" t="s">
        <v>1255</v>
      </c>
    </row>
    <row r="417" spans="1:4" ht="21" x14ac:dyDescent="0.35">
      <c r="A417" s="7" t="s">
        <v>1256</v>
      </c>
      <c r="B417" s="7" t="s">
        <v>1257</v>
      </c>
      <c r="C417" s="7" t="s">
        <v>27</v>
      </c>
      <c r="D417" s="7" t="s">
        <v>1258</v>
      </c>
    </row>
    <row r="418" spans="1:4" ht="21" x14ac:dyDescent="0.35">
      <c r="A418" s="7" t="s">
        <v>1259</v>
      </c>
      <c r="B418" s="7" t="s">
        <v>1260</v>
      </c>
      <c r="C418" s="7" t="s">
        <v>41</v>
      </c>
      <c r="D418" s="7" t="s">
        <v>1261</v>
      </c>
    </row>
    <row r="419" spans="1:4" ht="21" x14ac:dyDescent="0.35">
      <c r="A419" s="7" t="s">
        <v>1262</v>
      </c>
      <c r="B419" s="7" t="s">
        <v>1263</v>
      </c>
      <c r="C419" s="7" t="s">
        <v>78</v>
      </c>
      <c r="D419" s="7" t="s">
        <v>1264</v>
      </c>
    </row>
    <row r="420" spans="1:4" ht="21" x14ac:dyDescent="0.35">
      <c r="A420" s="7" t="s">
        <v>1265</v>
      </c>
      <c r="B420" s="7" t="s">
        <v>1266</v>
      </c>
      <c r="C420" s="7" t="s">
        <v>14</v>
      </c>
      <c r="D420" s="7" t="s">
        <v>1267</v>
      </c>
    </row>
    <row r="421" spans="1:4" ht="21" x14ac:dyDescent="0.35">
      <c r="A421" s="7" t="s">
        <v>1268</v>
      </c>
      <c r="B421" s="7" t="s">
        <v>1269</v>
      </c>
      <c r="C421" s="7" t="s">
        <v>31</v>
      </c>
      <c r="D421" s="7" t="s">
        <v>1270</v>
      </c>
    </row>
    <row r="422" spans="1:4" ht="21" x14ac:dyDescent="0.35">
      <c r="A422" s="7" t="s">
        <v>1271</v>
      </c>
      <c r="B422" s="7" t="s">
        <v>1272</v>
      </c>
      <c r="C422" s="7" t="s">
        <v>27</v>
      </c>
      <c r="D422" s="7" t="s">
        <v>1273</v>
      </c>
    </row>
    <row r="423" spans="1:4" ht="21" x14ac:dyDescent="0.35">
      <c r="A423" s="7" t="s">
        <v>1274</v>
      </c>
      <c r="B423" s="7" t="s">
        <v>1275</v>
      </c>
      <c r="C423" s="7" t="s">
        <v>31</v>
      </c>
      <c r="D423" s="7" t="s">
        <v>1276</v>
      </c>
    </row>
    <row r="424" spans="1:4" ht="21" x14ac:dyDescent="0.35">
      <c r="A424" s="7" t="s">
        <v>1277</v>
      </c>
      <c r="B424" s="7" t="s">
        <v>1278</v>
      </c>
      <c r="C424" s="7" t="s">
        <v>14</v>
      </c>
      <c r="D424" s="7" t="s">
        <v>1279</v>
      </c>
    </row>
    <row r="425" spans="1:4" ht="21" x14ac:dyDescent="0.35">
      <c r="A425" s="7" t="s">
        <v>1280</v>
      </c>
      <c r="B425" s="7" t="s">
        <v>1281</v>
      </c>
      <c r="C425" s="7" t="s">
        <v>14</v>
      </c>
      <c r="D425" s="7" t="s">
        <v>1282</v>
      </c>
    </row>
    <row r="426" spans="1:4" ht="21" x14ac:dyDescent="0.35">
      <c r="A426" s="7" t="s">
        <v>1283</v>
      </c>
      <c r="B426" s="7" t="s">
        <v>1284</v>
      </c>
      <c r="C426" s="7" t="s">
        <v>10</v>
      </c>
      <c r="D426" s="7" t="s">
        <v>1285</v>
      </c>
    </row>
    <row r="427" spans="1:4" ht="21" x14ac:dyDescent="0.35">
      <c r="A427" s="7" t="s">
        <v>1286</v>
      </c>
      <c r="B427" s="7" t="s">
        <v>1287</v>
      </c>
      <c r="C427" s="7" t="s">
        <v>31</v>
      </c>
      <c r="D427" s="7" t="s">
        <v>1288</v>
      </c>
    </row>
    <row r="428" spans="1:4" ht="21" x14ac:dyDescent="0.35">
      <c r="A428" s="7" t="s">
        <v>1289</v>
      </c>
      <c r="B428" s="7" t="s">
        <v>1290</v>
      </c>
      <c r="C428" s="7" t="s">
        <v>31</v>
      </c>
      <c r="D428" s="7" t="s">
        <v>1291</v>
      </c>
    </row>
    <row r="429" spans="1:4" ht="21" x14ac:dyDescent="0.35">
      <c r="A429" s="7" t="s">
        <v>1292</v>
      </c>
      <c r="B429" s="7" t="s">
        <v>1293</v>
      </c>
      <c r="C429" s="7" t="s">
        <v>41</v>
      </c>
      <c r="D429" s="7" t="s">
        <v>1294</v>
      </c>
    </row>
    <row r="430" spans="1:4" ht="21" x14ac:dyDescent="0.35">
      <c r="A430" s="7" t="s">
        <v>1295</v>
      </c>
      <c r="B430" s="7" t="s">
        <v>1296</v>
      </c>
      <c r="C430" s="7" t="s">
        <v>31</v>
      </c>
      <c r="D430" s="7" t="s">
        <v>1297</v>
      </c>
    </row>
    <row r="431" spans="1:4" ht="21" x14ac:dyDescent="0.35">
      <c r="A431" s="7" t="s">
        <v>1298</v>
      </c>
      <c r="B431" s="7" t="s">
        <v>1299</v>
      </c>
      <c r="C431" s="7" t="s">
        <v>14</v>
      </c>
      <c r="D431" s="7" t="s">
        <v>1300</v>
      </c>
    </row>
    <row r="432" spans="1:4" ht="21" x14ac:dyDescent="0.35">
      <c r="A432" s="7" t="s">
        <v>1301</v>
      </c>
      <c r="B432" s="7" t="s">
        <v>1302</v>
      </c>
      <c r="C432" s="7" t="s">
        <v>78</v>
      </c>
      <c r="D432" s="7" t="s">
        <v>1303</v>
      </c>
    </row>
    <row r="433" spans="1:4" ht="21" x14ac:dyDescent="0.35">
      <c r="A433" s="7" t="s">
        <v>1304</v>
      </c>
      <c r="B433" s="7" t="s">
        <v>1305</v>
      </c>
      <c r="C433" s="7" t="s">
        <v>78</v>
      </c>
      <c r="D433" s="7" t="s">
        <v>1306</v>
      </c>
    </row>
    <row r="434" spans="1:4" ht="21" x14ac:dyDescent="0.35">
      <c r="A434" s="7" t="s">
        <v>1307</v>
      </c>
      <c r="B434" s="7" t="s">
        <v>1308</v>
      </c>
      <c r="C434" s="7" t="s">
        <v>10</v>
      </c>
      <c r="D434" s="7" t="s">
        <v>1309</v>
      </c>
    </row>
    <row r="435" spans="1:4" ht="21" x14ac:dyDescent="0.35">
      <c r="A435" s="7" t="s">
        <v>1310</v>
      </c>
      <c r="B435" s="7" t="s">
        <v>1311</v>
      </c>
      <c r="C435" s="7" t="s">
        <v>14</v>
      </c>
      <c r="D435" s="7" t="s">
        <v>1312</v>
      </c>
    </row>
    <row r="436" spans="1:4" ht="21" x14ac:dyDescent="0.35">
      <c r="A436" s="7" t="s">
        <v>1313</v>
      </c>
      <c r="B436" s="7" t="s">
        <v>1314</v>
      </c>
      <c r="C436" s="7" t="s">
        <v>31</v>
      </c>
      <c r="D436" s="7" t="s">
        <v>1315</v>
      </c>
    </row>
    <row r="437" spans="1:4" ht="21" x14ac:dyDescent="0.35">
      <c r="A437" s="7" t="s">
        <v>1316</v>
      </c>
      <c r="B437" s="7" t="s">
        <v>1317</v>
      </c>
      <c r="C437" s="7" t="s">
        <v>27</v>
      </c>
      <c r="D437" s="7" t="s">
        <v>1318</v>
      </c>
    </row>
    <row r="438" spans="1:4" ht="21" x14ac:dyDescent="0.35">
      <c r="A438" s="7" t="s">
        <v>1319</v>
      </c>
      <c r="B438" s="7" t="s">
        <v>1320</v>
      </c>
      <c r="C438" s="7" t="s">
        <v>6</v>
      </c>
      <c r="D438" s="7" t="s">
        <v>1321</v>
      </c>
    </row>
    <row r="439" spans="1:4" ht="21" x14ac:dyDescent="0.35">
      <c r="A439" s="7" t="s">
        <v>1322</v>
      </c>
      <c r="B439" s="7" t="s">
        <v>1323</v>
      </c>
      <c r="C439" s="7" t="s">
        <v>41</v>
      </c>
      <c r="D439" s="7" t="s">
        <v>1324</v>
      </c>
    </row>
    <row r="440" spans="1:4" ht="21" x14ac:dyDescent="0.35">
      <c r="A440" s="7" t="s">
        <v>1325</v>
      </c>
      <c r="B440" s="7" t="s">
        <v>1326</v>
      </c>
      <c r="C440" s="7" t="s">
        <v>10</v>
      </c>
      <c r="D440" s="7" t="s">
        <v>1327</v>
      </c>
    </row>
    <row r="441" spans="1:4" ht="21" x14ac:dyDescent="0.35">
      <c r="A441" s="7" t="s">
        <v>1328</v>
      </c>
      <c r="B441" s="7" t="s">
        <v>1329</v>
      </c>
      <c r="C441" s="7" t="s">
        <v>31</v>
      </c>
      <c r="D441" s="7" t="s">
        <v>1330</v>
      </c>
    </row>
    <row r="442" spans="1:4" ht="21" x14ac:dyDescent="0.35">
      <c r="A442" s="7" t="s">
        <v>1331</v>
      </c>
      <c r="B442" s="7" t="s">
        <v>1332</v>
      </c>
      <c r="C442" s="7" t="s">
        <v>41</v>
      </c>
      <c r="D442" s="7" t="s">
        <v>1333</v>
      </c>
    </row>
    <row r="443" spans="1:4" ht="21" x14ac:dyDescent="0.35">
      <c r="A443" s="7" t="s">
        <v>1334</v>
      </c>
      <c r="B443" s="7" t="s">
        <v>1335</v>
      </c>
      <c r="C443" s="7" t="s">
        <v>41</v>
      </c>
      <c r="D443" s="7" t="s">
        <v>1336</v>
      </c>
    </row>
    <row r="444" spans="1:4" ht="21" x14ac:dyDescent="0.35">
      <c r="A444" s="7" t="s">
        <v>1337</v>
      </c>
      <c r="B444" s="7" t="s">
        <v>1338</v>
      </c>
      <c r="C444" s="7" t="s">
        <v>41</v>
      </c>
      <c r="D444" s="7" t="s">
        <v>1339</v>
      </c>
    </row>
    <row r="445" spans="1:4" ht="21" x14ac:dyDescent="0.35">
      <c r="A445" s="7" t="s">
        <v>1340</v>
      </c>
      <c r="B445" s="7" t="s">
        <v>1341</v>
      </c>
      <c r="C445" s="7" t="s">
        <v>6</v>
      </c>
      <c r="D445" s="7" t="s">
        <v>1342</v>
      </c>
    </row>
    <row r="446" spans="1:4" ht="21" x14ac:dyDescent="0.35">
      <c r="A446" s="7" t="s">
        <v>1343</v>
      </c>
      <c r="B446" s="7" t="s">
        <v>1344</v>
      </c>
      <c r="C446" s="7" t="s">
        <v>78</v>
      </c>
      <c r="D446" s="7" t="s">
        <v>1345</v>
      </c>
    </row>
    <row r="447" spans="1:4" ht="21" x14ac:dyDescent="0.35">
      <c r="A447" s="7" t="s">
        <v>1346</v>
      </c>
      <c r="B447" s="7" t="s">
        <v>1347</v>
      </c>
      <c r="C447" s="7" t="s">
        <v>14</v>
      </c>
      <c r="D447" s="7" t="s">
        <v>1348</v>
      </c>
    </row>
    <row r="448" spans="1:4" ht="21" x14ac:dyDescent="0.35">
      <c r="A448" s="7" t="s">
        <v>1349</v>
      </c>
      <c r="B448" s="7" t="s">
        <v>1350</v>
      </c>
      <c r="C448" s="7" t="s">
        <v>31</v>
      </c>
      <c r="D448" s="7" t="s">
        <v>1351</v>
      </c>
    </row>
    <row r="449" spans="1:4" ht="21" x14ac:dyDescent="0.35">
      <c r="A449" s="7" t="s">
        <v>1352</v>
      </c>
      <c r="B449" s="7" t="s">
        <v>1353</v>
      </c>
      <c r="C449" s="7" t="s">
        <v>27</v>
      </c>
      <c r="D449" s="7" t="s">
        <v>1354</v>
      </c>
    </row>
    <row r="450" spans="1:4" ht="21" x14ac:dyDescent="0.35">
      <c r="A450" s="7" t="s">
        <v>1355</v>
      </c>
      <c r="B450" s="7" t="s">
        <v>1356</v>
      </c>
      <c r="C450" s="7" t="s">
        <v>27</v>
      </c>
      <c r="D450" s="7" t="s">
        <v>1357</v>
      </c>
    </row>
    <row r="451" spans="1:4" ht="21" x14ac:dyDescent="0.35">
      <c r="A451" s="7" t="s">
        <v>1358</v>
      </c>
      <c r="B451" s="7" t="s">
        <v>1359</v>
      </c>
      <c r="C451" s="7" t="s">
        <v>31</v>
      </c>
      <c r="D451" s="7" t="s">
        <v>1360</v>
      </c>
    </row>
    <row r="452" spans="1:4" ht="21" x14ac:dyDescent="0.35">
      <c r="A452" s="7" t="s">
        <v>1361</v>
      </c>
      <c r="B452" s="7" t="s">
        <v>1362</v>
      </c>
      <c r="C452" s="7" t="s">
        <v>14</v>
      </c>
      <c r="D452" s="7" t="s">
        <v>1363</v>
      </c>
    </row>
    <row r="453" spans="1:4" ht="21" x14ac:dyDescent="0.35">
      <c r="A453" s="7" t="s">
        <v>1364</v>
      </c>
      <c r="B453" s="7" t="s">
        <v>1365</v>
      </c>
      <c r="C453" s="7" t="s">
        <v>27</v>
      </c>
      <c r="D453" s="7" t="s">
        <v>1366</v>
      </c>
    </row>
    <row r="454" spans="1:4" ht="21" x14ac:dyDescent="0.35">
      <c r="A454" s="7" t="s">
        <v>1367</v>
      </c>
      <c r="B454" s="7" t="s">
        <v>1368</v>
      </c>
      <c r="C454" s="7" t="s">
        <v>27</v>
      </c>
      <c r="D454" s="7" t="s">
        <v>1369</v>
      </c>
    </row>
    <row r="455" spans="1:4" ht="21" x14ac:dyDescent="0.35">
      <c r="A455" s="7" t="s">
        <v>1370</v>
      </c>
      <c r="B455" s="7" t="s">
        <v>1371</v>
      </c>
      <c r="C455" s="7" t="s">
        <v>41</v>
      </c>
      <c r="D455" s="7" t="s">
        <v>1372</v>
      </c>
    </row>
    <row r="456" spans="1:4" ht="21" x14ac:dyDescent="0.35">
      <c r="A456" s="7" t="s">
        <v>1373</v>
      </c>
      <c r="B456" s="7" t="s">
        <v>1374</v>
      </c>
      <c r="C456" s="7" t="s">
        <v>6</v>
      </c>
      <c r="D456" s="7" t="s">
        <v>1375</v>
      </c>
    </row>
    <row r="457" spans="1:4" ht="21" x14ac:dyDescent="0.35">
      <c r="A457" s="7" t="s">
        <v>1376</v>
      </c>
      <c r="B457" s="7" t="s">
        <v>1377</v>
      </c>
      <c r="C457" s="7" t="s">
        <v>14</v>
      </c>
      <c r="D457" s="7" t="s">
        <v>1378</v>
      </c>
    </row>
    <row r="458" spans="1:4" ht="21" x14ac:dyDescent="0.35">
      <c r="A458" s="7" t="s">
        <v>1379</v>
      </c>
      <c r="B458" s="7" t="s">
        <v>1380</v>
      </c>
      <c r="C458" s="7" t="s">
        <v>27</v>
      </c>
      <c r="D458" s="7" t="s">
        <v>1381</v>
      </c>
    </row>
    <row r="459" spans="1:4" ht="21" x14ac:dyDescent="0.35">
      <c r="A459" s="7" t="s">
        <v>1382</v>
      </c>
      <c r="B459" s="7" t="s">
        <v>1383</v>
      </c>
      <c r="C459" s="7" t="s">
        <v>41</v>
      </c>
      <c r="D459" s="7" t="s">
        <v>1384</v>
      </c>
    </row>
    <row r="460" spans="1:4" ht="21" x14ac:dyDescent="0.35">
      <c r="A460" s="7" t="s">
        <v>1385</v>
      </c>
      <c r="B460" s="7" t="s">
        <v>1386</v>
      </c>
      <c r="C460" s="7" t="s">
        <v>14</v>
      </c>
      <c r="D460" s="7" t="s">
        <v>1387</v>
      </c>
    </row>
    <row r="461" spans="1:4" ht="21" x14ac:dyDescent="0.35">
      <c r="A461" s="7" t="s">
        <v>1388</v>
      </c>
      <c r="B461" s="7" t="s">
        <v>1389</v>
      </c>
      <c r="C461" s="7" t="s">
        <v>27</v>
      </c>
      <c r="D461" s="7" t="s">
        <v>1390</v>
      </c>
    </row>
    <row r="462" spans="1:4" ht="21" x14ac:dyDescent="0.35">
      <c r="A462" s="7" t="s">
        <v>1391</v>
      </c>
      <c r="B462" s="7" t="s">
        <v>1392</v>
      </c>
      <c r="C462" s="7" t="s">
        <v>6</v>
      </c>
      <c r="D462" s="7" t="s">
        <v>1393</v>
      </c>
    </row>
    <row r="463" spans="1:4" ht="21" x14ac:dyDescent="0.35">
      <c r="A463" s="7" t="s">
        <v>1394</v>
      </c>
      <c r="B463" s="7" t="s">
        <v>1395</v>
      </c>
      <c r="C463" s="7" t="s">
        <v>78</v>
      </c>
      <c r="D463" s="7" t="s">
        <v>1396</v>
      </c>
    </row>
    <row r="464" spans="1:4" ht="21" x14ac:dyDescent="0.35">
      <c r="A464" s="7" t="s">
        <v>1397</v>
      </c>
      <c r="B464" s="7" t="s">
        <v>1398</v>
      </c>
      <c r="C464" s="7" t="s">
        <v>6</v>
      </c>
      <c r="D464" s="7" t="s">
        <v>1399</v>
      </c>
    </row>
    <row r="465" spans="1:4" ht="21" x14ac:dyDescent="0.35">
      <c r="A465" s="7" t="s">
        <v>1400</v>
      </c>
      <c r="B465" s="7" t="s">
        <v>1401</v>
      </c>
      <c r="C465" s="7" t="s">
        <v>78</v>
      </c>
      <c r="D465" s="7" t="s">
        <v>1402</v>
      </c>
    </row>
    <row r="466" spans="1:4" ht="21" x14ac:dyDescent="0.35">
      <c r="A466" s="7" t="s">
        <v>1403</v>
      </c>
      <c r="B466" s="7" t="s">
        <v>1404</v>
      </c>
      <c r="C466" s="7" t="s">
        <v>78</v>
      </c>
      <c r="D466" s="7" t="s">
        <v>1405</v>
      </c>
    </row>
    <row r="467" spans="1:4" ht="21" x14ac:dyDescent="0.35">
      <c r="A467" s="7" t="s">
        <v>1406</v>
      </c>
      <c r="B467" s="7" t="s">
        <v>1407</v>
      </c>
      <c r="C467" s="7" t="s">
        <v>41</v>
      </c>
      <c r="D467" s="7" t="s">
        <v>1408</v>
      </c>
    </row>
    <row r="468" spans="1:4" ht="21" x14ac:dyDescent="0.35">
      <c r="A468" s="7" t="s">
        <v>1409</v>
      </c>
      <c r="B468" s="7" t="s">
        <v>1410</v>
      </c>
      <c r="C468" s="7" t="s">
        <v>27</v>
      </c>
      <c r="D468" s="7" t="s">
        <v>1411</v>
      </c>
    </row>
    <row r="469" spans="1:4" ht="21" x14ac:dyDescent="0.35">
      <c r="A469" s="7" t="s">
        <v>1412</v>
      </c>
      <c r="B469" s="7" t="s">
        <v>1413</v>
      </c>
      <c r="C469" s="7" t="s">
        <v>6</v>
      </c>
      <c r="D469" s="7" t="s">
        <v>1414</v>
      </c>
    </row>
    <row r="470" spans="1:4" ht="21" x14ac:dyDescent="0.35">
      <c r="A470" s="7" t="s">
        <v>1415</v>
      </c>
      <c r="B470" s="7" t="s">
        <v>1416</v>
      </c>
      <c r="C470" s="7" t="s">
        <v>6</v>
      </c>
      <c r="D470" s="7" t="s">
        <v>1417</v>
      </c>
    </row>
    <row r="471" spans="1:4" ht="21" x14ac:dyDescent="0.35">
      <c r="A471" s="7" t="s">
        <v>1418</v>
      </c>
      <c r="B471" s="7" t="s">
        <v>1419</v>
      </c>
      <c r="C471" s="7" t="s">
        <v>14</v>
      </c>
      <c r="D471" s="7" t="s">
        <v>1420</v>
      </c>
    </row>
    <row r="472" spans="1:4" ht="21" x14ac:dyDescent="0.35">
      <c r="A472" s="7" t="s">
        <v>1421</v>
      </c>
      <c r="B472" s="7" t="s">
        <v>1422</v>
      </c>
      <c r="C472" s="7" t="s">
        <v>41</v>
      </c>
      <c r="D472" s="7" t="s">
        <v>1423</v>
      </c>
    </row>
    <row r="473" spans="1:4" ht="21" x14ac:dyDescent="0.35">
      <c r="A473" s="7" t="s">
        <v>1424</v>
      </c>
      <c r="B473" s="7" t="s">
        <v>1425</v>
      </c>
      <c r="C473" s="7" t="s">
        <v>10</v>
      </c>
      <c r="D473" s="7" t="s">
        <v>1426</v>
      </c>
    </row>
    <row r="474" spans="1:4" ht="21" x14ac:dyDescent="0.35">
      <c r="A474" s="7" t="s">
        <v>1427</v>
      </c>
      <c r="B474" s="7" t="s">
        <v>1428</v>
      </c>
      <c r="C474" s="7" t="s">
        <v>78</v>
      </c>
      <c r="D474" s="7" t="s">
        <v>1429</v>
      </c>
    </row>
    <row r="475" spans="1:4" ht="21" x14ac:dyDescent="0.35">
      <c r="A475" s="7" t="s">
        <v>1430</v>
      </c>
      <c r="B475" s="7" t="s">
        <v>1431</v>
      </c>
      <c r="C475" s="7" t="s">
        <v>10</v>
      </c>
      <c r="D475" s="7" t="s">
        <v>1432</v>
      </c>
    </row>
    <row r="476" spans="1:4" ht="21" x14ac:dyDescent="0.35">
      <c r="A476" s="7" t="s">
        <v>1433</v>
      </c>
      <c r="B476" s="7" t="s">
        <v>1434</v>
      </c>
      <c r="C476" s="7" t="s">
        <v>14</v>
      </c>
      <c r="D476" s="7" t="s">
        <v>1435</v>
      </c>
    </row>
    <row r="477" spans="1:4" ht="21" x14ac:dyDescent="0.35">
      <c r="A477" s="7" t="s">
        <v>1436</v>
      </c>
      <c r="B477" s="7" t="s">
        <v>1437</v>
      </c>
      <c r="C477" s="7" t="s">
        <v>78</v>
      </c>
      <c r="D477" s="7" t="s">
        <v>1438</v>
      </c>
    </row>
    <row r="478" spans="1:4" ht="21" x14ac:dyDescent="0.35">
      <c r="A478" s="7" t="s">
        <v>1439</v>
      </c>
      <c r="B478" s="7" t="s">
        <v>1440</v>
      </c>
      <c r="C478" s="7" t="s">
        <v>6</v>
      </c>
      <c r="D478" s="7" t="s">
        <v>1441</v>
      </c>
    </row>
    <row r="479" spans="1:4" ht="21" x14ac:dyDescent="0.35">
      <c r="A479" s="7" t="s">
        <v>1442</v>
      </c>
      <c r="B479" s="7" t="s">
        <v>1443</v>
      </c>
      <c r="C479" s="7" t="s">
        <v>27</v>
      </c>
      <c r="D479" s="7" t="s">
        <v>1444</v>
      </c>
    </row>
    <row r="480" spans="1:4" ht="21" x14ac:dyDescent="0.35">
      <c r="A480" s="7" t="s">
        <v>1445</v>
      </c>
      <c r="B480" s="7" t="s">
        <v>1446</v>
      </c>
      <c r="C480" s="7" t="s">
        <v>10</v>
      </c>
      <c r="D480" s="7" t="s">
        <v>1447</v>
      </c>
    </row>
    <row r="481" spans="1:4" ht="21" x14ac:dyDescent="0.35">
      <c r="A481" s="7" t="s">
        <v>1448</v>
      </c>
      <c r="B481" s="7" t="s">
        <v>1449</v>
      </c>
      <c r="C481" s="7" t="s">
        <v>6</v>
      </c>
      <c r="D481" s="7" t="s">
        <v>1450</v>
      </c>
    </row>
    <row r="482" spans="1:4" ht="21" x14ac:dyDescent="0.35">
      <c r="A482" s="7" t="s">
        <v>1451</v>
      </c>
      <c r="B482" s="7" t="s">
        <v>1452</v>
      </c>
      <c r="C482" s="7" t="s">
        <v>6</v>
      </c>
      <c r="D482" s="7" t="s">
        <v>1453</v>
      </c>
    </row>
    <row r="483" spans="1:4" ht="21" x14ac:dyDescent="0.35">
      <c r="A483" s="7" t="s">
        <v>1454</v>
      </c>
      <c r="B483" s="7" t="s">
        <v>1455</v>
      </c>
      <c r="C483" s="7" t="s">
        <v>27</v>
      </c>
      <c r="D483" s="7" t="s">
        <v>1456</v>
      </c>
    </row>
    <row r="484" spans="1:4" ht="21" x14ac:dyDescent="0.35">
      <c r="A484" s="7" t="s">
        <v>1457</v>
      </c>
      <c r="B484" s="7" t="s">
        <v>1458</v>
      </c>
      <c r="C484" s="7" t="s">
        <v>10</v>
      </c>
      <c r="D484" s="7" t="s">
        <v>1459</v>
      </c>
    </row>
    <row r="485" spans="1:4" ht="21" x14ac:dyDescent="0.35">
      <c r="A485" s="7" t="s">
        <v>1460</v>
      </c>
      <c r="B485" s="7" t="s">
        <v>1461</v>
      </c>
      <c r="C485" s="7" t="s">
        <v>10</v>
      </c>
      <c r="D485" s="7" t="s">
        <v>1462</v>
      </c>
    </row>
    <row r="486" spans="1:4" ht="21" x14ac:dyDescent="0.35">
      <c r="A486" s="7" t="s">
        <v>1463</v>
      </c>
      <c r="B486" s="7" t="s">
        <v>1464</v>
      </c>
      <c r="C486" s="7" t="s">
        <v>78</v>
      </c>
      <c r="D486" s="7" t="s">
        <v>1465</v>
      </c>
    </row>
    <row r="487" spans="1:4" ht="21" x14ac:dyDescent="0.35">
      <c r="A487" s="7" t="s">
        <v>1466</v>
      </c>
      <c r="B487" s="7" t="s">
        <v>1467</v>
      </c>
      <c r="C487" s="7" t="s">
        <v>10</v>
      </c>
      <c r="D487" s="7" t="s">
        <v>1468</v>
      </c>
    </row>
    <row r="488" spans="1:4" ht="21" x14ac:dyDescent="0.35">
      <c r="A488" s="7" t="s">
        <v>1469</v>
      </c>
      <c r="B488" s="7" t="s">
        <v>1470</v>
      </c>
      <c r="C488" s="7" t="s">
        <v>27</v>
      </c>
      <c r="D488" s="7" t="s">
        <v>1471</v>
      </c>
    </row>
    <row r="489" spans="1:4" ht="21" x14ac:dyDescent="0.35">
      <c r="A489" s="7" t="s">
        <v>1472</v>
      </c>
      <c r="B489" s="7" t="s">
        <v>1473</v>
      </c>
      <c r="C489" s="7" t="s">
        <v>10</v>
      </c>
      <c r="D489" s="7" t="s">
        <v>1474</v>
      </c>
    </row>
    <row r="490" spans="1:4" ht="21" x14ac:dyDescent="0.35">
      <c r="A490" s="7" t="s">
        <v>1475</v>
      </c>
      <c r="B490" s="7" t="s">
        <v>1476</v>
      </c>
      <c r="C490" s="7" t="s">
        <v>41</v>
      </c>
      <c r="D490" s="7" t="s">
        <v>1477</v>
      </c>
    </row>
    <row r="491" spans="1:4" ht="21" x14ac:dyDescent="0.35">
      <c r="A491" s="7" t="s">
        <v>1478</v>
      </c>
      <c r="B491" s="7" t="s">
        <v>1479</v>
      </c>
      <c r="C491" s="7" t="s">
        <v>6</v>
      </c>
      <c r="D491" s="7" t="s">
        <v>1480</v>
      </c>
    </row>
    <row r="492" spans="1:4" ht="21" x14ac:dyDescent="0.35">
      <c r="A492" s="7" t="s">
        <v>1481</v>
      </c>
      <c r="B492" s="7" t="s">
        <v>1482</v>
      </c>
      <c r="C492" s="7" t="s">
        <v>10</v>
      </c>
      <c r="D492" s="7" t="s">
        <v>1483</v>
      </c>
    </row>
    <row r="493" spans="1:4" ht="21" x14ac:dyDescent="0.35">
      <c r="A493" s="7" t="s">
        <v>1484</v>
      </c>
      <c r="B493" s="7" t="s">
        <v>1485</v>
      </c>
      <c r="C493" s="7" t="s">
        <v>14</v>
      </c>
      <c r="D493" s="7" t="s">
        <v>1486</v>
      </c>
    </row>
    <row r="494" spans="1:4" ht="21" x14ac:dyDescent="0.35">
      <c r="A494" s="7" t="s">
        <v>1487</v>
      </c>
      <c r="B494" s="7" t="s">
        <v>1488</v>
      </c>
      <c r="C494" s="7" t="s">
        <v>31</v>
      </c>
      <c r="D494" s="7" t="s">
        <v>1489</v>
      </c>
    </row>
    <row r="495" spans="1:4" ht="21" x14ac:dyDescent="0.35">
      <c r="A495" s="7" t="s">
        <v>1490</v>
      </c>
      <c r="B495" s="7" t="s">
        <v>1491</v>
      </c>
      <c r="C495" s="7" t="s">
        <v>31</v>
      </c>
      <c r="D495" s="7" t="s">
        <v>1492</v>
      </c>
    </row>
    <row r="496" spans="1:4" ht="21" x14ac:dyDescent="0.35">
      <c r="A496" s="7" t="s">
        <v>1493</v>
      </c>
      <c r="B496" s="7" t="s">
        <v>1494</v>
      </c>
      <c r="C496" s="7" t="s">
        <v>31</v>
      </c>
      <c r="D496" s="7" t="s">
        <v>1495</v>
      </c>
    </row>
    <row r="497" spans="1:4" ht="21" x14ac:dyDescent="0.35">
      <c r="A497" s="7" t="s">
        <v>1496</v>
      </c>
      <c r="B497" s="7" t="s">
        <v>1497</v>
      </c>
      <c r="C497" s="7" t="s">
        <v>6</v>
      </c>
      <c r="D497" s="7" t="s">
        <v>1498</v>
      </c>
    </row>
    <row r="498" spans="1:4" ht="21" x14ac:dyDescent="0.35">
      <c r="A498" s="7" t="s">
        <v>1499</v>
      </c>
      <c r="B498" s="7" t="s">
        <v>1500</v>
      </c>
      <c r="C498" s="7" t="s">
        <v>41</v>
      </c>
      <c r="D498" s="7" t="s">
        <v>1501</v>
      </c>
    </row>
    <row r="499" spans="1:4" ht="21" x14ac:dyDescent="0.35">
      <c r="A499" s="7" t="s">
        <v>1502</v>
      </c>
      <c r="B499" s="7" t="s">
        <v>1503</v>
      </c>
      <c r="C499" s="7" t="s">
        <v>10</v>
      </c>
      <c r="D499" s="7" t="s">
        <v>1504</v>
      </c>
    </row>
    <row r="500" spans="1:4" ht="21" x14ac:dyDescent="0.35">
      <c r="A500" s="7" t="s">
        <v>1505</v>
      </c>
      <c r="B500" s="7" t="s">
        <v>1506</v>
      </c>
      <c r="C500" s="7" t="s">
        <v>10</v>
      </c>
      <c r="D500" s="7" t="s">
        <v>1507</v>
      </c>
    </row>
    <row r="501" spans="1:4" ht="21" x14ac:dyDescent="0.35">
      <c r="A501" s="7" t="s">
        <v>1508</v>
      </c>
      <c r="B501" s="7" t="s">
        <v>1509</v>
      </c>
      <c r="C501" s="7" t="s">
        <v>10</v>
      </c>
      <c r="D501" s="7" t="s">
        <v>1510</v>
      </c>
    </row>
    <row r="502" spans="1:4" ht="21" x14ac:dyDescent="0.35">
      <c r="A502" s="7" t="s">
        <v>1511</v>
      </c>
      <c r="B502" s="7" t="s">
        <v>1512</v>
      </c>
      <c r="C502" s="7" t="s">
        <v>78</v>
      </c>
      <c r="D502" s="7" t="s">
        <v>1513</v>
      </c>
    </row>
    <row r="503" spans="1:4" ht="21" x14ac:dyDescent="0.35">
      <c r="A503" s="7" t="s">
        <v>1514</v>
      </c>
      <c r="B503" s="7" t="s">
        <v>1515</v>
      </c>
      <c r="C503" s="7" t="s">
        <v>6</v>
      </c>
      <c r="D503" s="7" t="s">
        <v>1516</v>
      </c>
    </row>
    <row r="504" spans="1:4" ht="21" x14ac:dyDescent="0.35">
      <c r="A504" s="7" t="s">
        <v>1517</v>
      </c>
      <c r="B504" s="7" t="s">
        <v>1518</v>
      </c>
      <c r="C504" s="7" t="s">
        <v>31</v>
      </c>
      <c r="D504" s="7" t="s">
        <v>1519</v>
      </c>
    </row>
    <row r="505" spans="1:4" ht="21" x14ac:dyDescent="0.35">
      <c r="A505" s="7" t="s">
        <v>1520</v>
      </c>
      <c r="B505" s="7" t="s">
        <v>1521</v>
      </c>
      <c r="C505" s="7" t="s">
        <v>14</v>
      </c>
      <c r="D505" s="7" t="s">
        <v>1522</v>
      </c>
    </row>
    <row r="506" spans="1:4" ht="21" x14ac:dyDescent="0.35">
      <c r="A506" s="7" t="s">
        <v>1523</v>
      </c>
      <c r="B506" s="7" t="s">
        <v>1524</v>
      </c>
      <c r="C506" s="7" t="s">
        <v>6</v>
      </c>
      <c r="D506" s="7" t="s">
        <v>1525</v>
      </c>
    </row>
    <row r="507" spans="1:4" ht="21" x14ac:dyDescent="0.35">
      <c r="A507" s="7" t="s">
        <v>1526</v>
      </c>
      <c r="B507" s="7" t="s">
        <v>1527</v>
      </c>
      <c r="C507" s="7" t="s">
        <v>41</v>
      </c>
      <c r="D507" s="7" t="s">
        <v>1528</v>
      </c>
    </row>
    <row r="508" spans="1:4" ht="21" x14ac:dyDescent="0.35">
      <c r="A508" s="7" t="s">
        <v>1529</v>
      </c>
      <c r="B508" s="7" t="s">
        <v>1530</v>
      </c>
      <c r="C508" s="7" t="s">
        <v>31</v>
      </c>
      <c r="D508" s="7" t="s">
        <v>1531</v>
      </c>
    </row>
    <row r="509" spans="1:4" ht="21" x14ac:dyDescent="0.35">
      <c r="A509" s="7" t="s">
        <v>1532</v>
      </c>
      <c r="B509" s="7" t="s">
        <v>1533</v>
      </c>
      <c r="C509" s="7" t="s">
        <v>41</v>
      </c>
      <c r="D509" s="7" t="s">
        <v>1534</v>
      </c>
    </row>
    <row r="510" spans="1:4" ht="21" x14ac:dyDescent="0.35">
      <c r="A510" s="7" t="s">
        <v>1535</v>
      </c>
      <c r="B510" s="7" t="s">
        <v>1536</v>
      </c>
      <c r="C510" s="7" t="s">
        <v>31</v>
      </c>
      <c r="D510" s="7" t="s">
        <v>1537</v>
      </c>
    </row>
    <row r="511" spans="1:4" ht="21" x14ac:dyDescent="0.35">
      <c r="A511" s="7" t="s">
        <v>1538</v>
      </c>
      <c r="B511" s="7" t="s">
        <v>1539</v>
      </c>
      <c r="C511" s="7" t="s">
        <v>10</v>
      </c>
      <c r="D511" s="7" t="s">
        <v>1540</v>
      </c>
    </row>
    <row r="512" spans="1:4" ht="21" x14ac:dyDescent="0.35">
      <c r="A512" s="7" t="s">
        <v>1541</v>
      </c>
      <c r="B512" s="7" t="s">
        <v>1542</v>
      </c>
      <c r="C512" s="7" t="s">
        <v>41</v>
      </c>
      <c r="D512" s="7" t="s">
        <v>1543</v>
      </c>
    </row>
    <row r="513" spans="1:4" ht="21" x14ac:dyDescent="0.35">
      <c r="A513" s="7" t="s">
        <v>1544</v>
      </c>
      <c r="B513" s="7" t="s">
        <v>1545</v>
      </c>
      <c r="C513" s="7" t="s">
        <v>6</v>
      </c>
      <c r="D513" s="7" t="s">
        <v>1546</v>
      </c>
    </row>
    <row r="514" spans="1:4" ht="21" x14ac:dyDescent="0.35">
      <c r="A514" s="7" t="s">
        <v>1547</v>
      </c>
      <c r="B514" s="7" t="s">
        <v>1548</v>
      </c>
      <c r="C514" s="7" t="s">
        <v>41</v>
      </c>
      <c r="D514" s="7" t="s">
        <v>1549</v>
      </c>
    </row>
    <row r="515" spans="1:4" ht="21" x14ac:dyDescent="0.35">
      <c r="A515" s="7" t="s">
        <v>1550</v>
      </c>
      <c r="B515" s="7" t="s">
        <v>1551</v>
      </c>
      <c r="C515" s="7" t="s">
        <v>6</v>
      </c>
      <c r="D515" s="7" t="s">
        <v>1552</v>
      </c>
    </row>
    <row r="516" spans="1:4" ht="21" x14ac:dyDescent="0.35">
      <c r="A516" s="7" t="s">
        <v>1553</v>
      </c>
      <c r="B516" s="7" t="s">
        <v>1554</v>
      </c>
      <c r="C516" s="7" t="s">
        <v>27</v>
      </c>
      <c r="D516" s="7" t="s">
        <v>1555</v>
      </c>
    </row>
    <row r="517" spans="1:4" ht="21" x14ac:dyDescent="0.35">
      <c r="A517" s="7" t="s">
        <v>1556</v>
      </c>
      <c r="B517" s="7" t="s">
        <v>1557</v>
      </c>
      <c r="C517" s="7" t="s">
        <v>10</v>
      </c>
      <c r="D517" s="7" t="s">
        <v>1558</v>
      </c>
    </row>
    <row r="518" spans="1:4" ht="21" x14ac:dyDescent="0.35">
      <c r="A518" s="7" t="s">
        <v>1559</v>
      </c>
      <c r="B518" s="7" t="s">
        <v>1560</v>
      </c>
      <c r="C518" s="7" t="s">
        <v>10</v>
      </c>
      <c r="D518" s="7" t="s">
        <v>1561</v>
      </c>
    </row>
    <row r="519" spans="1:4" ht="21" x14ac:dyDescent="0.35">
      <c r="A519" s="7" t="s">
        <v>1562</v>
      </c>
      <c r="B519" s="7" t="s">
        <v>1563</v>
      </c>
      <c r="C519" s="7" t="s">
        <v>31</v>
      </c>
      <c r="D519" s="7" t="s">
        <v>1564</v>
      </c>
    </row>
    <row r="520" spans="1:4" ht="21" x14ac:dyDescent="0.35">
      <c r="A520" s="7" t="s">
        <v>1565</v>
      </c>
      <c r="B520" s="7" t="s">
        <v>1566</v>
      </c>
      <c r="C520" s="7" t="s">
        <v>10</v>
      </c>
      <c r="D520" s="7" t="s">
        <v>1567</v>
      </c>
    </row>
    <row r="521" spans="1:4" ht="21" x14ac:dyDescent="0.35">
      <c r="A521" s="7" t="s">
        <v>1568</v>
      </c>
      <c r="B521" s="7" t="s">
        <v>1569</v>
      </c>
      <c r="C521" s="7" t="s">
        <v>14</v>
      </c>
      <c r="D521" s="7" t="s">
        <v>1570</v>
      </c>
    </row>
    <row r="522" spans="1:4" ht="21" x14ac:dyDescent="0.35">
      <c r="A522" s="7" t="s">
        <v>1571</v>
      </c>
      <c r="B522" s="7" t="s">
        <v>1572</v>
      </c>
      <c r="C522" s="7" t="s">
        <v>14</v>
      </c>
      <c r="D522" s="7" t="s">
        <v>1573</v>
      </c>
    </row>
    <row r="523" spans="1:4" ht="21" x14ac:dyDescent="0.35">
      <c r="A523" s="7" t="s">
        <v>1574</v>
      </c>
      <c r="B523" s="7" t="s">
        <v>1575</v>
      </c>
      <c r="C523" s="7" t="s">
        <v>6</v>
      </c>
      <c r="D523" s="7" t="s">
        <v>1576</v>
      </c>
    </row>
    <row r="524" spans="1:4" ht="21" x14ac:dyDescent="0.35">
      <c r="A524" s="7" t="s">
        <v>1577</v>
      </c>
      <c r="B524" s="7" t="s">
        <v>1578</v>
      </c>
      <c r="C524" s="7" t="s">
        <v>41</v>
      </c>
      <c r="D524" s="7" t="s">
        <v>1579</v>
      </c>
    </row>
    <row r="525" spans="1:4" ht="21" x14ac:dyDescent="0.35">
      <c r="A525" s="7" t="s">
        <v>1580</v>
      </c>
      <c r="B525" s="7" t="s">
        <v>1581</v>
      </c>
      <c r="C525" s="7" t="s">
        <v>10</v>
      </c>
      <c r="D525" s="7" t="s">
        <v>1582</v>
      </c>
    </row>
    <row r="526" spans="1:4" ht="21" x14ac:dyDescent="0.35">
      <c r="A526" s="7" t="s">
        <v>1583</v>
      </c>
      <c r="B526" s="7" t="s">
        <v>1584</v>
      </c>
      <c r="C526" s="7" t="s">
        <v>78</v>
      </c>
      <c r="D526" s="7" t="s">
        <v>1585</v>
      </c>
    </row>
    <row r="527" spans="1:4" ht="21" x14ac:dyDescent="0.35">
      <c r="A527" s="7" t="s">
        <v>1586</v>
      </c>
      <c r="B527" s="7" t="s">
        <v>1587</v>
      </c>
      <c r="C527" s="7" t="s">
        <v>10</v>
      </c>
      <c r="D527" s="7" t="s">
        <v>1588</v>
      </c>
    </row>
    <row r="528" spans="1:4" ht="21" x14ac:dyDescent="0.35">
      <c r="A528" s="7" t="s">
        <v>1589</v>
      </c>
      <c r="B528" s="7" t="s">
        <v>1590</v>
      </c>
      <c r="C528" s="7" t="s">
        <v>27</v>
      </c>
      <c r="D528" s="7" t="s">
        <v>1591</v>
      </c>
    </row>
    <row r="529" spans="1:4" ht="21" x14ac:dyDescent="0.35">
      <c r="A529" s="7" t="s">
        <v>1592</v>
      </c>
      <c r="B529" s="7" t="s">
        <v>1593</v>
      </c>
      <c r="C529" s="7" t="s">
        <v>78</v>
      </c>
      <c r="D529" s="7" t="s">
        <v>1594</v>
      </c>
    </row>
    <row r="530" spans="1:4" ht="21" x14ac:dyDescent="0.35">
      <c r="A530" s="7" t="s">
        <v>1595</v>
      </c>
      <c r="B530" s="7" t="s">
        <v>1596</v>
      </c>
      <c r="C530" s="7" t="s">
        <v>27</v>
      </c>
      <c r="D530" s="7" t="s">
        <v>1597</v>
      </c>
    </row>
    <row r="531" spans="1:4" ht="21" x14ac:dyDescent="0.35">
      <c r="A531" s="7" t="s">
        <v>1598</v>
      </c>
      <c r="B531" s="7" t="s">
        <v>1599</v>
      </c>
      <c r="C531" s="7" t="s">
        <v>14</v>
      </c>
      <c r="D531" s="7" t="s">
        <v>1600</v>
      </c>
    </row>
    <row r="532" spans="1:4" ht="21" x14ac:dyDescent="0.35">
      <c r="A532" s="7" t="s">
        <v>1601</v>
      </c>
      <c r="B532" s="7" t="s">
        <v>1602</v>
      </c>
      <c r="C532" s="7" t="s">
        <v>14</v>
      </c>
      <c r="D532" s="7" t="s">
        <v>1603</v>
      </c>
    </row>
    <row r="533" spans="1:4" ht="21" x14ac:dyDescent="0.35">
      <c r="A533" s="7" t="s">
        <v>1604</v>
      </c>
      <c r="B533" s="7" t="s">
        <v>1605</v>
      </c>
      <c r="C533" s="7" t="s">
        <v>41</v>
      </c>
      <c r="D533" s="7" t="s">
        <v>1606</v>
      </c>
    </row>
    <row r="534" spans="1:4" ht="21" x14ac:dyDescent="0.35">
      <c r="A534" s="7" t="s">
        <v>1607</v>
      </c>
      <c r="B534" s="7" t="s">
        <v>1608</v>
      </c>
      <c r="C534" s="7" t="s">
        <v>31</v>
      </c>
      <c r="D534" s="7" t="s">
        <v>1609</v>
      </c>
    </row>
    <row r="535" spans="1:4" ht="21" x14ac:dyDescent="0.35">
      <c r="A535" s="7" t="s">
        <v>1610</v>
      </c>
      <c r="B535" s="7" t="s">
        <v>1611</v>
      </c>
      <c r="C535" s="7" t="s">
        <v>31</v>
      </c>
      <c r="D535" s="7" t="s">
        <v>1612</v>
      </c>
    </row>
    <row r="536" spans="1:4" ht="21" x14ac:dyDescent="0.35">
      <c r="A536" s="7" t="s">
        <v>1613</v>
      </c>
      <c r="B536" s="7" t="s">
        <v>1614</v>
      </c>
      <c r="C536" s="7" t="s">
        <v>27</v>
      </c>
      <c r="D536" s="7" t="s">
        <v>1615</v>
      </c>
    </row>
    <row r="537" spans="1:4" ht="21" x14ac:dyDescent="0.35">
      <c r="A537" s="7" t="s">
        <v>1616</v>
      </c>
      <c r="B537" s="7" t="s">
        <v>1617</v>
      </c>
      <c r="C537" s="7" t="s">
        <v>14</v>
      </c>
      <c r="D537" s="7" t="s">
        <v>1618</v>
      </c>
    </row>
    <row r="538" spans="1:4" ht="21" x14ac:dyDescent="0.35">
      <c r="A538" s="7" t="s">
        <v>1619</v>
      </c>
      <c r="B538" s="7" t="s">
        <v>1620</v>
      </c>
      <c r="C538" s="7" t="s">
        <v>10</v>
      </c>
      <c r="D538" s="7" t="s">
        <v>1621</v>
      </c>
    </row>
    <row r="539" spans="1:4" ht="21" x14ac:dyDescent="0.35">
      <c r="A539" s="7" t="s">
        <v>1622</v>
      </c>
      <c r="B539" s="7" t="s">
        <v>1623</v>
      </c>
      <c r="C539" s="7" t="s">
        <v>14</v>
      </c>
      <c r="D539" s="7" t="s">
        <v>1624</v>
      </c>
    </row>
    <row r="540" spans="1:4" ht="21" x14ac:dyDescent="0.35">
      <c r="A540" s="7" t="s">
        <v>1625</v>
      </c>
      <c r="B540" s="7" t="s">
        <v>1626</v>
      </c>
      <c r="C540" s="7" t="s">
        <v>27</v>
      </c>
      <c r="D540" s="7" t="s">
        <v>1627</v>
      </c>
    </row>
    <row r="541" spans="1:4" ht="21" x14ac:dyDescent="0.35">
      <c r="A541" s="7" t="s">
        <v>1628</v>
      </c>
      <c r="B541" s="7" t="s">
        <v>1629</v>
      </c>
      <c r="C541" s="7" t="s">
        <v>78</v>
      </c>
      <c r="D541" s="7" t="s">
        <v>1630</v>
      </c>
    </row>
    <row r="542" spans="1:4" ht="21" x14ac:dyDescent="0.35">
      <c r="A542" s="7" t="s">
        <v>1631</v>
      </c>
      <c r="B542" s="7" t="s">
        <v>1632</v>
      </c>
      <c r="C542" s="7" t="s">
        <v>78</v>
      </c>
      <c r="D542" s="7" t="s">
        <v>1633</v>
      </c>
    </row>
    <row r="543" spans="1:4" ht="21" x14ac:dyDescent="0.35">
      <c r="A543" s="7" t="s">
        <v>1634</v>
      </c>
      <c r="B543" s="7" t="s">
        <v>1635</v>
      </c>
      <c r="C543" s="7" t="s">
        <v>27</v>
      </c>
      <c r="D543" s="7" t="s">
        <v>1636</v>
      </c>
    </row>
    <row r="544" spans="1:4" ht="21" x14ac:dyDescent="0.35">
      <c r="A544" s="7" t="s">
        <v>1637</v>
      </c>
      <c r="B544" s="7" t="s">
        <v>1638</v>
      </c>
      <c r="C544" s="7" t="s">
        <v>14</v>
      </c>
      <c r="D544" s="7" t="s">
        <v>1639</v>
      </c>
    </row>
    <row r="545" spans="1:4" ht="21" x14ac:dyDescent="0.35">
      <c r="A545" s="7" t="s">
        <v>1640</v>
      </c>
      <c r="B545" s="7" t="s">
        <v>1641</v>
      </c>
      <c r="C545" s="7" t="s">
        <v>10</v>
      </c>
      <c r="D545" s="7" t="s">
        <v>1642</v>
      </c>
    </row>
    <row r="546" spans="1:4" ht="21" x14ac:dyDescent="0.35">
      <c r="A546" s="7" t="s">
        <v>1643</v>
      </c>
      <c r="B546" s="7" t="s">
        <v>1644</v>
      </c>
      <c r="C546" s="7" t="s">
        <v>31</v>
      </c>
      <c r="D546" s="7" t="s">
        <v>1645</v>
      </c>
    </row>
    <row r="547" spans="1:4" ht="21" x14ac:dyDescent="0.35">
      <c r="A547" s="7" t="s">
        <v>1646</v>
      </c>
      <c r="B547" s="7" t="s">
        <v>1647</v>
      </c>
      <c r="C547" s="7" t="s">
        <v>14</v>
      </c>
      <c r="D547" s="7" t="s">
        <v>1648</v>
      </c>
    </row>
    <row r="548" spans="1:4" ht="21" x14ac:dyDescent="0.35">
      <c r="A548" s="7" t="s">
        <v>1649</v>
      </c>
      <c r="B548" s="7" t="s">
        <v>1650</v>
      </c>
      <c r="C548" s="7" t="s">
        <v>27</v>
      </c>
      <c r="D548" s="7" t="s">
        <v>1651</v>
      </c>
    </row>
    <row r="549" spans="1:4" ht="21" x14ac:dyDescent="0.35">
      <c r="A549" s="7" t="s">
        <v>1652</v>
      </c>
      <c r="B549" s="7" t="s">
        <v>1653</v>
      </c>
      <c r="C549" s="7" t="s">
        <v>41</v>
      </c>
      <c r="D549" s="7" t="s">
        <v>1654</v>
      </c>
    </row>
    <row r="550" spans="1:4" ht="21" x14ac:dyDescent="0.35">
      <c r="A550" s="7" t="s">
        <v>1655</v>
      </c>
      <c r="B550" s="7" t="s">
        <v>1656</v>
      </c>
      <c r="C550" s="7" t="s">
        <v>6</v>
      </c>
      <c r="D550" s="7" t="s">
        <v>1657</v>
      </c>
    </row>
    <row r="551" spans="1:4" ht="21" x14ac:dyDescent="0.35">
      <c r="A551" s="7" t="s">
        <v>1658</v>
      </c>
      <c r="B551" s="7" t="s">
        <v>1659</v>
      </c>
      <c r="C551" s="7" t="s">
        <v>41</v>
      </c>
      <c r="D551" s="7" t="s">
        <v>1660</v>
      </c>
    </row>
    <row r="552" spans="1:4" ht="21" x14ac:dyDescent="0.35">
      <c r="A552" s="7" t="s">
        <v>1661</v>
      </c>
      <c r="B552" s="7" t="s">
        <v>1662</v>
      </c>
      <c r="C552" s="7" t="s">
        <v>41</v>
      </c>
      <c r="D552" s="7" t="s">
        <v>1663</v>
      </c>
    </row>
    <row r="553" spans="1:4" ht="21" x14ac:dyDescent="0.35">
      <c r="A553" s="7" t="s">
        <v>1664</v>
      </c>
      <c r="B553" s="7" t="s">
        <v>1665</v>
      </c>
      <c r="C553" s="7" t="s">
        <v>31</v>
      </c>
      <c r="D553" s="7" t="s">
        <v>1666</v>
      </c>
    </row>
    <row r="554" spans="1:4" ht="21" x14ac:dyDescent="0.35">
      <c r="A554" s="7" t="s">
        <v>1667</v>
      </c>
      <c r="B554" s="7" t="s">
        <v>1668</v>
      </c>
      <c r="C554" s="7" t="s">
        <v>31</v>
      </c>
      <c r="D554" s="7" t="s">
        <v>1669</v>
      </c>
    </row>
    <row r="555" spans="1:4" ht="21" x14ac:dyDescent="0.35">
      <c r="A555" s="7" t="s">
        <v>1670</v>
      </c>
      <c r="B555" s="7" t="s">
        <v>1671</v>
      </c>
      <c r="C555" s="7" t="s">
        <v>14</v>
      </c>
      <c r="D555" s="7" t="s">
        <v>1672</v>
      </c>
    </row>
    <row r="556" spans="1:4" ht="21" x14ac:dyDescent="0.35">
      <c r="A556" s="7" t="s">
        <v>1673</v>
      </c>
      <c r="B556" s="7" t="s">
        <v>1674</v>
      </c>
      <c r="C556" s="7" t="s">
        <v>14</v>
      </c>
      <c r="D556" s="7" t="s">
        <v>1675</v>
      </c>
    </row>
    <row r="557" spans="1:4" ht="21" x14ac:dyDescent="0.35">
      <c r="A557" s="7" t="s">
        <v>1676</v>
      </c>
      <c r="B557" s="7" t="s">
        <v>1677</v>
      </c>
      <c r="C557" s="7" t="s">
        <v>10</v>
      </c>
      <c r="D557" s="7" t="s">
        <v>1678</v>
      </c>
    </row>
    <row r="558" spans="1:4" ht="21" x14ac:dyDescent="0.35">
      <c r="A558" s="7" t="s">
        <v>1679</v>
      </c>
      <c r="B558" s="7" t="s">
        <v>1680</v>
      </c>
      <c r="C558" s="7" t="s">
        <v>78</v>
      </c>
      <c r="D558" s="7" t="s">
        <v>1681</v>
      </c>
    </row>
    <row r="559" spans="1:4" ht="21" x14ac:dyDescent="0.35">
      <c r="A559" s="7" t="s">
        <v>1682</v>
      </c>
      <c r="B559" s="7" t="s">
        <v>1683</v>
      </c>
      <c r="C559" s="7" t="s">
        <v>31</v>
      </c>
      <c r="D559" s="7" t="s">
        <v>1684</v>
      </c>
    </row>
    <row r="560" spans="1:4" ht="21" x14ac:dyDescent="0.35">
      <c r="A560" s="7" t="s">
        <v>1685</v>
      </c>
      <c r="B560" s="7" t="s">
        <v>1686</v>
      </c>
      <c r="C560" s="7" t="s">
        <v>6</v>
      </c>
      <c r="D560" s="7" t="s">
        <v>1687</v>
      </c>
    </row>
    <row r="561" spans="1:4" ht="21" x14ac:dyDescent="0.35">
      <c r="A561" s="7" t="s">
        <v>1688</v>
      </c>
      <c r="B561" s="7" t="s">
        <v>1689</v>
      </c>
      <c r="C561" s="7" t="s">
        <v>78</v>
      </c>
      <c r="D561" s="7" t="s">
        <v>1690</v>
      </c>
    </row>
    <row r="562" spans="1:4" ht="21" x14ac:dyDescent="0.35">
      <c r="A562" s="7" t="s">
        <v>1691</v>
      </c>
      <c r="B562" s="7" t="s">
        <v>1692</v>
      </c>
      <c r="C562" s="7" t="s">
        <v>6</v>
      </c>
      <c r="D562" s="7" t="s">
        <v>1693</v>
      </c>
    </row>
    <row r="563" spans="1:4" ht="21" x14ac:dyDescent="0.35">
      <c r="A563" s="7" t="s">
        <v>1694</v>
      </c>
      <c r="B563" s="7" t="s">
        <v>1695</v>
      </c>
      <c r="C563" s="7" t="s">
        <v>31</v>
      </c>
      <c r="D563" s="7" t="s">
        <v>1696</v>
      </c>
    </row>
    <row r="564" spans="1:4" ht="21" x14ac:dyDescent="0.35">
      <c r="A564" s="7" t="s">
        <v>1697</v>
      </c>
      <c r="B564" s="7" t="s">
        <v>1698</v>
      </c>
      <c r="C564" s="7" t="s">
        <v>14</v>
      </c>
      <c r="D564" s="7" t="s">
        <v>1699</v>
      </c>
    </row>
    <row r="565" spans="1:4" ht="21" x14ac:dyDescent="0.35">
      <c r="A565" s="7" t="s">
        <v>1700</v>
      </c>
      <c r="B565" s="7" t="s">
        <v>1701</v>
      </c>
      <c r="C565" s="7" t="s">
        <v>41</v>
      </c>
      <c r="D565" s="7" t="s">
        <v>1702</v>
      </c>
    </row>
    <row r="566" spans="1:4" ht="21" x14ac:dyDescent="0.35">
      <c r="A566" s="7" t="s">
        <v>1703</v>
      </c>
      <c r="B566" s="7" t="s">
        <v>1704</v>
      </c>
      <c r="C566" s="7" t="s">
        <v>78</v>
      </c>
      <c r="D566" s="7" t="s">
        <v>1705</v>
      </c>
    </row>
    <row r="567" spans="1:4" ht="21" x14ac:dyDescent="0.35">
      <c r="A567" s="7" t="s">
        <v>1706</v>
      </c>
      <c r="B567" s="7" t="s">
        <v>1707</v>
      </c>
      <c r="C567" s="7" t="s">
        <v>41</v>
      </c>
      <c r="D567" s="7" t="s">
        <v>1708</v>
      </c>
    </row>
    <row r="568" spans="1:4" ht="21" x14ac:dyDescent="0.35">
      <c r="A568" s="7" t="s">
        <v>1709</v>
      </c>
      <c r="B568" s="7" t="s">
        <v>1710</v>
      </c>
      <c r="C568" s="7" t="s">
        <v>27</v>
      </c>
      <c r="D568" s="7" t="s">
        <v>1711</v>
      </c>
    </row>
    <row r="569" spans="1:4" ht="21" x14ac:dyDescent="0.35">
      <c r="A569" s="7" t="s">
        <v>1712</v>
      </c>
      <c r="B569" s="7" t="s">
        <v>1713</v>
      </c>
      <c r="C569" s="7" t="s">
        <v>41</v>
      </c>
      <c r="D569" s="7" t="s">
        <v>1714</v>
      </c>
    </row>
    <row r="570" spans="1:4" ht="21" x14ac:dyDescent="0.35">
      <c r="A570" s="7" t="s">
        <v>1715</v>
      </c>
      <c r="B570" s="7" t="s">
        <v>1716</v>
      </c>
      <c r="C570" s="7" t="s">
        <v>6</v>
      </c>
      <c r="D570" s="7" t="s">
        <v>1717</v>
      </c>
    </row>
    <row r="571" spans="1:4" ht="21" x14ac:dyDescent="0.35">
      <c r="A571" s="7" t="s">
        <v>1718</v>
      </c>
      <c r="B571" s="7" t="s">
        <v>1719</v>
      </c>
      <c r="C571" s="7" t="s">
        <v>27</v>
      </c>
      <c r="D571" s="7" t="s">
        <v>1720</v>
      </c>
    </row>
    <row r="572" spans="1:4" ht="21" x14ac:dyDescent="0.35">
      <c r="A572" s="7" t="s">
        <v>1721</v>
      </c>
      <c r="B572" s="7" t="s">
        <v>1722</v>
      </c>
      <c r="C572" s="7" t="s">
        <v>6</v>
      </c>
      <c r="D572" s="7" t="s">
        <v>1723</v>
      </c>
    </row>
    <row r="573" spans="1:4" ht="21" x14ac:dyDescent="0.35">
      <c r="A573" s="7" t="s">
        <v>1724</v>
      </c>
      <c r="B573" s="7" t="s">
        <v>1725</v>
      </c>
      <c r="C573" s="7" t="s">
        <v>27</v>
      </c>
      <c r="D573" s="7" t="s">
        <v>1726</v>
      </c>
    </row>
    <row r="574" spans="1:4" ht="21" x14ac:dyDescent="0.35">
      <c r="A574" s="7" t="s">
        <v>1727</v>
      </c>
      <c r="B574" s="7" t="s">
        <v>1728</v>
      </c>
      <c r="C574" s="7" t="s">
        <v>78</v>
      </c>
      <c r="D574" s="7" t="s">
        <v>1729</v>
      </c>
    </row>
    <row r="575" spans="1:4" ht="21" x14ac:dyDescent="0.35">
      <c r="A575" s="7" t="s">
        <v>1730</v>
      </c>
      <c r="B575" s="7" t="s">
        <v>1731</v>
      </c>
      <c r="C575" s="7" t="s">
        <v>78</v>
      </c>
      <c r="D575" s="7" t="s">
        <v>1732</v>
      </c>
    </row>
    <row r="576" spans="1:4" ht="21" x14ac:dyDescent="0.35">
      <c r="A576" s="7" t="s">
        <v>1733</v>
      </c>
      <c r="B576" s="7" t="s">
        <v>1734</v>
      </c>
      <c r="C576" s="7" t="s">
        <v>10</v>
      </c>
      <c r="D576" s="7" t="s">
        <v>1735</v>
      </c>
    </row>
    <row r="577" spans="1:4" ht="21" x14ac:dyDescent="0.35">
      <c r="A577" s="7" t="s">
        <v>1736</v>
      </c>
      <c r="B577" s="7" t="s">
        <v>1737</v>
      </c>
      <c r="C577" s="7" t="s">
        <v>10</v>
      </c>
      <c r="D577" s="7" t="s">
        <v>1738</v>
      </c>
    </row>
    <row r="578" spans="1:4" ht="21" x14ac:dyDescent="0.35">
      <c r="A578" s="7" t="s">
        <v>1739</v>
      </c>
      <c r="B578" s="7" t="s">
        <v>1740</v>
      </c>
      <c r="C578" s="7" t="s">
        <v>6</v>
      </c>
      <c r="D578" s="7" t="s">
        <v>1741</v>
      </c>
    </row>
    <row r="579" spans="1:4" ht="21" x14ac:dyDescent="0.35">
      <c r="A579" s="7" t="s">
        <v>1742</v>
      </c>
      <c r="B579" s="7" t="s">
        <v>1743</v>
      </c>
      <c r="C579" s="7" t="s">
        <v>14</v>
      </c>
      <c r="D579" s="7" t="s">
        <v>1744</v>
      </c>
    </row>
    <row r="580" spans="1:4" ht="21" x14ac:dyDescent="0.35">
      <c r="A580" s="7" t="s">
        <v>1745</v>
      </c>
      <c r="B580" s="7" t="s">
        <v>1746</v>
      </c>
      <c r="C580" s="7" t="s">
        <v>14</v>
      </c>
      <c r="D580" s="7" t="s">
        <v>1747</v>
      </c>
    </row>
    <row r="581" spans="1:4" ht="21" x14ac:dyDescent="0.35">
      <c r="A581" s="7" t="s">
        <v>1748</v>
      </c>
      <c r="B581" s="7" t="s">
        <v>1749</v>
      </c>
      <c r="C581" s="7" t="s">
        <v>41</v>
      </c>
      <c r="D581" s="7" t="s">
        <v>1750</v>
      </c>
    </row>
    <row r="582" spans="1:4" ht="21" x14ac:dyDescent="0.35">
      <c r="A582" s="7" t="s">
        <v>1751</v>
      </c>
      <c r="B582" s="7" t="s">
        <v>1752</v>
      </c>
      <c r="C582" s="7" t="s">
        <v>14</v>
      </c>
      <c r="D582" s="7" t="s">
        <v>1753</v>
      </c>
    </row>
    <row r="583" spans="1:4" ht="21" x14ac:dyDescent="0.35">
      <c r="A583" s="7" t="s">
        <v>1754</v>
      </c>
      <c r="B583" s="7" t="s">
        <v>1755</v>
      </c>
      <c r="C583" s="7" t="s">
        <v>78</v>
      </c>
      <c r="D583" s="7" t="s">
        <v>1756</v>
      </c>
    </row>
    <row r="584" spans="1:4" ht="21" x14ac:dyDescent="0.35">
      <c r="A584" s="7" t="s">
        <v>1757</v>
      </c>
      <c r="B584" s="7" t="s">
        <v>1758</v>
      </c>
      <c r="C584" s="7" t="s">
        <v>27</v>
      </c>
      <c r="D584" s="7" t="s">
        <v>1759</v>
      </c>
    </row>
    <row r="585" spans="1:4" ht="21" x14ac:dyDescent="0.35">
      <c r="A585" s="7" t="s">
        <v>1760</v>
      </c>
      <c r="B585" s="7" t="s">
        <v>1761</v>
      </c>
      <c r="C585" s="7" t="s">
        <v>41</v>
      </c>
      <c r="D585" s="7" t="s">
        <v>1762</v>
      </c>
    </row>
    <row r="586" spans="1:4" ht="21" x14ac:dyDescent="0.35">
      <c r="A586" s="7" t="s">
        <v>1763</v>
      </c>
      <c r="B586" s="7" t="s">
        <v>1764</v>
      </c>
      <c r="C586" s="7" t="s">
        <v>27</v>
      </c>
      <c r="D586" s="7" t="s">
        <v>1765</v>
      </c>
    </row>
    <row r="587" spans="1:4" ht="21" x14ac:dyDescent="0.35">
      <c r="A587" s="7" t="s">
        <v>1766</v>
      </c>
      <c r="B587" s="7" t="s">
        <v>1767</v>
      </c>
      <c r="C587" s="7" t="s">
        <v>14</v>
      </c>
      <c r="D587" s="7" t="s">
        <v>1768</v>
      </c>
    </row>
    <row r="588" spans="1:4" ht="21" x14ac:dyDescent="0.35">
      <c r="A588" s="7" t="s">
        <v>1769</v>
      </c>
      <c r="B588" s="7" t="s">
        <v>1770</v>
      </c>
      <c r="C588" s="7" t="s">
        <v>27</v>
      </c>
      <c r="D588" s="7" t="s">
        <v>1771</v>
      </c>
    </row>
    <row r="589" spans="1:4" ht="21" x14ac:dyDescent="0.35">
      <c r="A589" s="7" t="s">
        <v>1772</v>
      </c>
      <c r="B589" s="7" t="s">
        <v>1773</v>
      </c>
      <c r="C589" s="7" t="s">
        <v>27</v>
      </c>
      <c r="D589" s="7" t="s">
        <v>1774</v>
      </c>
    </row>
    <row r="590" spans="1:4" ht="21" x14ac:dyDescent="0.35">
      <c r="A590" s="7" t="s">
        <v>1775</v>
      </c>
      <c r="B590" s="7" t="s">
        <v>1776</v>
      </c>
      <c r="C590" s="7" t="s">
        <v>10</v>
      </c>
      <c r="D590" s="7" t="s">
        <v>1777</v>
      </c>
    </row>
    <row r="591" spans="1:4" ht="21" x14ac:dyDescent="0.35">
      <c r="A591" s="7" t="s">
        <v>1778</v>
      </c>
      <c r="B591" s="7" t="s">
        <v>1779</v>
      </c>
      <c r="C591" s="7" t="s">
        <v>10</v>
      </c>
      <c r="D591" s="7" t="s">
        <v>1780</v>
      </c>
    </row>
    <row r="592" spans="1:4" ht="21" x14ac:dyDescent="0.35">
      <c r="A592" s="7" t="s">
        <v>1781</v>
      </c>
      <c r="B592" s="7" t="s">
        <v>1782</v>
      </c>
      <c r="C592" s="7" t="s">
        <v>27</v>
      </c>
      <c r="D592" s="7" t="s">
        <v>1783</v>
      </c>
    </row>
    <row r="593" spans="1:4" ht="21" x14ac:dyDescent="0.35">
      <c r="A593" s="7" t="s">
        <v>1784</v>
      </c>
      <c r="B593" s="7" t="s">
        <v>1785</v>
      </c>
      <c r="C593" s="7" t="s">
        <v>31</v>
      </c>
      <c r="D593" s="7" t="s">
        <v>1786</v>
      </c>
    </row>
    <row r="594" spans="1:4" ht="21" x14ac:dyDescent="0.35">
      <c r="A594" s="7" t="s">
        <v>1787</v>
      </c>
      <c r="B594" s="7" t="s">
        <v>1788</v>
      </c>
      <c r="C594" s="7" t="s">
        <v>14</v>
      </c>
      <c r="D594" s="7" t="s">
        <v>1789</v>
      </c>
    </row>
    <row r="595" spans="1:4" ht="21" x14ac:dyDescent="0.35">
      <c r="A595" s="7" t="s">
        <v>1790</v>
      </c>
      <c r="B595" s="7" t="s">
        <v>1791</v>
      </c>
      <c r="C595" s="7" t="s">
        <v>78</v>
      </c>
      <c r="D595" s="7" t="s">
        <v>1792</v>
      </c>
    </row>
    <row r="596" spans="1:4" ht="21" x14ac:dyDescent="0.35">
      <c r="A596" s="7" t="s">
        <v>1793</v>
      </c>
      <c r="B596" s="7" t="s">
        <v>1794</v>
      </c>
      <c r="C596" s="7" t="s">
        <v>10</v>
      </c>
      <c r="D596" s="7" t="s">
        <v>1795</v>
      </c>
    </row>
    <row r="597" spans="1:4" ht="21" x14ac:dyDescent="0.35">
      <c r="A597" s="7" t="s">
        <v>1796</v>
      </c>
      <c r="B597" s="7" t="s">
        <v>1797</v>
      </c>
      <c r="C597" s="7" t="s">
        <v>31</v>
      </c>
      <c r="D597" s="7" t="s">
        <v>1798</v>
      </c>
    </row>
    <row r="598" spans="1:4" ht="21" x14ac:dyDescent="0.35">
      <c r="A598" s="7" t="s">
        <v>1799</v>
      </c>
      <c r="B598" s="7" t="s">
        <v>1800</v>
      </c>
      <c r="C598" s="7" t="s">
        <v>10</v>
      </c>
      <c r="D598" s="7" t="s">
        <v>1801</v>
      </c>
    </row>
    <row r="599" spans="1:4" ht="21" x14ac:dyDescent="0.35">
      <c r="A599" s="7" t="s">
        <v>1802</v>
      </c>
      <c r="B599" s="7" t="s">
        <v>1803</v>
      </c>
      <c r="C599" s="7" t="s">
        <v>27</v>
      </c>
      <c r="D599" s="7" t="s">
        <v>1804</v>
      </c>
    </row>
    <row r="600" spans="1:4" ht="21" x14ac:dyDescent="0.35">
      <c r="A600" s="7" t="s">
        <v>1805</v>
      </c>
      <c r="B600" s="7" t="s">
        <v>1806</v>
      </c>
      <c r="C600" s="7" t="s">
        <v>41</v>
      </c>
      <c r="D600" s="7" t="s">
        <v>1807</v>
      </c>
    </row>
    <row r="601" spans="1:4" ht="21" x14ac:dyDescent="0.35">
      <c r="A601" s="7" t="s">
        <v>1808</v>
      </c>
      <c r="B601" s="7" t="s">
        <v>1809</v>
      </c>
      <c r="C601" s="7" t="s">
        <v>10</v>
      </c>
      <c r="D601" s="7" t="s">
        <v>1810</v>
      </c>
    </row>
    <row r="602" spans="1:4" ht="21" x14ac:dyDescent="0.35">
      <c r="A602" s="7" t="s">
        <v>1811</v>
      </c>
      <c r="B602" s="7" t="s">
        <v>1812</v>
      </c>
      <c r="C602" s="7" t="s">
        <v>6</v>
      </c>
      <c r="D602" s="7" t="s">
        <v>1813</v>
      </c>
    </row>
    <row r="603" spans="1:4" ht="21" x14ac:dyDescent="0.35">
      <c r="A603" s="7" t="s">
        <v>1814</v>
      </c>
      <c r="B603" s="7" t="s">
        <v>1815</v>
      </c>
      <c r="C603" s="7" t="s">
        <v>41</v>
      </c>
      <c r="D603" s="7" t="s">
        <v>1816</v>
      </c>
    </row>
    <row r="604" spans="1:4" ht="21" x14ac:dyDescent="0.35">
      <c r="A604" s="7" t="s">
        <v>1817</v>
      </c>
      <c r="B604" s="7" t="s">
        <v>1818</v>
      </c>
      <c r="C604" s="7" t="s">
        <v>78</v>
      </c>
      <c r="D604" s="7" t="s">
        <v>1819</v>
      </c>
    </row>
    <row r="605" spans="1:4" ht="21" x14ac:dyDescent="0.35">
      <c r="A605" s="7" t="s">
        <v>1820</v>
      </c>
      <c r="B605" s="7" t="s">
        <v>1821</v>
      </c>
      <c r="C605" s="7" t="s">
        <v>78</v>
      </c>
      <c r="D605" s="7" t="s">
        <v>1822</v>
      </c>
    </row>
    <row r="606" spans="1:4" ht="21" x14ac:dyDescent="0.35">
      <c r="A606" s="7" t="s">
        <v>1823</v>
      </c>
      <c r="B606" s="7" t="s">
        <v>1824</v>
      </c>
      <c r="C606" s="7" t="s">
        <v>78</v>
      </c>
      <c r="D606" s="7" t="s">
        <v>1825</v>
      </c>
    </row>
    <row r="607" spans="1:4" ht="21" x14ac:dyDescent="0.35">
      <c r="A607" s="7" t="s">
        <v>1826</v>
      </c>
      <c r="B607" s="7" t="s">
        <v>1827</v>
      </c>
      <c r="C607" s="7" t="s">
        <v>27</v>
      </c>
      <c r="D607" s="7" t="s">
        <v>1828</v>
      </c>
    </row>
    <row r="608" spans="1:4" ht="21" x14ac:dyDescent="0.35">
      <c r="A608" s="7" t="s">
        <v>1829</v>
      </c>
      <c r="B608" s="7" t="s">
        <v>1830</v>
      </c>
      <c r="C608" s="7" t="s">
        <v>31</v>
      </c>
      <c r="D608" s="7" t="s">
        <v>1831</v>
      </c>
    </row>
    <row r="609" spans="1:4" ht="21" x14ac:dyDescent="0.35">
      <c r="A609" s="7" t="s">
        <v>1832</v>
      </c>
      <c r="B609" s="7" t="s">
        <v>1833</v>
      </c>
      <c r="C609" s="7" t="s">
        <v>27</v>
      </c>
      <c r="D609" s="7" t="s">
        <v>1834</v>
      </c>
    </row>
    <row r="610" spans="1:4" ht="21" x14ac:dyDescent="0.35">
      <c r="A610" s="7" t="s">
        <v>1835</v>
      </c>
      <c r="B610" s="7" t="s">
        <v>1836</v>
      </c>
      <c r="C610" s="7" t="s">
        <v>78</v>
      </c>
      <c r="D610" s="7" t="s">
        <v>1837</v>
      </c>
    </row>
    <row r="611" spans="1:4" ht="21" x14ac:dyDescent="0.35">
      <c r="A611" s="7" t="s">
        <v>1838</v>
      </c>
      <c r="B611" s="7" t="s">
        <v>1839</v>
      </c>
      <c r="C611" s="7" t="s">
        <v>10</v>
      </c>
      <c r="D611" s="7" t="s">
        <v>1840</v>
      </c>
    </row>
    <row r="612" spans="1:4" ht="21" x14ac:dyDescent="0.35">
      <c r="A612" s="7" t="s">
        <v>1841</v>
      </c>
      <c r="B612" s="7" t="s">
        <v>1842</v>
      </c>
      <c r="C612" s="7" t="s">
        <v>41</v>
      </c>
      <c r="D612" s="7" t="s">
        <v>1843</v>
      </c>
    </row>
    <row r="613" spans="1:4" ht="21" x14ac:dyDescent="0.35">
      <c r="A613" s="7" t="s">
        <v>1844</v>
      </c>
      <c r="B613" s="7" t="s">
        <v>1845</v>
      </c>
      <c r="C613" s="7" t="s">
        <v>41</v>
      </c>
      <c r="D613" s="7" t="s">
        <v>1846</v>
      </c>
    </row>
    <row r="614" spans="1:4" ht="21" x14ac:dyDescent="0.35">
      <c r="A614" s="7" t="s">
        <v>1847</v>
      </c>
      <c r="B614" s="7" t="s">
        <v>1848</v>
      </c>
      <c r="C614" s="7" t="s">
        <v>31</v>
      </c>
      <c r="D614" s="7" t="s">
        <v>1849</v>
      </c>
    </row>
    <row r="615" spans="1:4" ht="21" x14ac:dyDescent="0.35">
      <c r="A615" s="7" t="s">
        <v>1850</v>
      </c>
      <c r="B615" s="7" t="s">
        <v>1851</v>
      </c>
      <c r="C615" s="7" t="s">
        <v>27</v>
      </c>
      <c r="D615" s="7" t="s">
        <v>1852</v>
      </c>
    </row>
    <row r="616" spans="1:4" ht="21" x14ac:dyDescent="0.35">
      <c r="A616" s="7" t="s">
        <v>1853</v>
      </c>
      <c r="B616" s="7" t="s">
        <v>1854</v>
      </c>
      <c r="C616" s="7" t="s">
        <v>6</v>
      </c>
      <c r="D616" s="7" t="s">
        <v>1855</v>
      </c>
    </row>
    <row r="617" spans="1:4" ht="21" x14ac:dyDescent="0.35">
      <c r="A617" s="7" t="s">
        <v>1856</v>
      </c>
      <c r="B617" s="7" t="s">
        <v>1857</v>
      </c>
      <c r="C617" s="7" t="s">
        <v>6</v>
      </c>
      <c r="D617" s="7" t="s">
        <v>1858</v>
      </c>
    </row>
    <row r="618" spans="1:4" ht="21" x14ac:dyDescent="0.35">
      <c r="A618" s="7" t="s">
        <v>1859</v>
      </c>
      <c r="B618" s="7" t="s">
        <v>1860</v>
      </c>
      <c r="C618" s="7" t="s">
        <v>10</v>
      </c>
      <c r="D618" s="7" t="s">
        <v>1861</v>
      </c>
    </row>
    <row r="619" spans="1:4" ht="21" x14ac:dyDescent="0.35">
      <c r="A619" s="7" t="s">
        <v>1862</v>
      </c>
      <c r="B619" s="7" t="s">
        <v>1863</v>
      </c>
      <c r="C619" s="7" t="s">
        <v>6</v>
      </c>
      <c r="D619" s="7" t="s">
        <v>1864</v>
      </c>
    </row>
    <row r="620" spans="1:4" ht="21" x14ac:dyDescent="0.35">
      <c r="A620" s="7" t="s">
        <v>1865</v>
      </c>
      <c r="B620" s="7" t="s">
        <v>1866</v>
      </c>
      <c r="C620" s="7" t="s">
        <v>6</v>
      </c>
      <c r="D620" s="7" t="s">
        <v>1867</v>
      </c>
    </row>
    <row r="621" spans="1:4" ht="21" x14ac:dyDescent="0.35">
      <c r="A621" s="7" t="s">
        <v>1868</v>
      </c>
      <c r="B621" s="7" t="s">
        <v>1869</v>
      </c>
      <c r="C621" s="7" t="s">
        <v>78</v>
      </c>
      <c r="D621" s="7" t="s">
        <v>1870</v>
      </c>
    </row>
    <row r="622" spans="1:4" ht="21" x14ac:dyDescent="0.35">
      <c r="A622" s="7" t="s">
        <v>1871</v>
      </c>
      <c r="B622" s="7" t="s">
        <v>1872</v>
      </c>
      <c r="C622" s="7" t="s">
        <v>31</v>
      </c>
      <c r="D622" s="7" t="s">
        <v>1873</v>
      </c>
    </row>
    <row r="623" spans="1:4" ht="21" x14ac:dyDescent="0.35">
      <c r="A623" s="7" t="s">
        <v>1874</v>
      </c>
      <c r="B623" s="7" t="s">
        <v>1875</v>
      </c>
      <c r="C623" s="7" t="s">
        <v>27</v>
      </c>
      <c r="D623" s="7" t="s">
        <v>1876</v>
      </c>
    </row>
    <row r="624" spans="1:4" ht="21" x14ac:dyDescent="0.35">
      <c r="A624" s="7" t="s">
        <v>1877</v>
      </c>
      <c r="B624" s="7" t="s">
        <v>1878</v>
      </c>
      <c r="C624" s="7" t="s">
        <v>78</v>
      </c>
      <c r="D624" s="7" t="s">
        <v>1879</v>
      </c>
    </row>
    <row r="625" spans="1:4" ht="21" x14ac:dyDescent="0.35">
      <c r="A625" s="7" t="s">
        <v>1880</v>
      </c>
      <c r="B625" s="7" t="s">
        <v>1881</v>
      </c>
      <c r="C625" s="7" t="s">
        <v>6</v>
      </c>
      <c r="D625" s="7" t="s">
        <v>1882</v>
      </c>
    </row>
    <row r="626" spans="1:4" ht="21" x14ac:dyDescent="0.35">
      <c r="A626" s="7" t="s">
        <v>1883</v>
      </c>
      <c r="B626" s="7" t="s">
        <v>1884</v>
      </c>
      <c r="C626" s="7" t="s">
        <v>31</v>
      </c>
      <c r="D626" s="7" t="s">
        <v>1885</v>
      </c>
    </row>
    <row r="627" spans="1:4" ht="21" x14ac:dyDescent="0.35">
      <c r="A627" s="7" t="s">
        <v>1886</v>
      </c>
      <c r="B627" s="7" t="s">
        <v>1887</v>
      </c>
      <c r="C627" s="7" t="s">
        <v>41</v>
      </c>
      <c r="D627" s="7" t="s">
        <v>1888</v>
      </c>
    </row>
    <row r="628" spans="1:4" ht="21" x14ac:dyDescent="0.35">
      <c r="A628" s="7" t="s">
        <v>1889</v>
      </c>
      <c r="B628" s="7" t="s">
        <v>1890</v>
      </c>
      <c r="C628" s="7" t="s">
        <v>41</v>
      </c>
      <c r="D628" s="7" t="s">
        <v>1891</v>
      </c>
    </row>
    <row r="629" spans="1:4" ht="21" x14ac:dyDescent="0.35">
      <c r="A629" s="7" t="s">
        <v>1892</v>
      </c>
      <c r="B629" s="7" t="s">
        <v>1893</v>
      </c>
      <c r="C629" s="7" t="s">
        <v>27</v>
      </c>
      <c r="D629" s="7" t="s">
        <v>1894</v>
      </c>
    </row>
    <row r="630" spans="1:4" ht="21" x14ac:dyDescent="0.35">
      <c r="A630" s="7" t="s">
        <v>1895</v>
      </c>
      <c r="B630" s="7" t="s">
        <v>1896</v>
      </c>
      <c r="C630" s="7" t="s">
        <v>41</v>
      </c>
      <c r="D630" s="7" t="s">
        <v>1897</v>
      </c>
    </row>
    <row r="631" spans="1:4" ht="21" x14ac:dyDescent="0.35">
      <c r="A631" s="7" t="s">
        <v>1898</v>
      </c>
      <c r="B631" s="7" t="s">
        <v>1899</v>
      </c>
      <c r="C631" s="7" t="s">
        <v>78</v>
      </c>
      <c r="D631" s="7" t="s">
        <v>1900</v>
      </c>
    </row>
    <row r="632" spans="1:4" ht="21" x14ac:dyDescent="0.35">
      <c r="A632" s="7" t="s">
        <v>1901</v>
      </c>
      <c r="B632" s="7" t="s">
        <v>1902</v>
      </c>
      <c r="C632" s="7" t="s">
        <v>10</v>
      </c>
      <c r="D632" s="7" t="s">
        <v>1903</v>
      </c>
    </row>
    <row r="633" spans="1:4" ht="21" x14ac:dyDescent="0.35">
      <c r="A633" s="7" t="s">
        <v>1904</v>
      </c>
      <c r="B633" s="7" t="s">
        <v>1905</v>
      </c>
      <c r="C633" s="7" t="s">
        <v>6</v>
      </c>
      <c r="D633" s="7" t="s">
        <v>1906</v>
      </c>
    </row>
    <row r="634" spans="1:4" ht="21" x14ac:dyDescent="0.35">
      <c r="A634" s="7" t="s">
        <v>1907</v>
      </c>
      <c r="B634" s="7" t="s">
        <v>1908</v>
      </c>
      <c r="C634" s="7" t="s">
        <v>27</v>
      </c>
      <c r="D634" s="7" t="s">
        <v>1909</v>
      </c>
    </row>
    <row r="635" spans="1:4" ht="21" x14ac:dyDescent="0.35">
      <c r="A635" s="7" t="s">
        <v>1910</v>
      </c>
      <c r="B635" s="7" t="s">
        <v>1911</v>
      </c>
      <c r="C635" s="7" t="s">
        <v>41</v>
      </c>
      <c r="D635" s="7" t="s">
        <v>1912</v>
      </c>
    </row>
    <row r="636" spans="1:4" ht="21" x14ac:dyDescent="0.35">
      <c r="A636" s="7" t="s">
        <v>1913</v>
      </c>
      <c r="B636" s="7" t="s">
        <v>1914</v>
      </c>
      <c r="C636" s="7" t="s">
        <v>6</v>
      </c>
      <c r="D636" s="7" t="s">
        <v>1915</v>
      </c>
    </row>
    <row r="637" spans="1:4" ht="21" x14ac:dyDescent="0.35">
      <c r="A637" s="7" t="s">
        <v>1916</v>
      </c>
      <c r="B637" s="7" t="s">
        <v>1917</v>
      </c>
      <c r="C637" s="7" t="s">
        <v>78</v>
      </c>
      <c r="D637" s="7" t="s">
        <v>1918</v>
      </c>
    </row>
    <row r="638" spans="1:4" ht="21" x14ac:dyDescent="0.35">
      <c r="A638" s="7" t="s">
        <v>1919</v>
      </c>
      <c r="B638" s="7" t="s">
        <v>1920</v>
      </c>
      <c r="C638" s="7" t="s">
        <v>41</v>
      </c>
      <c r="D638" s="7" t="s">
        <v>1921</v>
      </c>
    </row>
    <row r="639" spans="1:4" ht="21" x14ac:dyDescent="0.35">
      <c r="A639" s="7" t="s">
        <v>1922</v>
      </c>
      <c r="B639" s="7" t="s">
        <v>1923</v>
      </c>
      <c r="C639" s="7" t="s">
        <v>10</v>
      </c>
      <c r="D639" s="7" t="s">
        <v>1924</v>
      </c>
    </row>
    <row r="640" spans="1:4" ht="21" x14ac:dyDescent="0.35">
      <c r="A640" s="7" t="s">
        <v>1925</v>
      </c>
      <c r="B640" s="7" t="s">
        <v>1926</v>
      </c>
      <c r="C640" s="7" t="s">
        <v>31</v>
      </c>
      <c r="D640" s="7" t="s">
        <v>1927</v>
      </c>
    </row>
    <row r="641" spans="1:4" ht="21" x14ac:dyDescent="0.35">
      <c r="A641" s="7" t="s">
        <v>1928</v>
      </c>
      <c r="B641" s="7" t="s">
        <v>1929</v>
      </c>
      <c r="C641" s="7" t="s">
        <v>31</v>
      </c>
      <c r="D641" s="7" t="s">
        <v>1930</v>
      </c>
    </row>
    <row r="642" spans="1:4" ht="21" x14ac:dyDescent="0.35">
      <c r="A642" s="7" t="s">
        <v>1931</v>
      </c>
      <c r="B642" s="7" t="s">
        <v>1932</v>
      </c>
      <c r="C642" s="7" t="s">
        <v>41</v>
      </c>
      <c r="D642" s="7" t="s">
        <v>1933</v>
      </c>
    </row>
    <row r="643" spans="1:4" ht="21" x14ac:dyDescent="0.35">
      <c r="A643" s="7" t="s">
        <v>1934</v>
      </c>
      <c r="B643" s="7" t="s">
        <v>1935</v>
      </c>
      <c r="C643" s="7" t="s">
        <v>10</v>
      </c>
      <c r="D643" s="7" t="s">
        <v>1936</v>
      </c>
    </row>
    <row r="644" spans="1:4" ht="21" x14ac:dyDescent="0.35">
      <c r="A644" s="7" t="s">
        <v>1937</v>
      </c>
      <c r="B644" s="7" t="s">
        <v>1938</v>
      </c>
      <c r="C644" s="7" t="s">
        <v>31</v>
      </c>
      <c r="D644" s="7" t="s">
        <v>1939</v>
      </c>
    </row>
    <row r="645" spans="1:4" ht="21" x14ac:dyDescent="0.35">
      <c r="A645" s="7" t="s">
        <v>1940</v>
      </c>
      <c r="B645" s="7" t="s">
        <v>1941</v>
      </c>
      <c r="C645" s="7" t="s">
        <v>14</v>
      </c>
      <c r="D645" s="7" t="s">
        <v>1942</v>
      </c>
    </row>
    <row r="646" spans="1:4" ht="21" x14ac:dyDescent="0.35">
      <c r="A646" s="7" t="s">
        <v>1943</v>
      </c>
      <c r="B646" s="7" t="s">
        <v>1944</v>
      </c>
      <c r="C646" s="7" t="s">
        <v>41</v>
      </c>
      <c r="D646" s="7" t="s">
        <v>1945</v>
      </c>
    </row>
    <row r="647" spans="1:4" ht="21" x14ac:dyDescent="0.35">
      <c r="A647" s="7" t="s">
        <v>1946</v>
      </c>
      <c r="B647" s="7" t="s">
        <v>1947</v>
      </c>
      <c r="C647" s="7" t="s">
        <v>78</v>
      </c>
      <c r="D647" s="7" t="s">
        <v>1948</v>
      </c>
    </row>
    <row r="648" spans="1:4" ht="21" x14ac:dyDescent="0.35">
      <c r="A648" s="7" t="s">
        <v>1949</v>
      </c>
      <c r="B648" s="7" t="s">
        <v>1950</v>
      </c>
      <c r="C648" s="7" t="s">
        <v>41</v>
      </c>
      <c r="D648" s="7" t="s">
        <v>1951</v>
      </c>
    </row>
    <row r="649" spans="1:4" ht="21" x14ac:dyDescent="0.35">
      <c r="A649" s="7" t="s">
        <v>1952</v>
      </c>
      <c r="B649" s="7" t="s">
        <v>1953</v>
      </c>
      <c r="C649" s="7" t="s">
        <v>10</v>
      </c>
      <c r="D649" s="7" t="s">
        <v>1954</v>
      </c>
    </row>
    <row r="650" spans="1:4" ht="21" x14ac:dyDescent="0.35">
      <c r="A650" s="7" t="s">
        <v>1955</v>
      </c>
      <c r="B650" s="7" t="s">
        <v>1956</v>
      </c>
      <c r="C650" s="7" t="s">
        <v>27</v>
      </c>
      <c r="D650" s="7" t="s">
        <v>1957</v>
      </c>
    </row>
    <row r="651" spans="1:4" ht="21" x14ac:dyDescent="0.35">
      <c r="A651" s="7" t="s">
        <v>1958</v>
      </c>
      <c r="B651" s="7" t="s">
        <v>1959</v>
      </c>
      <c r="C651" s="7" t="s">
        <v>27</v>
      </c>
      <c r="D651" s="7" t="s">
        <v>1960</v>
      </c>
    </row>
    <row r="652" spans="1:4" ht="21" x14ac:dyDescent="0.35">
      <c r="A652" s="7" t="s">
        <v>1961</v>
      </c>
      <c r="B652" s="7" t="s">
        <v>1962</v>
      </c>
      <c r="C652" s="7" t="s">
        <v>14</v>
      </c>
      <c r="D652" s="7" t="s">
        <v>1963</v>
      </c>
    </row>
    <row r="653" spans="1:4" ht="21" x14ac:dyDescent="0.35">
      <c r="A653" s="7" t="s">
        <v>1964</v>
      </c>
      <c r="B653" s="7" t="s">
        <v>1965</v>
      </c>
      <c r="C653" s="7" t="s">
        <v>78</v>
      </c>
      <c r="D653" s="7" t="s">
        <v>1966</v>
      </c>
    </row>
    <row r="654" spans="1:4" ht="21" x14ac:dyDescent="0.35">
      <c r="A654" s="7" t="s">
        <v>1967</v>
      </c>
      <c r="B654" s="7" t="s">
        <v>1968</v>
      </c>
      <c r="C654" s="7" t="s">
        <v>78</v>
      </c>
      <c r="D654" s="7" t="s">
        <v>1969</v>
      </c>
    </row>
    <row r="655" spans="1:4" ht="21" x14ac:dyDescent="0.35">
      <c r="A655" s="7" t="s">
        <v>1970</v>
      </c>
      <c r="B655" s="7" t="s">
        <v>1971</v>
      </c>
      <c r="C655" s="7" t="s">
        <v>10</v>
      </c>
      <c r="D655" s="7" t="s">
        <v>1972</v>
      </c>
    </row>
    <row r="656" spans="1:4" ht="21" x14ac:dyDescent="0.35">
      <c r="A656" s="7" t="s">
        <v>1973</v>
      </c>
      <c r="B656" s="7" t="s">
        <v>1974</v>
      </c>
      <c r="C656" s="7" t="s">
        <v>78</v>
      </c>
      <c r="D656" s="7" t="s">
        <v>1975</v>
      </c>
    </row>
    <row r="657" spans="1:4" ht="21" x14ac:dyDescent="0.35">
      <c r="A657" s="7" t="s">
        <v>1976</v>
      </c>
      <c r="B657" s="7" t="s">
        <v>1977</v>
      </c>
      <c r="C657" s="7" t="s">
        <v>14</v>
      </c>
      <c r="D657" s="7" t="s">
        <v>1978</v>
      </c>
    </row>
    <row r="658" spans="1:4" ht="21" x14ac:dyDescent="0.35">
      <c r="A658" s="7" t="s">
        <v>1979</v>
      </c>
      <c r="B658" s="7" t="s">
        <v>1980</v>
      </c>
      <c r="C658" s="7" t="s">
        <v>31</v>
      </c>
      <c r="D658" s="7" t="s">
        <v>1981</v>
      </c>
    </row>
    <row r="659" spans="1:4" ht="21" x14ac:dyDescent="0.35">
      <c r="A659" s="7" t="s">
        <v>1982</v>
      </c>
      <c r="B659" s="7" t="s">
        <v>1983</v>
      </c>
      <c r="C659" s="7" t="s">
        <v>6</v>
      </c>
      <c r="D659" s="7" t="s">
        <v>1984</v>
      </c>
    </row>
    <row r="660" spans="1:4" ht="21" x14ac:dyDescent="0.35">
      <c r="A660" s="7" t="s">
        <v>1985</v>
      </c>
      <c r="B660" s="7" t="s">
        <v>1986</v>
      </c>
      <c r="C660" s="7" t="s">
        <v>6</v>
      </c>
      <c r="D660" s="7" t="s">
        <v>1987</v>
      </c>
    </row>
    <row r="661" spans="1:4" ht="21" x14ac:dyDescent="0.35">
      <c r="A661" s="7" t="s">
        <v>1988</v>
      </c>
      <c r="B661" s="7" t="s">
        <v>1989</v>
      </c>
      <c r="C661" s="7" t="s">
        <v>10</v>
      </c>
      <c r="D661" s="7" t="s">
        <v>1990</v>
      </c>
    </row>
    <row r="662" spans="1:4" ht="21" x14ac:dyDescent="0.35">
      <c r="A662" s="7" t="s">
        <v>1991</v>
      </c>
      <c r="B662" s="7" t="s">
        <v>1992</v>
      </c>
      <c r="C662" s="7" t="s">
        <v>41</v>
      </c>
      <c r="D662" s="7" t="s">
        <v>1993</v>
      </c>
    </row>
    <row r="663" spans="1:4" ht="21" x14ac:dyDescent="0.35">
      <c r="A663" s="7" t="s">
        <v>1994</v>
      </c>
      <c r="B663" s="7" t="s">
        <v>1995</v>
      </c>
      <c r="C663" s="7" t="s">
        <v>41</v>
      </c>
      <c r="D663" s="7" t="s">
        <v>1996</v>
      </c>
    </row>
    <row r="664" spans="1:4" ht="21" x14ac:dyDescent="0.35">
      <c r="A664" s="7" t="s">
        <v>1997</v>
      </c>
      <c r="B664" s="7" t="s">
        <v>1998</v>
      </c>
      <c r="C664" s="7" t="s">
        <v>27</v>
      </c>
      <c r="D664" s="7" t="s">
        <v>1999</v>
      </c>
    </row>
    <row r="665" spans="1:4" ht="21" x14ac:dyDescent="0.35">
      <c r="A665" s="7" t="s">
        <v>2000</v>
      </c>
      <c r="B665" s="7" t="s">
        <v>2001</v>
      </c>
      <c r="C665" s="7" t="s">
        <v>14</v>
      </c>
      <c r="D665" s="7" t="s">
        <v>2002</v>
      </c>
    </row>
    <row r="666" spans="1:4" ht="21" x14ac:dyDescent="0.35">
      <c r="A666" s="7" t="s">
        <v>2003</v>
      </c>
      <c r="B666" s="7" t="s">
        <v>2004</v>
      </c>
      <c r="C666" s="7" t="s">
        <v>27</v>
      </c>
      <c r="D666" s="7" t="s">
        <v>2005</v>
      </c>
    </row>
    <row r="667" spans="1:4" ht="21" x14ac:dyDescent="0.35">
      <c r="A667" s="7" t="s">
        <v>2006</v>
      </c>
      <c r="B667" s="7" t="s">
        <v>2007</v>
      </c>
      <c r="C667" s="7" t="s">
        <v>27</v>
      </c>
      <c r="D667" s="7" t="s">
        <v>2008</v>
      </c>
    </row>
    <row r="668" spans="1:4" ht="21" x14ac:dyDescent="0.35">
      <c r="A668" s="7" t="s">
        <v>2009</v>
      </c>
      <c r="B668" s="7" t="s">
        <v>2010</v>
      </c>
      <c r="C668" s="7" t="s">
        <v>78</v>
      </c>
      <c r="D668" s="7" t="s">
        <v>2011</v>
      </c>
    </row>
    <row r="669" spans="1:4" ht="21" x14ac:dyDescent="0.35">
      <c r="A669" s="7" t="s">
        <v>2012</v>
      </c>
      <c r="B669" s="7" t="s">
        <v>2013</v>
      </c>
      <c r="C669" s="7" t="s">
        <v>6</v>
      </c>
      <c r="D669" s="7" t="s">
        <v>2014</v>
      </c>
    </row>
    <row r="670" spans="1:4" ht="21" x14ac:dyDescent="0.35">
      <c r="A670" s="7" t="s">
        <v>2015</v>
      </c>
      <c r="B670" s="7" t="s">
        <v>2016</v>
      </c>
      <c r="C670" s="7" t="s">
        <v>78</v>
      </c>
      <c r="D670" s="7" t="s">
        <v>2017</v>
      </c>
    </row>
    <row r="671" spans="1:4" ht="21" x14ac:dyDescent="0.35">
      <c r="A671" s="7" t="s">
        <v>2018</v>
      </c>
      <c r="B671" s="7" t="s">
        <v>2019</v>
      </c>
      <c r="C671" s="7" t="s">
        <v>14</v>
      </c>
      <c r="D671" s="7" t="s">
        <v>2020</v>
      </c>
    </row>
    <row r="672" spans="1:4" ht="21" x14ac:dyDescent="0.35">
      <c r="A672" s="7" t="s">
        <v>2021</v>
      </c>
      <c r="B672" s="7" t="s">
        <v>2022</v>
      </c>
      <c r="C672" s="7" t="s">
        <v>10</v>
      </c>
      <c r="D672" s="7" t="s">
        <v>2023</v>
      </c>
    </row>
    <row r="673" spans="1:4" ht="21" x14ac:dyDescent="0.35">
      <c r="A673" s="7" t="s">
        <v>2024</v>
      </c>
      <c r="B673" s="7" t="s">
        <v>2025</v>
      </c>
      <c r="C673" s="7" t="s">
        <v>27</v>
      </c>
      <c r="D673" s="7" t="s">
        <v>2026</v>
      </c>
    </row>
    <row r="674" spans="1:4" ht="21" x14ac:dyDescent="0.35">
      <c r="A674" s="7" t="s">
        <v>2027</v>
      </c>
      <c r="B674" s="7" t="s">
        <v>2028</v>
      </c>
      <c r="C674" s="7" t="s">
        <v>31</v>
      </c>
      <c r="D674" s="7" t="s">
        <v>2029</v>
      </c>
    </row>
    <row r="675" spans="1:4" ht="21" x14ac:dyDescent="0.35">
      <c r="A675" s="7" t="s">
        <v>2030</v>
      </c>
      <c r="B675" s="7" t="s">
        <v>2031</v>
      </c>
      <c r="C675" s="7" t="s">
        <v>6</v>
      </c>
      <c r="D675" s="7" t="s">
        <v>2032</v>
      </c>
    </row>
    <row r="676" spans="1:4" ht="21" x14ac:dyDescent="0.35">
      <c r="A676" s="7" t="s">
        <v>2033</v>
      </c>
      <c r="B676" s="7" t="s">
        <v>2034</v>
      </c>
      <c r="C676" s="7" t="s">
        <v>41</v>
      </c>
      <c r="D676" s="7" t="s">
        <v>2035</v>
      </c>
    </row>
    <row r="677" spans="1:4" ht="21" x14ac:dyDescent="0.35">
      <c r="A677" s="7" t="s">
        <v>2036</v>
      </c>
      <c r="B677" s="7" t="s">
        <v>2037</v>
      </c>
      <c r="C677" s="7" t="s">
        <v>14</v>
      </c>
      <c r="D677" s="7" t="s">
        <v>2038</v>
      </c>
    </row>
    <row r="678" spans="1:4" ht="21" x14ac:dyDescent="0.35">
      <c r="A678" s="7" t="s">
        <v>2039</v>
      </c>
      <c r="B678" s="7" t="s">
        <v>2040</v>
      </c>
      <c r="C678" s="7" t="s">
        <v>10</v>
      </c>
      <c r="D678" s="7" t="s">
        <v>2041</v>
      </c>
    </row>
    <row r="679" spans="1:4" ht="21" x14ac:dyDescent="0.35">
      <c r="A679" s="7" t="s">
        <v>2042</v>
      </c>
      <c r="B679" s="7" t="s">
        <v>2043</v>
      </c>
      <c r="C679" s="7" t="s">
        <v>31</v>
      </c>
      <c r="D679" s="7" t="s">
        <v>2044</v>
      </c>
    </row>
    <row r="680" spans="1:4" ht="21" x14ac:dyDescent="0.35">
      <c r="A680" s="7" t="s">
        <v>2045</v>
      </c>
      <c r="B680" s="7" t="s">
        <v>2046</v>
      </c>
      <c r="C680" s="7" t="s">
        <v>14</v>
      </c>
      <c r="D680" s="7" t="s">
        <v>2047</v>
      </c>
    </row>
    <row r="681" spans="1:4" ht="21" x14ac:dyDescent="0.35">
      <c r="A681" s="7" t="s">
        <v>2048</v>
      </c>
      <c r="B681" s="7" t="s">
        <v>2049</v>
      </c>
      <c r="C681" s="7" t="s">
        <v>31</v>
      </c>
      <c r="D681" s="7" t="s">
        <v>2050</v>
      </c>
    </row>
    <row r="682" spans="1:4" ht="21" x14ac:dyDescent="0.35">
      <c r="A682" s="7" t="s">
        <v>2051</v>
      </c>
      <c r="B682" s="7" t="s">
        <v>2052</v>
      </c>
      <c r="C682" s="7" t="s">
        <v>78</v>
      </c>
      <c r="D682" s="7" t="s">
        <v>2053</v>
      </c>
    </row>
    <row r="683" spans="1:4" ht="21" x14ac:dyDescent="0.35">
      <c r="A683" s="7" t="s">
        <v>2054</v>
      </c>
      <c r="B683" s="7" t="s">
        <v>2055</v>
      </c>
      <c r="C683" s="7" t="s">
        <v>31</v>
      </c>
      <c r="D683" s="7" t="s">
        <v>2056</v>
      </c>
    </row>
    <row r="684" spans="1:4" ht="21" x14ac:dyDescent="0.35">
      <c r="A684" s="7" t="s">
        <v>2057</v>
      </c>
      <c r="B684" s="7" t="s">
        <v>2058</v>
      </c>
      <c r="C684" s="7" t="s">
        <v>78</v>
      </c>
      <c r="D684" s="7" t="s">
        <v>2059</v>
      </c>
    </row>
    <row r="685" spans="1:4" ht="21" x14ac:dyDescent="0.35">
      <c r="A685" s="7" t="s">
        <v>2060</v>
      </c>
      <c r="B685" s="7" t="s">
        <v>2061</v>
      </c>
      <c r="C685" s="7" t="s">
        <v>14</v>
      </c>
      <c r="D685" s="7" t="s">
        <v>2062</v>
      </c>
    </row>
    <row r="686" spans="1:4" ht="21" x14ac:dyDescent="0.35">
      <c r="A686" s="7" t="s">
        <v>2063</v>
      </c>
      <c r="B686" s="7" t="s">
        <v>2064</v>
      </c>
      <c r="C686" s="7" t="s">
        <v>27</v>
      </c>
      <c r="D686" s="7" t="s">
        <v>2065</v>
      </c>
    </row>
    <row r="687" spans="1:4" ht="21" x14ac:dyDescent="0.35">
      <c r="A687" s="7" t="s">
        <v>2066</v>
      </c>
      <c r="B687" s="7" t="s">
        <v>2067</v>
      </c>
      <c r="C687" s="7" t="s">
        <v>41</v>
      </c>
      <c r="D687" s="7" t="s">
        <v>2068</v>
      </c>
    </row>
    <row r="688" spans="1:4" ht="21" x14ac:dyDescent="0.35">
      <c r="A688" s="7" t="s">
        <v>2069</v>
      </c>
      <c r="B688" s="7" t="s">
        <v>2070</v>
      </c>
      <c r="C688" s="7" t="s">
        <v>31</v>
      </c>
      <c r="D688" s="7" t="s">
        <v>2071</v>
      </c>
    </row>
    <row r="689" spans="1:4" ht="21" x14ac:dyDescent="0.35">
      <c r="A689" s="7" t="s">
        <v>2072</v>
      </c>
      <c r="B689" s="7" t="s">
        <v>2073</v>
      </c>
      <c r="C689" s="7" t="s">
        <v>6</v>
      </c>
      <c r="D689" s="7" t="s">
        <v>2074</v>
      </c>
    </row>
    <row r="690" spans="1:4" ht="21" x14ac:dyDescent="0.35">
      <c r="A690" s="7" t="s">
        <v>2075</v>
      </c>
      <c r="B690" s="7" t="s">
        <v>2076</v>
      </c>
      <c r="C690" s="7" t="s">
        <v>10</v>
      </c>
      <c r="D690" s="7" t="s">
        <v>2077</v>
      </c>
    </row>
    <row r="691" spans="1:4" ht="21" x14ac:dyDescent="0.35">
      <c r="A691" s="7" t="s">
        <v>2078</v>
      </c>
      <c r="B691" s="7" t="s">
        <v>2079</v>
      </c>
      <c r="C691" s="7" t="s">
        <v>6</v>
      </c>
      <c r="D691" s="7" t="s">
        <v>2080</v>
      </c>
    </row>
    <row r="692" spans="1:4" ht="21" x14ac:dyDescent="0.35">
      <c r="A692" s="7" t="s">
        <v>2081</v>
      </c>
      <c r="B692" s="7" t="s">
        <v>2082</v>
      </c>
      <c r="C692" s="7" t="s">
        <v>14</v>
      </c>
      <c r="D692" s="7" t="s">
        <v>2083</v>
      </c>
    </row>
    <row r="693" spans="1:4" ht="21" x14ac:dyDescent="0.35">
      <c r="A693" s="7" t="s">
        <v>2084</v>
      </c>
      <c r="B693" s="7" t="s">
        <v>2085</v>
      </c>
      <c r="C693" s="7" t="s">
        <v>31</v>
      </c>
      <c r="D693" s="7" t="s">
        <v>2086</v>
      </c>
    </row>
    <row r="694" spans="1:4" ht="21" x14ac:dyDescent="0.35">
      <c r="A694" s="7" t="s">
        <v>2087</v>
      </c>
      <c r="B694" s="7" t="s">
        <v>2088</v>
      </c>
      <c r="C694" s="7" t="s">
        <v>31</v>
      </c>
      <c r="D694" s="7" t="s">
        <v>2089</v>
      </c>
    </row>
    <row r="695" spans="1:4" ht="21" x14ac:dyDescent="0.35">
      <c r="A695" s="7" t="s">
        <v>2090</v>
      </c>
      <c r="B695" s="7" t="s">
        <v>2091</v>
      </c>
      <c r="C695" s="7" t="s">
        <v>31</v>
      </c>
      <c r="D695" s="7" t="s">
        <v>2092</v>
      </c>
    </row>
    <row r="696" spans="1:4" ht="21" x14ac:dyDescent="0.35">
      <c r="A696" s="7" t="s">
        <v>2093</v>
      </c>
      <c r="B696" s="7" t="s">
        <v>2094</v>
      </c>
      <c r="C696" s="7" t="s">
        <v>41</v>
      </c>
      <c r="D696" s="7" t="s">
        <v>2095</v>
      </c>
    </row>
    <row r="697" spans="1:4" ht="21" x14ac:dyDescent="0.35">
      <c r="A697" s="7" t="s">
        <v>2096</v>
      </c>
      <c r="B697" s="7" t="s">
        <v>2097</v>
      </c>
      <c r="C697" s="7" t="s">
        <v>27</v>
      </c>
      <c r="D697" s="7" t="s">
        <v>2098</v>
      </c>
    </row>
    <row r="698" spans="1:4" ht="21" x14ac:dyDescent="0.35">
      <c r="A698" s="7" t="s">
        <v>2099</v>
      </c>
      <c r="B698" s="7" t="s">
        <v>2100</v>
      </c>
      <c r="C698" s="7" t="s">
        <v>41</v>
      </c>
      <c r="D698" s="7" t="s">
        <v>2101</v>
      </c>
    </row>
    <row r="699" spans="1:4" ht="21" x14ac:dyDescent="0.35">
      <c r="A699" s="7" t="s">
        <v>2102</v>
      </c>
      <c r="B699" s="7" t="s">
        <v>2103</v>
      </c>
      <c r="C699" s="7" t="s">
        <v>31</v>
      </c>
      <c r="D699" s="7" t="s">
        <v>2104</v>
      </c>
    </row>
    <row r="700" spans="1:4" ht="21" x14ac:dyDescent="0.35">
      <c r="A700" s="7" t="s">
        <v>2105</v>
      </c>
      <c r="B700" s="7" t="s">
        <v>2106</v>
      </c>
      <c r="C700" s="7" t="s">
        <v>41</v>
      </c>
      <c r="D700" s="7" t="s">
        <v>2107</v>
      </c>
    </row>
    <row r="701" spans="1:4" ht="21" x14ac:dyDescent="0.35">
      <c r="A701" s="7" t="s">
        <v>2108</v>
      </c>
      <c r="B701" s="7" t="s">
        <v>2109</v>
      </c>
      <c r="C701" s="7" t="s">
        <v>10</v>
      </c>
      <c r="D701" s="7" t="s">
        <v>2110</v>
      </c>
    </row>
    <row r="702" spans="1:4" ht="21" x14ac:dyDescent="0.35">
      <c r="A702" s="7" t="s">
        <v>2111</v>
      </c>
      <c r="B702" s="7" t="s">
        <v>2112</v>
      </c>
      <c r="C702" s="7" t="s">
        <v>41</v>
      </c>
      <c r="D702" s="7" t="s">
        <v>2113</v>
      </c>
    </row>
    <row r="703" spans="1:4" ht="21" x14ac:dyDescent="0.35">
      <c r="A703" s="7" t="s">
        <v>2114</v>
      </c>
      <c r="B703" s="7" t="s">
        <v>2115</v>
      </c>
      <c r="C703" s="7" t="s">
        <v>27</v>
      </c>
      <c r="D703" s="7" t="s">
        <v>2116</v>
      </c>
    </row>
    <row r="704" spans="1:4" ht="21" x14ac:dyDescent="0.35">
      <c r="A704" s="7" t="s">
        <v>2117</v>
      </c>
      <c r="B704" s="7" t="s">
        <v>2118</v>
      </c>
      <c r="C704" s="7" t="s">
        <v>14</v>
      </c>
      <c r="D704" s="7" t="s">
        <v>2119</v>
      </c>
    </row>
    <row r="705" spans="1:4" ht="21" x14ac:dyDescent="0.35">
      <c r="A705" s="7" t="s">
        <v>2120</v>
      </c>
      <c r="B705" s="7" t="s">
        <v>2121</v>
      </c>
      <c r="C705" s="7" t="s">
        <v>14</v>
      </c>
      <c r="D705" s="7" t="s">
        <v>2122</v>
      </c>
    </row>
    <row r="706" spans="1:4" ht="21" x14ac:dyDescent="0.35">
      <c r="A706" s="7" t="s">
        <v>2123</v>
      </c>
      <c r="B706" s="7" t="s">
        <v>2124</v>
      </c>
      <c r="C706" s="7" t="s">
        <v>41</v>
      </c>
      <c r="D706" s="7" t="s">
        <v>2125</v>
      </c>
    </row>
    <row r="707" spans="1:4" ht="21" x14ac:dyDescent="0.35">
      <c r="A707" s="7" t="s">
        <v>2126</v>
      </c>
      <c r="B707" s="7" t="s">
        <v>2127</v>
      </c>
      <c r="C707" s="7" t="s">
        <v>31</v>
      </c>
      <c r="D707" s="7" t="s">
        <v>2128</v>
      </c>
    </row>
    <row r="708" spans="1:4" ht="21" x14ac:dyDescent="0.35">
      <c r="A708" s="7" t="s">
        <v>2129</v>
      </c>
      <c r="B708" s="7" t="s">
        <v>2130</v>
      </c>
      <c r="C708" s="7" t="s">
        <v>41</v>
      </c>
      <c r="D708" s="7" t="s">
        <v>2131</v>
      </c>
    </row>
    <row r="709" spans="1:4" ht="21" x14ac:dyDescent="0.35">
      <c r="A709" s="7" t="s">
        <v>2132</v>
      </c>
      <c r="B709" s="7" t="s">
        <v>2133</v>
      </c>
      <c r="C709" s="7" t="s">
        <v>6</v>
      </c>
      <c r="D709" s="7" t="s">
        <v>2134</v>
      </c>
    </row>
    <row r="710" spans="1:4" ht="21" x14ac:dyDescent="0.35">
      <c r="A710" s="7" t="s">
        <v>2135</v>
      </c>
      <c r="B710" s="7" t="s">
        <v>2136</v>
      </c>
      <c r="C710" s="7" t="s">
        <v>14</v>
      </c>
      <c r="D710" s="7" t="s">
        <v>2137</v>
      </c>
    </row>
    <row r="711" spans="1:4" ht="21" x14ac:dyDescent="0.35">
      <c r="A711" s="7" t="s">
        <v>2138</v>
      </c>
      <c r="B711" s="7" t="s">
        <v>2139</v>
      </c>
      <c r="C711" s="7" t="s">
        <v>78</v>
      </c>
      <c r="D711" s="7" t="s">
        <v>2140</v>
      </c>
    </row>
    <row r="712" spans="1:4" ht="21" x14ac:dyDescent="0.35">
      <c r="A712" s="7" t="s">
        <v>2141</v>
      </c>
      <c r="B712" s="7" t="s">
        <v>2142</v>
      </c>
      <c r="C712" s="7" t="s">
        <v>14</v>
      </c>
      <c r="D712" s="7" t="s">
        <v>2143</v>
      </c>
    </row>
    <row r="713" spans="1:4" ht="21" x14ac:dyDescent="0.35">
      <c r="A713" s="7" t="s">
        <v>2144</v>
      </c>
      <c r="B713" s="7" t="s">
        <v>2145</v>
      </c>
      <c r="C713" s="7" t="s">
        <v>10</v>
      </c>
      <c r="D713" s="7" t="s">
        <v>2146</v>
      </c>
    </row>
    <row r="714" spans="1:4" ht="21" x14ac:dyDescent="0.35">
      <c r="A714" s="7" t="s">
        <v>2147</v>
      </c>
      <c r="B714" s="7" t="s">
        <v>2148</v>
      </c>
      <c r="C714" s="7" t="s">
        <v>6</v>
      </c>
      <c r="D714" s="7" t="s">
        <v>2149</v>
      </c>
    </row>
    <row r="715" spans="1:4" ht="21" x14ac:dyDescent="0.35">
      <c r="A715" s="7" t="s">
        <v>2150</v>
      </c>
      <c r="B715" s="7" t="s">
        <v>2151</v>
      </c>
      <c r="C715" s="7" t="s">
        <v>27</v>
      </c>
      <c r="D715" s="7" t="s">
        <v>2152</v>
      </c>
    </row>
    <row r="716" spans="1:4" ht="21" x14ac:dyDescent="0.35">
      <c r="A716" s="7" t="s">
        <v>2153</v>
      </c>
      <c r="B716" s="7" t="s">
        <v>2154</v>
      </c>
      <c r="C716" s="7" t="s">
        <v>10</v>
      </c>
      <c r="D716" s="7" t="s">
        <v>2155</v>
      </c>
    </row>
    <row r="717" spans="1:4" ht="21" x14ac:dyDescent="0.35">
      <c r="A717" s="7" t="s">
        <v>2156</v>
      </c>
      <c r="B717" s="7" t="s">
        <v>2157</v>
      </c>
      <c r="C717" s="7" t="s">
        <v>27</v>
      </c>
      <c r="D717" s="7" t="s">
        <v>2158</v>
      </c>
    </row>
    <row r="718" spans="1:4" ht="21" x14ac:dyDescent="0.35">
      <c r="A718" s="7" t="s">
        <v>2159</v>
      </c>
      <c r="B718" s="7" t="s">
        <v>2160</v>
      </c>
      <c r="C718" s="7" t="s">
        <v>10</v>
      </c>
      <c r="D718" s="7" t="s">
        <v>2161</v>
      </c>
    </row>
    <row r="719" spans="1:4" ht="21" x14ac:dyDescent="0.35">
      <c r="A719" s="7" t="s">
        <v>2162</v>
      </c>
      <c r="B719" s="7" t="s">
        <v>2163</v>
      </c>
      <c r="C719" s="7" t="s">
        <v>27</v>
      </c>
      <c r="D719" s="7" t="s">
        <v>2164</v>
      </c>
    </row>
    <row r="720" spans="1:4" ht="21" x14ac:dyDescent="0.35">
      <c r="A720" s="7" t="s">
        <v>2165</v>
      </c>
      <c r="B720" s="7" t="s">
        <v>2166</v>
      </c>
      <c r="C720" s="7" t="s">
        <v>31</v>
      </c>
      <c r="D720" s="7" t="s">
        <v>2167</v>
      </c>
    </row>
    <row r="721" spans="1:4" ht="21" x14ac:dyDescent="0.35">
      <c r="A721" s="7" t="s">
        <v>2168</v>
      </c>
      <c r="B721" s="7" t="s">
        <v>2169</v>
      </c>
      <c r="C721" s="7" t="s">
        <v>14</v>
      </c>
      <c r="D721" s="7" t="s">
        <v>2170</v>
      </c>
    </row>
    <row r="722" spans="1:4" ht="21" x14ac:dyDescent="0.35">
      <c r="A722" s="7" t="s">
        <v>2171</v>
      </c>
      <c r="B722" s="7" t="s">
        <v>2172</v>
      </c>
      <c r="C722" s="7" t="s">
        <v>14</v>
      </c>
      <c r="D722" s="7" t="s">
        <v>2173</v>
      </c>
    </row>
    <row r="723" spans="1:4" ht="21" x14ac:dyDescent="0.35">
      <c r="A723" s="7" t="s">
        <v>2174</v>
      </c>
      <c r="B723" s="7" t="s">
        <v>2175</v>
      </c>
      <c r="C723" s="7" t="s">
        <v>78</v>
      </c>
      <c r="D723" s="7" t="s">
        <v>2176</v>
      </c>
    </row>
    <row r="724" spans="1:4" ht="21" x14ac:dyDescent="0.35">
      <c r="A724" s="7" t="s">
        <v>2177</v>
      </c>
      <c r="B724" s="7" t="s">
        <v>2178</v>
      </c>
      <c r="C724" s="7" t="s">
        <v>78</v>
      </c>
      <c r="D724" s="7" t="s">
        <v>2179</v>
      </c>
    </row>
    <row r="725" spans="1:4" ht="21" x14ac:dyDescent="0.35">
      <c r="A725" s="7" t="s">
        <v>2180</v>
      </c>
      <c r="B725" s="7" t="s">
        <v>2181</v>
      </c>
      <c r="C725" s="7" t="s">
        <v>27</v>
      </c>
      <c r="D725" s="7" t="s">
        <v>2182</v>
      </c>
    </row>
    <row r="726" spans="1:4" ht="21" x14ac:dyDescent="0.35">
      <c r="A726" s="7" t="s">
        <v>2183</v>
      </c>
      <c r="B726" s="7" t="s">
        <v>2184</v>
      </c>
      <c r="C726" s="7" t="s">
        <v>41</v>
      </c>
      <c r="D726" s="7" t="s">
        <v>2185</v>
      </c>
    </row>
    <row r="727" spans="1:4" ht="21" x14ac:dyDescent="0.35">
      <c r="A727" s="7" t="s">
        <v>2186</v>
      </c>
      <c r="B727" s="7" t="s">
        <v>2187</v>
      </c>
      <c r="C727" s="7" t="s">
        <v>78</v>
      </c>
      <c r="D727" s="7" t="s">
        <v>2188</v>
      </c>
    </row>
    <row r="728" spans="1:4" ht="21" x14ac:dyDescent="0.35">
      <c r="A728" s="7" t="s">
        <v>2189</v>
      </c>
      <c r="B728" s="7" t="s">
        <v>2190</v>
      </c>
      <c r="C728" s="7" t="s">
        <v>27</v>
      </c>
      <c r="D728" s="7" t="s">
        <v>2191</v>
      </c>
    </row>
    <row r="729" spans="1:4" ht="21" x14ac:dyDescent="0.35">
      <c r="A729" s="7" t="s">
        <v>2192</v>
      </c>
      <c r="B729" s="7" t="s">
        <v>2193</v>
      </c>
      <c r="C729" s="7" t="s">
        <v>78</v>
      </c>
      <c r="D729" s="7" t="s">
        <v>2194</v>
      </c>
    </row>
    <row r="730" spans="1:4" ht="21" x14ac:dyDescent="0.35">
      <c r="A730" s="7" t="s">
        <v>2195</v>
      </c>
      <c r="B730" s="7" t="s">
        <v>2196</v>
      </c>
      <c r="C730" s="7" t="s">
        <v>41</v>
      </c>
      <c r="D730" s="7" t="s">
        <v>2197</v>
      </c>
    </row>
    <row r="731" spans="1:4" ht="21" x14ac:dyDescent="0.35">
      <c r="A731" s="7" t="s">
        <v>2198</v>
      </c>
      <c r="B731" s="7" t="s">
        <v>2199</v>
      </c>
      <c r="C731" s="7" t="s">
        <v>6</v>
      </c>
      <c r="D731" s="7" t="s">
        <v>2200</v>
      </c>
    </row>
    <row r="732" spans="1:4" ht="21" x14ac:dyDescent="0.35">
      <c r="A732" s="7" t="s">
        <v>2201</v>
      </c>
      <c r="B732" s="7" t="s">
        <v>2202</v>
      </c>
      <c r="C732" s="7" t="s">
        <v>78</v>
      </c>
      <c r="D732" s="7" t="s">
        <v>2203</v>
      </c>
    </row>
    <row r="733" spans="1:4" ht="21" x14ac:dyDescent="0.35">
      <c r="A733" s="7" t="s">
        <v>2204</v>
      </c>
      <c r="B733" s="7" t="s">
        <v>2205</v>
      </c>
      <c r="C733" s="7" t="s">
        <v>14</v>
      </c>
      <c r="D733" s="7" t="s">
        <v>2206</v>
      </c>
    </row>
    <row r="734" spans="1:4" ht="21" x14ac:dyDescent="0.35">
      <c r="A734" s="7" t="s">
        <v>2207</v>
      </c>
      <c r="B734" s="7" t="s">
        <v>2208</v>
      </c>
      <c r="C734" s="7" t="s">
        <v>31</v>
      </c>
      <c r="D734" s="7" t="s">
        <v>2209</v>
      </c>
    </row>
    <row r="735" spans="1:4" ht="21" x14ac:dyDescent="0.35">
      <c r="A735" s="7" t="s">
        <v>2210</v>
      </c>
      <c r="B735" s="7" t="s">
        <v>2211</v>
      </c>
      <c r="C735" s="7" t="s">
        <v>6</v>
      </c>
      <c r="D735" s="7" t="s">
        <v>2212</v>
      </c>
    </row>
    <row r="736" spans="1:4" ht="21" x14ac:dyDescent="0.35">
      <c r="A736" s="7" t="s">
        <v>2213</v>
      </c>
      <c r="B736" s="7" t="s">
        <v>2214</v>
      </c>
      <c r="C736" s="7" t="s">
        <v>6</v>
      </c>
      <c r="D736" s="7" t="s">
        <v>2215</v>
      </c>
    </row>
    <row r="737" spans="1:4" ht="21" x14ac:dyDescent="0.35">
      <c r="A737" s="7" t="s">
        <v>2216</v>
      </c>
      <c r="B737" s="7" t="s">
        <v>2217</v>
      </c>
      <c r="C737" s="7" t="s">
        <v>14</v>
      </c>
      <c r="D737" s="7" t="s">
        <v>2218</v>
      </c>
    </row>
    <row r="738" spans="1:4" ht="21" x14ac:dyDescent="0.35">
      <c r="A738" s="7" t="s">
        <v>2219</v>
      </c>
      <c r="B738" s="7" t="s">
        <v>2220</v>
      </c>
      <c r="C738" s="7" t="s">
        <v>31</v>
      </c>
      <c r="D738" s="7" t="s">
        <v>2221</v>
      </c>
    </row>
    <row r="739" spans="1:4" ht="21" x14ac:dyDescent="0.35">
      <c r="A739" s="7" t="s">
        <v>2222</v>
      </c>
      <c r="B739" s="7" t="s">
        <v>2223</v>
      </c>
      <c r="C739" s="7" t="s">
        <v>78</v>
      </c>
      <c r="D739" s="7" t="s">
        <v>2224</v>
      </c>
    </row>
    <row r="740" spans="1:4" ht="21" x14ac:dyDescent="0.35">
      <c r="A740" s="7" t="s">
        <v>2225</v>
      </c>
      <c r="B740" s="7" t="s">
        <v>2226</v>
      </c>
      <c r="C740" s="7" t="s">
        <v>78</v>
      </c>
      <c r="D740" s="7" t="s">
        <v>2227</v>
      </c>
    </row>
    <row r="741" spans="1:4" ht="21" x14ac:dyDescent="0.35">
      <c r="A741" s="7" t="s">
        <v>2228</v>
      </c>
      <c r="B741" s="7" t="s">
        <v>2229</v>
      </c>
      <c r="C741" s="7" t="s">
        <v>14</v>
      </c>
      <c r="D741" s="7" t="s">
        <v>2230</v>
      </c>
    </row>
    <row r="742" spans="1:4" ht="21" x14ac:dyDescent="0.35">
      <c r="A742" s="7" t="s">
        <v>2231</v>
      </c>
      <c r="B742" s="7" t="s">
        <v>2232</v>
      </c>
      <c r="C742" s="7" t="s">
        <v>27</v>
      </c>
      <c r="D742" s="7" t="s">
        <v>2233</v>
      </c>
    </row>
    <row r="743" spans="1:4" ht="21" x14ac:dyDescent="0.35">
      <c r="A743" s="7" t="s">
        <v>2234</v>
      </c>
      <c r="B743" s="7" t="s">
        <v>2235</v>
      </c>
      <c r="C743" s="7" t="s">
        <v>78</v>
      </c>
      <c r="D743" s="7" t="s">
        <v>2236</v>
      </c>
    </row>
    <row r="744" spans="1:4" ht="21" x14ac:dyDescent="0.35">
      <c r="A744" s="7" t="s">
        <v>2237</v>
      </c>
      <c r="B744" s="7" t="s">
        <v>2238</v>
      </c>
      <c r="C744" s="7" t="s">
        <v>10</v>
      </c>
      <c r="D744" s="7" t="s">
        <v>2239</v>
      </c>
    </row>
    <row r="745" spans="1:4" ht="21" x14ac:dyDescent="0.35">
      <c r="A745" s="7" t="s">
        <v>2240</v>
      </c>
      <c r="B745" s="7" t="s">
        <v>2241</v>
      </c>
      <c r="C745" s="7" t="s">
        <v>78</v>
      </c>
      <c r="D745" s="7" t="s">
        <v>2242</v>
      </c>
    </row>
    <row r="746" spans="1:4" ht="21" x14ac:dyDescent="0.35">
      <c r="A746" s="7" t="s">
        <v>2243</v>
      </c>
      <c r="B746" s="7" t="s">
        <v>2244</v>
      </c>
      <c r="C746" s="7" t="s">
        <v>14</v>
      </c>
      <c r="D746" s="7" t="s">
        <v>2245</v>
      </c>
    </row>
    <row r="747" spans="1:4" ht="21" x14ac:dyDescent="0.35">
      <c r="A747" s="7" t="s">
        <v>2246</v>
      </c>
      <c r="B747" s="7" t="s">
        <v>2247</v>
      </c>
      <c r="C747" s="7" t="s">
        <v>14</v>
      </c>
      <c r="D747" s="7" t="s">
        <v>2248</v>
      </c>
    </row>
    <row r="748" spans="1:4" ht="21" x14ac:dyDescent="0.35">
      <c r="A748" s="7" t="s">
        <v>2249</v>
      </c>
      <c r="B748" s="7" t="s">
        <v>2250</v>
      </c>
      <c r="C748" s="7" t="s">
        <v>27</v>
      </c>
      <c r="D748" s="7" t="s">
        <v>2251</v>
      </c>
    </row>
    <row r="749" spans="1:4" ht="21" x14ac:dyDescent="0.35">
      <c r="A749" s="7" t="s">
        <v>2252</v>
      </c>
      <c r="B749" s="7" t="s">
        <v>2253</v>
      </c>
      <c r="C749" s="7" t="s">
        <v>6</v>
      </c>
      <c r="D749" s="7" t="s">
        <v>2254</v>
      </c>
    </row>
    <row r="750" spans="1:4" ht="21" x14ac:dyDescent="0.35">
      <c r="A750" s="7" t="s">
        <v>2255</v>
      </c>
      <c r="B750" s="7" t="s">
        <v>2256</v>
      </c>
      <c r="C750" s="7" t="s">
        <v>14</v>
      </c>
      <c r="D750" s="7" t="s">
        <v>2257</v>
      </c>
    </row>
    <row r="751" spans="1:4" ht="21" x14ac:dyDescent="0.35">
      <c r="A751" s="7" t="s">
        <v>2258</v>
      </c>
      <c r="B751" s="7" t="s">
        <v>2259</v>
      </c>
      <c r="C751" s="7" t="s">
        <v>10</v>
      </c>
      <c r="D751" s="7" t="s">
        <v>2260</v>
      </c>
    </row>
    <row r="752" spans="1:4" ht="21" x14ac:dyDescent="0.35">
      <c r="A752" s="7" t="s">
        <v>2261</v>
      </c>
      <c r="B752" s="7" t="s">
        <v>2262</v>
      </c>
      <c r="C752" s="7" t="s">
        <v>6</v>
      </c>
      <c r="D752" s="7" t="s">
        <v>2263</v>
      </c>
    </row>
    <row r="753" spans="1:4" ht="21" x14ac:dyDescent="0.35">
      <c r="A753" s="7" t="s">
        <v>2264</v>
      </c>
      <c r="B753" s="7" t="s">
        <v>2265</v>
      </c>
      <c r="C753" s="7" t="s">
        <v>27</v>
      </c>
      <c r="D753" s="7" t="s">
        <v>2266</v>
      </c>
    </row>
    <row r="754" spans="1:4" ht="21" x14ac:dyDescent="0.35">
      <c r="A754" s="7" t="s">
        <v>2267</v>
      </c>
      <c r="B754" s="7" t="s">
        <v>2268</v>
      </c>
      <c r="C754" s="7" t="s">
        <v>31</v>
      </c>
      <c r="D754" s="7" t="s">
        <v>2269</v>
      </c>
    </row>
    <row r="755" spans="1:4" ht="21" x14ac:dyDescent="0.35">
      <c r="A755" s="7" t="s">
        <v>2270</v>
      </c>
      <c r="B755" s="7" t="s">
        <v>2271</v>
      </c>
      <c r="C755" s="7" t="s">
        <v>27</v>
      </c>
      <c r="D755" s="7" t="s">
        <v>2272</v>
      </c>
    </row>
    <row r="756" spans="1:4" ht="21" x14ac:dyDescent="0.35">
      <c r="A756" s="7" t="s">
        <v>2273</v>
      </c>
      <c r="B756" s="7" t="s">
        <v>2274</v>
      </c>
      <c r="C756" s="7" t="s">
        <v>31</v>
      </c>
      <c r="D756" s="7" t="s">
        <v>2275</v>
      </c>
    </row>
    <row r="757" spans="1:4" ht="21" x14ac:dyDescent="0.35">
      <c r="A757" s="7" t="s">
        <v>2276</v>
      </c>
      <c r="B757" s="7" t="s">
        <v>2277</v>
      </c>
      <c r="C757" s="7" t="s">
        <v>10</v>
      </c>
      <c r="D757" s="7" t="s">
        <v>2278</v>
      </c>
    </row>
    <row r="758" spans="1:4" ht="21" x14ac:dyDescent="0.35">
      <c r="A758" s="7" t="s">
        <v>2279</v>
      </c>
      <c r="B758" s="7" t="s">
        <v>2280</v>
      </c>
      <c r="C758" s="7" t="s">
        <v>31</v>
      </c>
      <c r="D758" s="7" t="s">
        <v>2281</v>
      </c>
    </row>
    <row r="759" spans="1:4" ht="21" x14ac:dyDescent="0.35">
      <c r="A759" s="7" t="s">
        <v>2282</v>
      </c>
      <c r="B759" s="7" t="s">
        <v>2283</v>
      </c>
      <c r="C759" s="7" t="s">
        <v>41</v>
      </c>
      <c r="D759" s="7" t="s">
        <v>2284</v>
      </c>
    </row>
    <row r="760" spans="1:4" ht="21" x14ac:dyDescent="0.35">
      <c r="A760" s="7" t="s">
        <v>2285</v>
      </c>
      <c r="B760" s="7" t="s">
        <v>2286</v>
      </c>
      <c r="C760" s="7" t="s">
        <v>10</v>
      </c>
      <c r="D760" s="7" t="s">
        <v>2287</v>
      </c>
    </row>
    <row r="761" spans="1:4" ht="21" x14ac:dyDescent="0.35">
      <c r="A761" s="7" t="s">
        <v>2288</v>
      </c>
      <c r="B761" s="7" t="s">
        <v>2289</v>
      </c>
      <c r="C761" s="7" t="s">
        <v>27</v>
      </c>
      <c r="D761" s="7" t="s">
        <v>2290</v>
      </c>
    </row>
    <row r="762" spans="1:4" ht="21" x14ac:dyDescent="0.35">
      <c r="A762" s="7" t="s">
        <v>2291</v>
      </c>
      <c r="B762" s="7" t="s">
        <v>2292</v>
      </c>
      <c r="C762" s="7" t="s">
        <v>6</v>
      </c>
      <c r="D762" s="7" t="s">
        <v>2293</v>
      </c>
    </row>
    <row r="763" spans="1:4" ht="21" x14ac:dyDescent="0.35">
      <c r="A763" s="7" t="s">
        <v>2294</v>
      </c>
      <c r="B763" s="7" t="s">
        <v>2295</v>
      </c>
      <c r="C763" s="7" t="s">
        <v>6</v>
      </c>
      <c r="D763" s="7" t="s">
        <v>2296</v>
      </c>
    </row>
    <row r="764" spans="1:4" ht="21" x14ac:dyDescent="0.35">
      <c r="A764" s="7" t="s">
        <v>2297</v>
      </c>
      <c r="B764" s="7" t="s">
        <v>2298</v>
      </c>
      <c r="C764" s="7" t="s">
        <v>6</v>
      </c>
      <c r="D764" s="7" t="s">
        <v>2299</v>
      </c>
    </row>
    <row r="765" spans="1:4" ht="21" x14ac:dyDescent="0.35">
      <c r="A765" s="7" t="s">
        <v>2300</v>
      </c>
      <c r="B765" s="7" t="s">
        <v>2301</v>
      </c>
      <c r="C765" s="7" t="s">
        <v>78</v>
      </c>
      <c r="D765" s="7" t="s">
        <v>2302</v>
      </c>
    </row>
    <row r="766" spans="1:4" ht="21" x14ac:dyDescent="0.35">
      <c r="A766" s="7" t="s">
        <v>2303</v>
      </c>
      <c r="B766" s="7" t="s">
        <v>2304</v>
      </c>
      <c r="C766" s="7" t="s">
        <v>27</v>
      </c>
      <c r="D766" s="7" t="s">
        <v>2305</v>
      </c>
    </row>
    <row r="767" spans="1:4" ht="21" x14ac:dyDescent="0.35">
      <c r="A767" s="7" t="s">
        <v>2306</v>
      </c>
      <c r="B767" s="7" t="s">
        <v>2307</v>
      </c>
      <c r="C767" s="7" t="s">
        <v>31</v>
      </c>
      <c r="D767" s="7" t="s">
        <v>2308</v>
      </c>
    </row>
    <row r="768" spans="1:4" ht="21" x14ac:dyDescent="0.35">
      <c r="A768" s="7" t="s">
        <v>2309</v>
      </c>
      <c r="B768" s="7" t="s">
        <v>2310</v>
      </c>
      <c r="C768" s="7" t="s">
        <v>78</v>
      </c>
      <c r="D768" s="7" t="s">
        <v>2311</v>
      </c>
    </row>
    <row r="769" spans="1:4" ht="21" x14ac:dyDescent="0.35">
      <c r="A769" s="7" t="s">
        <v>2312</v>
      </c>
      <c r="B769" s="7" t="s">
        <v>2313</v>
      </c>
      <c r="C769" s="7" t="s">
        <v>10</v>
      </c>
      <c r="D769" s="7" t="s">
        <v>2314</v>
      </c>
    </row>
    <row r="770" spans="1:4" ht="21" x14ac:dyDescent="0.35">
      <c r="A770" s="7" t="s">
        <v>2315</v>
      </c>
      <c r="B770" s="7" t="s">
        <v>2316</v>
      </c>
      <c r="C770" s="7" t="s">
        <v>14</v>
      </c>
      <c r="D770" s="7" t="s">
        <v>2317</v>
      </c>
    </row>
    <row r="771" spans="1:4" ht="21" x14ac:dyDescent="0.35">
      <c r="A771" s="7" t="s">
        <v>2318</v>
      </c>
      <c r="B771" s="7" t="s">
        <v>2319</v>
      </c>
      <c r="C771" s="7" t="s">
        <v>6</v>
      </c>
      <c r="D771" s="7" t="s">
        <v>2320</v>
      </c>
    </row>
    <row r="772" spans="1:4" ht="21" x14ac:dyDescent="0.35">
      <c r="A772" s="7" t="s">
        <v>2321</v>
      </c>
      <c r="B772" s="7" t="s">
        <v>2322</v>
      </c>
      <c r="C772" s="7" t="s">
        <v>78</v>
      </c>
      <c r="D772" s="7" t="s">
        <v>2323</v>
      </c>
    </row>
    <row r="773" spans="1:4" ht="21" x14ac:dyDescent="0.35">
      <c r="A773" s="7" t="s">
        <v>2324</v>
      </c>
      <c r="B773" s="7" t="s">
        <v>2325</v>
      </c>
      <c r="C773" s="7" t="s">
        <v>27</v>
      </c>
      <c r="D773" s="7" t="s">
        <v>2326</v>
      </c>
    </row>
    <row r="774" spans="1:4" ht="21" x14ac:dyDescent="0.35">
      <c r="A774" s="7" t="s">
        <v>2327</v>
      </c>
      <c r="B774" s="7" t="s">
        <v>2328</v>
      </c>
      <c r="C774" s="7" t="s">
        <v>41</v>
      </c>
      <c r="D774" s="7" t="s">
        <v>2329</v>
      </c>
    </row>
    <row r="775" spans="1:4" ht="21" x14ac:dyDescent="0.35">
      <c r="A775" s="7" t="s">
        <v>2330</v>
      </c>
      <c r="B775" s="7" t="s">
        <v>2331</v>
      </c>
      <c r="C775" s="7" t="s">
        <v>14</v>
      </c>
      <c r="D775" s="7" t="s">
        <v>2332</v>
      </c>
    </row>
    <row r="776" spans="1:4" ht="21" x14ac:dyDescent="0.35">
      <c r="A776" s="7" t="s">
        <v>2333</v>
      </c>
      <c r="B776" s="7" t="s">
        <v>2334</v>
      </c>
      <c r="C776" s="7" t="s">
        <v>6</v>
      </c>
      <c r="D776" s="7" t="s">
        <v>2335</v>
      </c>
    </row>
    <row r="777" spans="1:4" ht="21" x14ac:dyDescent="0.35">
      <c r="A777" s="7" t="s">
        <v>2336</v>
      </c>
      <c r="B777" s="7" t="s">
        <v>2337</v>
      </c>
      <c r="C777" s="7" t="s">
        <v>14</v>
      </c>
      <c r="D777" s="7" t="s">
        <v>2338</v>
      </c>
    </row>
    <row r="778" spans="1:4" ht="21" x14ac:dyDescent="0.35">
      <c r="A778" s="7" t="s">
        <v>2339</v>
      </c>
      <c r="B778" s="7" t="s">
        <v>2340</v>
      </c>
      <c r="C778" s="7" t="s">
        <v>14</v>
      </c>
      <c r="D778" s="7" t="s">
        <v>2341</v>
      </c>
    </row>
    <row r="779" spans="1:4" ht="21" x14ac:dyDescent="0.35">
      <c r="A779" s="7" t="s">
        <v>2342</v>
      </c>
      <c r="B779" s="7" t="s">
        <v>2343</v>
      </c>
      <c r="C779" s="7" t="s">
        <v>78</v>
      </c>
      <c r="D779" s="7" t="s">
        <v>2344</v>
      </c>
    </row>
    <row r="780" spans="1:4" ht="21" x14ac:dyDescent="0.35">
      <c r="A780" s="7" t="s">
        <v>2345</v>
      </c>
      <c r="B780" s="7" t="s">
        <v>2346</v>
      </c>
      <c r="C780" s="7" t="s">
        <v>10</v>
      </c>
      <c r="D780" s="7" t="s">
        <v>2347</v>
      </c>
    </row>
    <row r="781" spans="1:4" ht="21" x14ac:dyDescent="0.35">
      <c r="A781" s="7" t="s">
        <v>2348</v>
      </c>
      <c r="B781" s="7" t="s">
        <v>2349</v>
      </c>
      <c r="C781" s="7" t="s">
        <v>14</v>
      </c>
      <c r="D781" s="7" t="s">
        <v>2350</v>
      </c>
    </row>
    <row r="782" spans="1:4" ht="21" x14ac:dyDescent="0.35">
      <c r="A782" s="7" t="s">
        <v>2351</v>
      </c>
      <c r="B782" s="7" t="s">
        <v>2352</v>
      </c>
      <c r="C782" s="7" t="s">
        <v>14</v>
      </c>
      <c r="D782" s="7" t="s">
        <v>2353</v>
      </c>
    </row>
    <row r="783" spans="1:4" ht="21" x14ac:dyDescent="0.35">
      <c r="A783" s="7" t="s">
        <v>2354</v>
      </c>
      <c r="B783" s="7" t="s">
        <v>2355</v>
      </c>
      <c r="C783" s="7" t="s">
        <v>10</v>
      </c>
      <c r="D783" s="7" t="s">
        <v>2356</v>
      </c>
    </row>
    <row r="784" spans="1:4" ht="21" x14ac:dyDescent="0.35">
      <c r="A784" s="7" t="s">
        <v>2357</v>
      </c>
      <c r="B784" s="7" t="s">
        <v>2358</v>
      </c>
      <c r="C784" s="7" t="s">
        <v>6</v>
      </c>
      <c r="D784" s="7" t="s">
        <v>2359</v>
      </c>
    </row>
    <row r="785" spans="1:4" ht="21" x14ac:dyDescent="0.35">
      <c r="A785" s="7" t="s">
        <v>2360</v>
      </c>
      <c r="B785" s="7" t="s">
        <v>2361</v>
      </c>
      <c r="C785" s="7" t="s">
        <v>31</v>
      </c>
      <c r="D785" s="7" t="s">
        <v>2362</v>
      </c>
    </row>
    <row r="786" spans="1:4" ht="21" x14ac:dyDescent="0.35">
      <c r="A786" s="7" t="s">
        <v>2363</v>
      </c>
      <c r="B786" s="7" t="s">
        <v>2364</v>
      </c>
      <c r="C786" s="7" t="s">
        <v>10</v>
      </c>
      <c r="D786" s="7" t="s">
        <v>2365</v>
      </c>
    </row>
    <row r="787" spans="1:4" ht="21" x14ac:dyDescent="0.35">
      <c r="A787" s="7" t="s">
        <v>2366</v>
      </c>
      <c r="B787" s="7" t="s">
        <v>2367</v>
      </c>
      <c r="C787" s="7" t="s">
        <v>31</v>
      </c>
      <c r="D787" s="7" t="s">
        <v>2368</v>
      </c>
    </row>
    <row r="788" spans="1:4" ht="21" x14ac:dyDescent="0.35">
      <c r="A788" s="7" t="s">
        <v>2369</v>
      </c>
      <c r="B788" s="7" t="s">
        <v>2370</v>
      </c>
      <c r="C788" s="7" t="s">
        <v>78</v>
      </c>
      <c r="D788" s="7" t="s">
        <v>2371</v>
      </c>
    </row>
    <row r="789" spans="1:4" ht="21" x14ac:dyDescent="0.35">
      <c r="A789" s="7" t="s">
        <v>2372</v>
      </c>
      <c r="B789" s="7" t="s">
        <v>2373</v>
      </c>
      <c r="C789" s="7" t="s">
        <v>10</v>
      </c>
      <c r="D789" s="7" t="s">
        <v>2374</v>
      </c>
    </row>
    <row r="790" spans="1:4" ht="21" x14ac:dyDescent="0.35">
      <c r="A790" s="7" t="s">
        <v>2375</v>
      </c>
      <c r="B790" s="7" t="s">
        <v>2376</v>
      </c>
      <c r="C790" s="7" t="s">
        <v>10</v>
      </c>
      <c r="D790" s="7" t="s">
        <v>2377</v>
      </c>
    </row>
    <row r="791" spans="1:4" ht="21" x14ac:dyDescent="0.35">
      <c r="A791" s="7" t="s">
        <v>2378</v>
      </c>
      <c r="B791" s="7" t="s">
        <v>2379</v>
      </c>
      <c r="C791" s="7" t="s">
        <v>14</v>
      </c>
      <c r="D791" s="7" t="s">
        <v>2380</v>
      </c>
    </row>
    <row r="792" spans="1:4" ht="21" x14ac:dyDescent="0.35">
      <c r="A792" s="7" t="s">
        <v>2381</v>
      </c>
      <c r="B792" s="7" t="s">
        <v>2382</v>
      </c>
      <c r="C792" s="7" t="s">
        <v>31</v>
      </c>
      <c r="D792" s="7" t="s">
        <v>2383</v>
      </c>
    </row>
    <row r="793" spans="1:4" ht="21" x14ac:dyDescent="0.35">
      <c r="A793" s="7" t="s">
        <v>2384</v>
      </c>
      <c r="B793" s="7" t="s">
        <v>2385</v>
      </c>
      <c r="C793" s="7" t="s">
        <v>14</v>
      </c>
      <c r="D793" s="7" t="s">
        <v>2386</v>
      </c>
    </row>
    <row r="794" spans="1:4" ht="21" x14ac:dyDescent="0.35">
      <c r="A794" s="7" t="s">
        <v>2387</v>
      </c>
      <c r="B794" s="7" t="s">
        <v>2388</v>
      </c>
      <c r="C794" s="7" t="s">
        <v>78</v>
      </c>
      <c r="D794" s="7" t="s">
        <v>2389</v>
      </c>
    </row>
    <row r="795" spans="1:4" ht="21" x14ac:dyDescent="0.35">
      <c r="A795" s="7" t="s">
        <v>2390</v>
      </c>
      <c r="B795" s="7" t="s">
        <v>2391</v>
      </c>
      <c r="C795" s="7" t="s">
        <v>41</v>
      </c>
      <c r="D795" s="7" t="s">
        <v>2392</v>
      </c>
    </row>
    <row r="796" spans="1:4" ht="21" x14ac:dyDescent="0.35">
      <c r="A796" s="7" t="s">
        <v>2393</v>
      </c>
      <c r="B796" s="7" t="s">
        <v>2394</v>
      </c>
      <c r="C796" s="7" t="s">
        <v>41</v>
      </c>
      <c r="D796" s="7" t="s">
        <v>2395</v>
      </c>
    </row>
    <row r="797" spans="1:4" ht="21" x14ac:dyDescent="0.35">
      <c r="A797" s="7" t="s">
        <v>2396</v>
      </c>
      <c r="B797" s="7" t="s">
        <v>2397</v>
      </c>
      <c r="C797" s="7" t="s">
        <v>10</v>
      </c>
      <c r="D797" s="7" t="s">
        <v>2398</v>
      </c>
    </row>
    <row r="798" spans="1:4" ht="21" x14ac:dyDescent="0.35">
      <c r="A798" s="7" t="s">
        <v>2399</v>
      </c>
      <c r="B798" s="7" t="s">
        <v>2400</v>
      </c>
      <c r="C798" s="7" t="s">
        <v>14</v>
      </c>
      <c r="D798" s="7" t="s">
        <v>2401</v>
      </c>
    </row>
    <row r="799" spans="1:4" ht="21" x14ac:dyDescent="0.35">
      <c r="A799" s="7" t="s">
        <v>2402</v>
      </c>
      <c r="B799" s="7" t="s">
        <v>2403</v>
      </c>
      <c r="C799" s="7" t="s">
        <v>6</v>
      </c>
      <c r="D799" s="7" t="s">
        <v>2404</v>
      </c>
    </row>
    <row r="800" spans="1:4" ht="21" x14ac:dyDescent="0.35">
      <c r="A800" s="7" t="s">
        <v>2405</v>
      </c>
      <c r="B800" s="7" t="s">
        <v>2406</v>
      </c>
      <c r="C800" s="7" t="s">
        <v>41</v>
      </c>
      <c r="D800" s="7" t="s">
        <v>2407</v>
      </c>
    </row>
    <row r="801" spans="1:4" ht="21" x14ac:dyDescent="0.35">
      <c r="A801" s="7" t="s">
        <v>2408</v>
      </c>
      <c r="B801" s="7" t="s">
        <v>2409</v>
      </c>
      <c r="C801" s="7" t="s">
        <v>14</v>
      </c>
      <c r="D801" s="7" t="s">
        <v>2410</v>
      </c>
    </row>
    <row r="802" spans="1:4" ht="21" x14ac:dyDescent="0.35">
      <c r="A802" s="7" t="s">
        <v>2411</v>
      </c>
      <c r="B802" s="7" t="s">
        <v>2412</v>
      </c>
      <c r="C802" s="7" t="s">
        <v>41</v>
      </c>
      <c r="D802" s="7" t="s">
        <v>2413</v>
      </c>
    </row>
    <row r="803" spans="1:4" ht="21" x14ac:dyDescent="0.35">
      <c r="A803" s="7" t="s">
        <v>2414</v>
      </c>
      <c r="B803" s="7" t="s">
        <v>2415</v>
      </c>
      <c r="C803" s="7" t="s">
        <v>27</v>
      </c>
      <c r="D803" s="7" t="s">
        <v>2416</v>
      </c>
    </row>
    <row r="804" spans="1:4" ht="21" x14ac:dyDescent="0.35">
      <c r="A804" s="7" t="s">
        <v>2417</v>
      </c>
      <c r="B804" s="7" t="s">
        <v>2418</v>
      </c>
      <c r="C804" s="7" t="s">
        <v>27</v>
      </c>
      <c r="D804" s="7" t="s">
        <v>2419</v>
      </c>
    </row>
    <row r="805" spans="1:4" ht="21" x14ac:dyDescent="0.35">
      <c r="A805" s="7" t="s">
        <v>2420</v>
      </c>
      <c r="B805" s="7" t="s">
        <v>2421</v>
      </c>
      <c r="C805" s="7" t="s">
        <v>14</v>
      </c>
      <c r="D805" s="7" t="s">
        <v>2422</v>
      </c>
    </row>
    <row r="806" spans="1:4" ht="21" x14ac:dyDescent="0.35">
      <c r="A806" s="7" t="s">
        <v>2423</v>
      </c>
      <c r="B806" s="7" t="s">
        <v>2424</v>
      </c>
      <c r="C806" s="7" t="s">
        <v>31</v>
      </c>
      <c r="D806" s="7" t="s">
        <v>2425</v>
      </c>
    </row>
    <row r="807" spans="1:4" ht="21" x14ac:dyDescent="0.35">
      <c r="A807" s="7" t="s">
        <v>2426</v>
      </c>
      <c r="B807" s="7" t="s">
        <v>2427</v>
      </c>
      <c r="C807" s="7" t="s">
        <v>10</v>
      </c>
      <c r="D807" s="7" t="s">
        <v>2428</v>
      </c>
    </row>
    <row r="808" spans="1:4" ht="21" x14ac:dyDescent="0.35">
      <c r="A808" s="7" t="s">
        <v>2429</v>
      </c>
      <c r="B808" s="7" t="s">
        <v>2430</v>
      </c>
      <c r="C808" s="7" t="s">
        <v>6</v>
      </c>
      <c r="D808" s="7" t="s">
        <v>2431</v>
      </c>
    </row>
    <row r="809" spans="1:4" ht="21" x14ac:dyDescent="0.35">
      <c r="A809" s="7" t="s">
        <v>2432</v>
      </c>
      <c r="B809" s="7" t="s">
        <v>2433</v>
      </c>
      <c r="C809" s="7" t="s">
        <v>78</v>
      </c>
      <c r="D809" s="7" t="s">
        <v>2434</v>
      </c>
    </row>
    <row r="810" spans="1:4" ht="21" x14ac:dyDescent="0.35">
      <c r="A810" s="7" t="s">
        <v>2435</v>
      </c>
      <c r="B810" s="7" t="s">
        <v>2436</v>
      </c>
      <c r="C810" s="7" t="s">
        <v>10</v>
      </c>
      <c r="D810" s="7" t="s">
        <v>2437</v>
      </c>
    </row>
    <row r="811" spans="1:4" ht="21" x14ac:dyDescent="0.35">
      <c r="A811" s="7" t="s">
        <v>2438</v>
      </c>
      <c r="B811" s="7" t="s">
        <v>2439</v>
      </c>
      <c r="C811" s="7" t="s">
        <v>6</v>
      </c>
      <c r="D811" s="7" t="s">
        <v>2440</v>
      </c>
    </row>
    <row r="812" spans="1:4" ht="21" x14ac:dyDescent="0.35">
      <c r="A812" s="7" t="s">
        <v>2441</v>
      </c>
      <c r="B812" s="7" t="s">
        <v>2442</v>
      </c>
      <c r="C812" s="7" t="s">
        <v>14</v>
      </c>
      <c r="D812" s="7" t="s">
        <v>2443</v>
      </c>
    </row>
    <row r="813" spans="1:4" ht="21" x14ac:dyDescent="0.35">
      <c r="A813" s="7" t="s">
        <v>2444</v>
      </c>
      <c r="B813" s="7" t="s">
        <v>2445</v>
      </c>
      <c r="C813" s="7" t="s">
        <v>14</v>
      </c>
      <c r="D813" s="7" t="s">
        <v>2446</v>
      </c>
    </row>
    <row r="814" spans="1:4" ht="21" x14ac:dyDescent="0.35">
      <c r="A814" s="7" t="s">
        <v>2447</v>
      </c>
      <c r="B814" s="7" t="s">
        <v>2448</v>
      </c>
      <c r="C814" s="7" t="s">
        <v>14</v>
      </c>
      <c r="D814" s="7" t="s">
        <v>2449</v>
      </c>
    </row>
    <row r="815" spans="1:4" ht="21" x14ac:dyDescent="0.35">
      <c r="A815" s="7" t="s">
        <v>2450</v>
      </c>
      <c r="B815" s="7" t="s">
        <v>2451</v>
      </c>
      <c r="C815" s="7" t="s">
        <v>27</v>
      </c>
      <c r="D815" s="7" t="s">
        <v>2452</v>
      </c>
    </row>
    <row r="816" spans="1:4" ht="21" x14ac:dyDescent="0.35">
      <c r="A816" s="7" t="s">
        <v>2453</v>
      </c>
      <c r="B816" s="7" t="s">
        <v>2454</v>
      </c>
      <c r="C816" s="7" t="s">
        <v>78</v>
      </c>
      <c r="D816" s="7" t="s">
        <v>2455</v>
      </c>
    </row>
    <row r="817" spans="1:4" ht="21" x14ac:dyDescent="0.35">
      <c r="A817" s="7" t="s">
        <v>2456</v>
      </c>
      <c r="B817" s="7" t="s">
        <v>2457</v>
      </c>
      <c r="C817" s="7" t="s">
        <v>41</v>
      </c>
      <c r="D817" s="7" t="s">
        <v>2458</v>
      </c>
    </row>
    <row r="818" spans="1:4" ht="21" x14ac:dyDescent="0.35">
      <c r="A818" s="7" t="s">
        <v>2459</v>
      </c>
      <c r="B818" s="7" t="s">
        <v>2460</v>
      </c>
      <c r="C818" s="7" t="s">
        <v>14</v>
      </c>
      <c r="D818" s="7" t="s">
        <v>2461</v>
      </c>
    </row>
    <row r="819" spans="1:4" ht="21" x14ac:dyDescent="0.35">
      <c r="A819" s="7" t="s">
        <v>2462</v>
      </c>
      <c r="B819" s="7" t="s">
        <v>2463</v>
      </c>
      <c r="C819" s="7" t="s">
        <v>31</v>
      </c>
      <c r="D819" s="7" t="s">
        <v>2464</v>
      </c>
    </row>
    <row r="820" spans="1:4" ht="21" x14ac:dyDescent="0.35">
      <c r="A820" s="7" t="s">
        <v>2465</v>
      </c>
      <c r="B820" s="7" t="s">
        <v>2466</v>
      </c>
      <c r="C820" s="7" t="s">
        <v>14</v>
      </c>
      <c r="D820" s="7" t="s">
        <v>2467</v>
      </c>
    </row>
    <row r="821" spans="1:4" ht="21" x14ac:dyDescent="0.35">
      <c r="A821" s="7" t="s">
        <v>2468</v>
      </c>
      <c r="B821" s="7" t="s">
        <v>2469</v>
      </c>
      <c r="C821" s="7" t="s">
        <v>78</v>
      </c>
      <c r="D821" s="7" t="s">
        <v>2470</v>
      </c>
    </row>
    <row r="822" spans="1:4" ht="21" x14ac:dyDescent="0.35">
      <c r="A822" s="7" t="s">
        <v>2471</v>
      </c>
      <c r="B822" s="7" t="s">
        <v>2472</v>
      </c>
      <c r="C822" s="7" t="s">
        <v>78</v>
      </c>
      <c r="D822" s="7" t="s">
        <v>2473</v>
      </c>
    </row>
    <row r="823" spans="1:4" ht="21" x14ac:dyDescent="0.35">
      <c r="A823" s="7" t="s">
        <v>2474</v>
      </c>
      <c r="B823" s="7" t="s">
        <v>2475</v>
      </c>
      <c r="C823" s="7" t="s">
        <v>14</v>
      </c>
      <c r="D823" s="7" t="s">
        <v>2476</v>
      </c>
    </row>
    <row r="824" spans="1:4" ht="21" x14ac:dyDescent="0.35">
      <c r="A824" s="7" t="s">
        <v>2477</v>
      </c>
      <c r="B824" s="7" t="s">
        <v>2478</v>
      </c>
      <c r="C824" s="7" t="s">
        <v>6</v>
      </c>
      <c r="D824" s="7" t="s">
        <v>2479</v>
      </c>
    </row>
    <row r="825" spans="1:4" ht="21" x14ac:dyDescent="0.35">
      <c r="A825" s="7" t="s">
        <v>2480</v>
      </c>
      <c r="B825" s="7" t="s">
        <v>2481</v>
      </c>
      <c r="C825" s="7" t="s">
        <v>41</v>
      </c>
      <c r="D825" s="7" t="s">
        <v>2482</v>
      </c>
    </row>
    <row r="826" spans="1:4" ht="21" x14ac:dyDescent="0.35">
      <c r="A826" s="7" t="s">
        <v>2483</v>
      </c>
      <c r="B826" s="7" t="s">
        <v>2484</v>
      </c>
      <c r="C826" s="7" t="s">
        <v>6</v>
      </c>
      <c r="D826" s="7" t="s">
        <v>2485</v>
      </c>
    </row>
    <row r="827" spans="1:4" ht="21" x14ac:dyDescent="0.35">
      <c r="A827" s="7" t="s">
        <v>2486</v>
      </c>
      <c r="B827" s="7" t="s">
        <v>2487</v>
      </c>
      <c r="C827" s="7" t="s">
        <v>10</v>
      </c>
      <c r="D827" s="7" t="s">
        <v>2488</v>
      </c>
    </row>
    <row r="828" spans="1:4" ht="21" x14ac:dyDescent="0.35">
      <c r="A828" s="7" t="s">
        <v>2489</v>
      </c>
      <c r="B828" s="7" t="s">
        <v>2490</v>
      </c>
      <c r="C828" s="7" t="s">
        <v>31</v>
      </c>
      <c r="D828" s="7" t="s">
        <v>2491</v>
      </c>
    </row>
    <row r="829" spans="1:4" ht="21" x14ac:dyDescent="0.35">
      <c r="A829" s="7" t="s">
        <v>2492</v>
      </c>
      <c r="B829" s="7" t="s">
        <v>2493</v>
      </c>
      <c r="C829" s="7" t="s">
        <v>14</v>
      </c>
      <c r="D829" s="7" t="s">
        <v>2494</v>
      </c>
    </row>
    <row r="830" spans="1:4" ht="21" x14ac:dyDescent="0.35">
      <c r="A830" s="7" t="s">
        <v>2495</v>
      </c>
      <c r="B830" s="7" t="s">
        <v>2496</v>
      </c>
      <c r="C830" s="7" t="s">
        <v>27</v>
      </c>
      <c r="D830" s="7" t="s">
        <v>2497</v>
      </c>
    </row>
    <row r="831" spans="1:4" ht="21" x14ac:dyDescent="0.35">
      <c r="A831" s="7" t="s">
        <v>2498</v>
      </c>
      <c r="B831" s="7" t="s">
        <v>2499</v>
      </c>
      <c r="C831" s="7" t="s">
        <v>6</v>
      </c>
      <c r="D831" s="7" t="s">
        <v>2500</v>
      </c>
    </row>
    <row r="832" spans="1:4" ht="21" x14ac:dyDescent="0.35">
      <c r="A832" s="7" t="s">
        <v>2501</v>
      </c>
      <c r="B832" s="7" t="s">
        <v>2502</v>
      </c>
      <c r="C832" s="7" t="s">
        <v>27</v>
      </c>
      <c r="D832" s="7" t="s">
        <v>2503</v>
      </c>
    </row>
    <row r="833" spans="1:4" ht="21" x14ac:dyDescent="0.35">
      <c r="A833" s="7" t="s">
        <v>2504</v>
      </c>
      <c r="B833" s="7" t="s">
        <v>2505</v>
      </c>
      <c r="C833" s="7" t="s">
        <v>6</v>
      </c>
      <c r="D833" s="7" t="s">
        <v>2506</v>
      </c>
    </row>
    <row r="834" spans="1:4" ht="21" x14ac:dyDescent="0.35">
      <c r="A834" s="7" t="s">
        <v>2507</v>
      </c>
      <c r="B834" s="7" t="s">
        <v>2508</v>
      </c>
      <c r="C834" s="7" t="s">
        <v>6</v>
      </c>
      <c r="D834" s="7" t="s">
        <v>2509</v>
      </c>
    </row>
    <row r="835" spans="1:4" ht="21" x14ac:dyDescent="0.35">
      <c r="A835" s="7" t="s">
        <v>2510</v>
      </c>
      <c r="B835" s="7" t="s">
        <v>2511</v>
      </c>
      <c r="C835" s="7" t="s">
        <v>14</v>
      </c>
      <c r="D835" s="7" t="s">
        <v>2512</v>
      </c>
    </row>
    <row r="836" spans="1:4" ht="21" x14ac:dyDescent="0.35">
      <c r="A836" s="7" t="s">
        <v>2513</v>
      </c>
      <c r="B836" s="7" t="s">
        <v>2514</v>
      </c>
      <c r="C836" s="7" t="s">
        <v>6</v>
      </c>
      <c r="D836" s="7" t="s">
        <v>2515</v>
      </c>
    </row>
    <row r="837" spans="1:4" ht="21" x14ac:dyDescent="0.35">
      <c r="A837" s="7" t="s">
        <v>2516</v>
      </c>
      <c r="B837" s="7" t="s">
        <v>2517</v>
      </c>
      <c r="C837" s="7" t="s">
        <v>78</v>
      </c>
      <c r="D837" s="7" t="s">
        <v>2518</v>
      </c>
    </row>
    <row r="838" spans="1:4" ht="21" x14ac:dyDescent="0.35">
      <c r="A838" s="7" t="s">
        <v>2519</v>
      </c>
      <c r="B838" s="7" t="s">
        <v>2520</v>
      </c>
      <c r="C838" s="7" t="s">
        <v>10</v>
      </c>
      <c r="D838" s="7" t="s">
        <v>2521</v>
      </c>
    </row>
    <row r="839" spans="1:4" ht="21" x14ac:dyDescent="0.35">
      <c r="A839" s="7" t="s">
        <v>2522</v>
      </c>
      <c r="B839" s="7" t="s">
        <v>2523</v>
      </c>
      <c r="C839" s="7" t="s">
        <v>27</v>
      </c>
      <c r="D839" s="7" t="s">
        <v>2524</v>
      </c>
    </row>
    <row r="840" spans="1:4" ht="21" x14ac:dyDescent="0.35">
      <c r="A840" s="7" t="s">
        <v>2525</v>
      </c>
      <c r="B840" s="7" t="s">
        <v>2526</v>
      </c>
      <c r="C840" s="7" t="s">
        <v>31</v>
      </c>
      <c r="D840" s="7" t="s">
        <v>2527</v>
      </c>
    </row>
    <row r="841" spans="1:4" ht="21" x14ac:dyDescent="0.35">
      <c r="A841" s="7" t="s">
        <v>2528</v>
      </c>
      <c r="B841" s="7" t="s">
        <v>2529</v>
      </c>
      <c r="C841" s="7" t="s">
        <v>41</v>
      </c>
      <c r="D841" s="7" t="s">
        <v>2530</v>
      </c>
    </row>
    <row r="842" spans="1:4" ht="21" x14ac:dyDescent="0.35">
      <c r="A842" s="7" t="s">
        <v>2531</v>
      </c>
      <c r="B842" s="7" t="s">
        <v>2532</v>
      </c>
      <c r="C842" s="7" t="s">
        <v>10</v>
      </c>
      <c r="D842" s="7" t="s">
        <v>2533</v>
      </c>
    </row>
    <row r="843" spans="1:4" ht="21" x14ac:dyDescent="0.35">
      <c r="A843" s="7" t="s">
        <v>2534</v>
      </c>
      <c r="B843" s="7" t="s">
        <v>2535</v>
      </c>
      <c r="C843" s="7" t="s">
        <v>14</v>
      </c>
      <c r="D843" s="7" t="s">
        <v>2536</v>
      </c>
    </row>
    <row r="844" spans="1:4" ht="21" x14ac:dyDescent="0.35">
      <c r="A844" s="7" t="s">
        <v>2537</v>
      </c>
      <c r="B844" s="7" t="s">
        <v>2538</v>
      </c>
      <c r="C844" s="7" t="s">
        <v>14</v>
      </c>
      <c r="D844" s="7" t="s">
        <v>2539</v>
      </c>
    </row>
    <row r="845" spans="1:4" ht="21" x14ac:dyDescent="0.35">
      <c r="A845" s="7" t="s">
        <v>2540</v>
      </c>
      <c r="B845" s="7" t="s">
        <v>2541</v>
      </c>
      <c r="C845" s="7" t="s">
        <v>10</v>
      </c>
      <c r="D845" s="7" t="s">
        <v>2542</v>
      </c>
    </row>
    <row r="846" spans="1:4" ht="21" x14ac:dyDescent="0.35">
      <c r="A846" s="7" t="s">
        <v>2543</v>
      </c>
      <c r="B846" s="7" t="s">
        <v>2544</v>
      </c>
      <c r="C846" s="7" t="s">
        <v>6</v>
      </c>
      <c r="D846" s="7" t="s">
        <v>2545</v>
      </c>
    </row>
    <row r="847" spans="1:4" ht="21" x14ac:dyDescent="0.35">
      <c r="A847" s="7" t="s">
        <v>2546</v>
      </c>
      <c r="B847" s="7" t="s">
        <v>2547</v>
      </c>
      <c r="C847" s="7" t="s">
        <v>31</v>
      </c>
      <c r="D847" s="7" t="s">
        <v>2548</v>
      </c>
    </row>
    <row r="848" spans="1:4" ht="21" x14ac:dyDescent="0.35">
      <c r="A848" s="7" t="s">
        <v>2549</v>
      </c>
      <c r="B848" s="7" t="s">
        <v>2550</v>
      </c>
      <c r="C848" s="7" t="s">
        <v>78</v>
      </c>
      <c r="D848" s="7" t="s">
        <v>2551</v>
      </c>
    </row>
    <row r="849" spans="1:4" ht="21" x14ac:dyDescent="0.35">
      <c r="A849" s="7" t="s">
        <v>2552</v>
      </c>
      <c r="B849" s="7" t="s">
        <v>2553</v>
      </c>
      <c r="C849" s="7" t="s">
        <v>6</v>
      </c>
      <c r="D849" s="7" t="s">
        <v>2554</v>
      </c>
    </row>
    <row r="850" spans="1:4" ht="21" x14ac:dyDescent="0.35">
      <c r="A850" s="7" t="s">
        <v>2555</v>
      </c>
      <c r="B850" s="7" t="s">
        <v>2556</v>
      </c>
      <c r="C850" s="7" t="s">
        <v>27</v>
      </c>
      <c r="D850" s="7" t="s">
        <v>2557</v>
      </c>
    </row>
    <row r="851" spans="1:4" ht="21" x14ac:dyDescent="0.35">
      <c r="A851" s="7" t="s">
        <v>2558</v>
      </c>
      <c r="B851" s="7" t="s">
        <v>2559</v>
      </c>
      <c r="C851" s="7" t="s">
        <v>41</v>
      </c>
      <c r="D851" s="7" t="s">
        <v>2560</v>
      </c>
    </row>
    <row r="852" spans="1:4" ht="21" x14ac:dyDescent="0.35">
      <c r="A852" s="7" t="s">
        <v>2561</v>
      </c>
      <c r="B852" s="7" t="s">
        <v>2562</v>
      </c>
      <c r="C852" s="7" t="s">
        <v>27</v>
      </c>
      <c r="D852" s="7" t="s">
        <v>2563</v>
      </c>
    </row>
    <row r="853" spans="1:4" ht="21" x14ac:dyDescent="0.35">
      <c r="A853" s="7" t="s">
        <v>2564</v>
      </c>
      <c r="B853" s="7" t="s">
        <v>2565</v>
      </c>
      <c r="C853" s="7" t="s">
        <v>10</v>
      </c>
      <c r="D853" s="7" t="s">
        <v>2566</v>
      </c>
    </row>
    <row r="854" spans="1:4" ht="21" x14ac:dyDescent="0.35">
      <c r="A854" s="7" t="s">
        <v>2567</v>
      </c>
      <c r="B854" s="7" t="s">
        <v>2568</v>
      </c>
      <c r="C854" s="7" t="s">
        <v>41</v>
      </c>
      <c r="D854" s="7" t="s">
        <v>2569</v>
      </c>
    </row>
    <row r="855" spans="1:4" ht="21" x14ac:dyDescent="0.35">
      <c r="A855" s="7" t="s">
        <v>2570</v>
      </c>
      <c r="B855" s="7" t="s">
        <v>2571</v>
      </c>
      <c r="C855" s="7" t="s">
        <v>14</v>
      </c>
      <c r="D855" s="7" t="s">
        <v>2572</v>
      </c>
    </row>
    <row r="856" spans="1:4" ht="21" x14ac:dyDescent="0.35">
      <c r="A856" s="7" t="s">
        <v>2573</v>
      </c>
      <c r="B856" s="7" t="s">
        <v>2574</v>
      </c>
      <c r="C856" s="7" t="s">
        <v>6</v>
      </c>
      <c r="D856" s="7" t="s">
        <v>2575</v>
      </c>
    </row>
    <row r="857" spans="1:4" ht="21" x14ac:dyDescent="0.35">
      <c r="A857" s="7" t="s">
        <v>2576</v>
      </c>
      <c r="B857" s="7" t="s">
        <v>2577</v>
      </c>
      <c r="C857" s="7" t="s">
        <v>27</v>
      </c>
      <c r="D857" s="7" t="s">
        <v>2578</v>
      </c>
    </row>
    <row r="858" spans="1:4" ht="21" x14ac:dyDescent="0.35">
      <c r="A858" s="7" t="s">
        <v>2579</v>
      </c>
      <c r="B858" s="7" t="s">
        <v>2580</v>
      </c>
      <c r="C858" s="7" t="s">
        <v>14</v>
      </c>
      <c r="D858" s="7" t="s">
        <v>2581</v>
      </c>
    </row>
    <row r="859" spans="1:4" ht="21" x14ac:dyDescent="0.35">
      <c r="A859" s="7" t="s">
        <v>2582</v>
      </c>
      <c r="B859" s="7" t="s">
        <v>2583</v>
      </c>
      <c r="C859" s="7" t="s">
        <v>41</v>
      </c>
      <c r="D859" s="7" t="s">
        <v>2584</v>
      </c>
    </row>
    <row r="860" spans="1:4" ht="21" x14ac:dyDescent="0.35">
      <c r="A860" s="7" t="s">
        <v>2585</v>
      </c>
      <c r="B860" s="7" t="s">
        <v>2586</v>
      </c>
      <c r="C860" s="7" t="s">
        <v>41</v>
      </c>
      <c r="D860" s="7" t="s">
        <v>2587</v>
      </c>
    </row>
    <row r="861" spans="1:4" ht="21" x14ac:dyDescent="0.35">
      <c r="A861" s="7" t="s">
        <v>2588</v>
      </c>
      <c r="B861" s="7" t="s">
        <v>2589</v>
      </c>
      <c r="C861" s="7" t="s">
        <v>14</v>
      </c>
      <c r="D861" s="7" t="s">
        <v>2590</v>
      </c>
    </row>
    <row r="862" spans="1:4" ht="21" x14ac:dyDescent="0.35">
      <c r="A862" s="7" t="s">
        <v>2591</v>
      </c>
      <c r="B862" s="7" t="s">
        <v>2592</v>
      </c>
      <c r="C862" s="7" t="s">
        <v>10</v>
      </c>
      <c r="D862" s="7" t="s">
        <v>2593</v>
      </c>
    </row>
    <row r="863" spans="1:4" ht="21" x14ac:dyDescent="0.35">
      <c r="A863" s="7" t="s">
        <v>2594</v>
      </c>
      <c r="B863" s="7" t="s">
        <v>2595</v>
      </c>
      <c r="C863" s="7" t="s">
        <v>10</v>
      </c>
      <c r="D863" s="7" t="s">
        <v>2596</v>
      </c>
    </row>
    <row r="864" spans="1:4" ht="21" x14ac:dyDescent="0.35">
      <c r="A864" s="7" t="s">
        <v>2597</v>
      </c>
      <c r="B864" s="7" t="s">
        <v>2598</v>
      </c>
      <c r="C864" s="7" t="s">
        <v>14</v>
      </c>
      <c r="D864" s="7" t="s">
        <v>2599</v>
      </c>
    </row>
    <row r="865" spans="1:4" ht="21" x14ac:dyDescent="0.35">
      <c r="A865" s="7" t="s">
        <v>2600</v>
      </c>
      <c r="B865" s="7" t="s">
        <v>2601</v>
      </c>
      <c r="C865" s="7" t="s">
        <v>27</v>
      </c>
      <c r="D865" s="7" t="s">
        <v>2602</v>
      </c>
    </row>
    <row r="866" spans="1:4" ht="21" x14ac:dyDescent="0.35">
      <c r="A866" s="7" t="s">
        <v>2603</v>
      </c>
      <c r="B866" s="7" t="s">
        <v>2604</v>
      </c>
      <c r="C866" s="7" t="s">
        <v>27</v>
      </c>
      <c r="D866" s="7" t="s">
        <v>2605</v>
      </c>
    </row>
    <row r="867" spans="1:4" ht="21" x14ac:dyDescent="0.35">
      <c r="A867" s="7" t="s">
        <v>2606</v>
      </c>
      <c r="B867" s="7" t="s">
        <v>2607</v>
      </c>
      <c r="C867" s="7" t="s">
        <v>31</v>
      </c>
      <c r="D867" s="7" t="s">
        <v>2608</v>
      </c>
    </row>
    <row r="868" spans="1:4" ht="21" x14ac:dyDescent="0.35">
      <c r="A868" s="7" t="s">
        <v>2609</v>
      </c>
      <c r="B868" s="7" t="s">
        <v>2610</v>
      </c>
      <c r="C868" s="7" t="s">
        <v>14</v>
      </c>
      <c r="D868" s="7" t="s">
        <v>2611</v>
      </c>
    </row>
    <row r="869" spans="1:4" ht="21" x14ac:dyDescent="0.35">
      <c r="A869" s="7" t="s">
        <v>2612</v>
      </c>
      <c r="B869" s="7" t="s">
        <v>2613</v>
      </c>
      <c r="C869" s="7" t="s">
        <v>14</v>
      </c>
      <c r="D869" s="7" t="s">
        <v>2614</v>
      </c>
    </row>
    <row r="870" spans="1:4" ht="21" x14ac:dyDescent="0.35">
      <c r="A870" s="7" t="s">
        <v>2615</v>
      </c>
      <c r="B870" s="7" t="s">
        <v>2616</v>
      </c>
      <c r="C870" s="7" t="s">
        <v>6</v>
      </c>
      <c r="D870" s="7" t="s">
        <v>2617</v>
      </c>
    </row>
    <row r="871" spans="1:4" ht="21" x14ac:dyDescent="0.35">
      <c r="A871" s="7" t="s">
        <v>2618</v>
      </c>
      <c r="B871" s="7" t="s">
        <v>2619</v>
      </c>
      <c r="C871" s="7" t="s">
        <v>78</v>
      </c>
      <c r="D871" s="7" t="s">
        <v>2620</v>
      </c>
    </row>
    <row r="872" spans="1:4" ht="21" x14ac:dyDescent="0.35">
      <c r="A872" s="7" t="s">
        <v>2621</v>
      </c>
      <c r="B872" s="7" t="s">
        <v>2622</v>
      </c>
      <c r="C872" s="7" t="s">
        <v>41</v>
      </c>
      <c r="D872" s="7" t="s">
        <v>2623</v>
      </c>
    </row>
    <row r="873" spans="1:4" ht="21" x14ac:dyDescent="0.35">
      <c r="A873" s="7" t="s">
        <v>2624</v>
      </c>
      <c r="B873" s="7" t="s">
        <v>2625</v>
      </c>
      <c r="C873" s="7" t="s">
        <v>31</v>
      </c>
      <c r="D873" s="7" t="s">
        <v>2626</v>
      </c>
    </row>
    <row r="874" spans="1:4" ht="21" x14ac:dyDescent="0.35">
      <c r="A874" s="7" t="s">
        <v>2627</v>
      </c>
      <c r="B874" s="7" t="s">
        <v>2628</v>
      </c>
      <c r="C874" s="7" t="s">
        <v>10</v>
      </c>
      <c r="D874" s="7" t="s">
        <v>2629</v>
      </c>
    </row>
    <row r="875" spans="1:4" ht="21" x14ac:dyDescent="0.35">
      <c r="A875" s="7" t="s">
        <v>2630</v>
      </c>
      <c r="B875" s="7" t="s">
        <v>2631</v>
      </c>
      <c r="C875" s="7" t="s">
        <v>41</v>
      </c>
      <c r="D875" s="7" t="s">
        <v>2632</v>
      </c>
    </row>
    <row r="876" spans="1:4" ht="21" x14ac:dyDescent="0.35">
      <c r="A876" s="7" t="s">
        <v>2633</v>
      </c>
      <c r="B876" s="7" t="s">
        <v>2634</v>
      </c>
      <c r="C876" s="7" t="s">
        <v>41</v>
      </c>
      <c r="D876" s="7" t="s">
        <v>2635</v>
      </c>
    </row>
    <row r="877" spans="1:4" ht="21" x14ac:dyDescent="0.35">
      <c r="A877" s="7" t="s">
        <v>2636</v>
      </c>
      <c r="B877" s="7" t="s">
        <v>2637</v>
      </c>
      <c r="C877" s="7" t="s">
        <v>78</v>
      </c>
      <c r="D877" s="7" t="s">
        <v>2638</v>
      </c>
    </row>
    <row r="878" spans="1:4" ht="21" x14ac:dyDescent="0.35">
      <c r="A878" s="7" t="s">
        <v>2639</v>
      </c>
      <c r="B878" s="7" t="s">
        <v>2640</v>
      </c>
      <c r="C878" s="7" t="s">
        <v>10</v>
      </c>
      <c r="D878" s="7" t="s">
        <v>2641</v>
      </c>
    </row>
    <row r="879" spans="1:4" ht="21" x14ac:dyDescent="0.35">
      <c r="A879" s="7" t="s">
        <v>2642</v>
      </c>
      <c r="B879" s="7" t="s">
        <v>2643</v>
      </c>
      <c r="C879" s="7" t="s">
        <v>6</v>
      </c>
      <c r="D879" s="7" t="s">
        <v>2644</v>
      </c>
    </row>
    <row r="880" spans="1:4" ht="21" x14ac:dyDescent="0.35">
      <c r="A880" s="7" t="s">
        <v>2645</v>
      </c>
      <c r="B880" s="7" t="s">
        <v>2646</v>
      </c>
      <c r="C880" s="7" t="s">
        <v>27</v>
      </c>
      <c r="D880" s="7" t="s">
        <v>2647</v>
      </c>
    </row>
    <row r="881" spans="1:4" ht="21" x14ac:dyDescent="0.35">
      <c r="A881" s="7" t="s">
        <v>2648</v>
      </c>
      <c r="B881" s="7" t="s">
        <v>2649</v>
      </c>
      <c r="C881" s="7" t="s">
        <v>10</v>
      </c>
      <c r="D881" s="7" t="s">
        <v>2650</v>
      </c>
    </row>
    <row r="882" spans="1:4" ht="21" x14ac:dyDescent="0.35">
      <c r="A882" s="7" t="s">
        <v>2651</v>
      </c>
      <c r="B882" s="7" t="s">
        <v>2652</v>
      </c>
      <c r="C882" s="7" t="s">
        <v>41</v>
      </c>
      <c r="D882" s="7" t="s">
        <v>2653</v>
      </c>
    </row>
    <row r="883" spans="1:4" ht="21" x14ac:dyDescent="0.35">
      <c r="A883" s="7" t="s">
        <v>2654</v>
      </c>
      <c r="B883" s="7" t="s">
        <v>2655</v>
      </c>
      <c r="C883" s="7" t="s">
        <v>10</v>
      </c>
      <c r="D883" s="7" t="s">
        <v>2656</v>
      </c>
    </row>
    <row r="884" spans="1:4" ht="21" x14ac:dyDescent="0.35">
      <c r="A884" s="7" t="s">
        <v>2657</v>
      </c>
      <c r="B884" s="7" t="s">
        <v>2658</v>
      </c>
      <c r="C884" s="7" t="s">
        <v>31</v>
      </c>
      <c r="D884" s="7" t="s">
        <v>2659</v>
      </c>
    </row>
    <row r="885" spans="1:4" ht="21" x14ac:dyDescent="0.35">
      <c r="A885" s="7" t="s">
        <v>2660</v>
      </c>
      <c r="B885" s="7" t="s">
        <v>2661</v>
      </c>
      <c r="C885" s="7" t="s">
        <v>31</v>
      </c>
      <c r="D885" s="7" t="s">
        <v>2662</v>
      </c>
    </row>
    <row r="886" spans="1:4" ht="21" x14ac:dyDescent="0.35">
      <c r="A886" s="7" t="s">
        <v>2663</v>
      </c>
      <c r="B886" s="7" t="s">
        <v>2664</v>
      </c>
      <c r="C886" s="7" t="s">
        <v>41</v>
      </c>
      <c r="D886" s="7" t="s">
        <v>2665</v>
      </c>
    </row>
    <row r="887" spans="1:4" ht="21" x14ac:dyDescent="0.35">
      <c r="A887" s="7" t="s">
        <v>2666</v>
      </c>
      <c r="B887" s="7" t="s">
        <v>2667</v>
      </c>
      <c r="C887" s="7" t="s">
        <v>10</v>
      </c>
      <c r="D887" s="7" t="s">
        <v>2668</v>
      </c>
    </row>
    <row r="888" spans="1:4" ht="21" x14ac:dyDescent="0.35">
      <c r="A888" s="7" t="s">
        <v>2669</v>
      </c>
      <c r="B888" s="7" t="s">
        <v>2670</v>
      </c>
      <c r="C888" s="7" t="s">
        <v>27</v>
      </c>
      <c r="D888" s="7" t="s">
        <v>2671</v>
      </c>
    </row>
    <row r="889" spans="1:4" ht="21" x14ac:dyDescent="0.35">
      <c r="A889" s="7" t="s">
        <v>2672</v>
      </c>
      <c r="B889" s="7" t="s">
        <v>2673</v>
      </c>
      <c r="C889" s="7" t="s">
        <v>78</v>
      </c>
      <c r="D889" s="7" t="s">
        <v>2674</v>
      </c>
    </row>
    <row r="890" spans="1:4" ht="21" x14ac:dyDescent="0.35">
      <c r="A890" s="7" t="s">
        <v>2675</v>
      </c>
      <c r="B890" s="7" t="s">
        <v>2676</v>
      </c>
      <c r="C890" s="7" t="s">
        <v>6</v>
      </c>
      <c r="D890" s="7" t="s">
        <v>2677</v>
      </c>
    </row>
    <row r="891" spans="1:4" ht="21" x14ac:dyDescent="0.35">
      <c r="A891" s="7" t="s">
        <v>2678</v>
      </c>
      <c r="B891" s="7" t="s">
        <v>2679</v>
      </c>
      <c r="C891" s="7" t="s">
        <v>14</v>
      </c>
      <c r="D891" s="7" t="s">
        <v>2680</v>
      </c>
    </row>
    <row r="892" spans="1:4" ht="21" x14ac:dyDescent="0.35">
      <c r="A892" s="7" t="s">
        <v>2681</v>
      </c>
      <c r="B892" s="7" t="s">
        <v>2682</v>
      </c>
      <c r="C892" s="7" t="s">
        <v>6</v>
      </c>
      <c r="D892" s="7" t="s">
        <v>2683</v>
      </c>
    </row>
    <row r="893" spans="1:4" ht="21" x14ac:dyDescent="0.35">
      <c r="A893" s="7" t="s">
        <v>2684</v>
      </c>
      <c r="B893" s="7" t="s">
        <v>2685</v>
      </c>
      <c r="C893" s="7" t="s">
        <v>14</v>
      </c>
      <c r="D893" s="7" t="s">
        <v>2686</v>
      </c>
    </row>
    <row r="894" spans="1:4" ht="21" x14ac:dyDescent="0.35">
      <c r="A894" s="7" t="s">
        <v>2687</v>
      </c>
      <c r="B894" s="7" t="s">
        <v>2688</v>
      </c>
      <c r="C894" s="7" t="s">
        <v>6</v>
      </c>
      <c r="D894" s="7" t="s">
        <v>2689</v>
      </c>
    </row>
    <row r="895" spans="1:4" ht="21" x14ac:dyDescent="0.35">
      <c r="A895" s="7" t="s">
        <v>2690</v>
      </c>
      <c r="B895" s="7" t="s">
        <v>2691</v>
      </c>
      <c r="C895" s="7" t="s">
        <v>31</v>
      </c>
      <c r="D895" s="7" t="s">
        <v>2692</v>
      </c>
    </row>
    <row r="896" spans="1:4" ht="21" x14ac:dyDescent="0.35">
      <c r="A896" s="7" t="s">
        <v>2693</v>
      </c>
      <c r="B896" s="7" t="s">
        <v>2694</v>
      </c>
      <c r="C896" s="7" t="s">
        <v>78</v>
      </c>
      <c r="D896" s="7" t="s">
        <v>2695</v>
      </c>
    </row>
    <row r="897" spans="1:4" ht="21" x14ac:dyDescent="0.35">
      <c r="A897" s="7" t="s">
        <v>2696</v>
      </c>
      <c r="B897" s="7" t="s">
        <v>2697</v>
      </c>
      <c r="C897" s="7" t="s">
        <v>41</v>
      </c>
      <c r="D897" s="7" t="s">
        <v>2698</v>
      </c>
    </row>
    <row r="898" spans="1:4" ht="21" x14ac:dyDescent="0.35">
      <c r="A898" s="7" t="s">
        <v>2699</v>
      </c>
      <c r="B898" s="7" t="s">
        <v>2700</v>
      </c>
      <c r="C898" s="7" t="s">
        <v>10</v>
      </c>
      <c r="D898" s="7" t="s">
        <v>2701</v>
      </c>
    </row>
    <row r="899" spans="1:4" ht="21" x14ac:dyDescent="0.35">
      <c r="A899" s="7" t="s">
        <v>2702</v>
      </c>
      <c r="B899" s="7" t="s">
        <v>2703</v>
      </c>
      <c r="C899" s="7" t="s">
        <v>41</v>
      </c>
      <c r="D899" s="7" t="s">
        <v>2704</v>
      </c>
    </row>
    <row r="900" spans="1:4" ht="21" x14ac:dyDescent="0.35">
      <c r="A900" s="7" t="s">
        <v>2705</v>
      </c>
      <c r="B900" s="7" t="s">
        <v>2706</v>
      </c>
      <c r="C900" s="7" t="s">
        <v>41</v>
      </c>
      <c r="D900" s="7" t="s">
        <v>2707</v>
      </c>
    </row>
    <row r="901" spans="1:4" ht="21" x14ac:dyDescent="0.35">
      <c r="A901" s="7" t="s">
        <v>2708</v>
      </c>
      <c r="B901" s="7" t="s">
        <v>2709</v>
      </c>
      <c r="C901" s="7" t="s">
        <v>78</v>
      </c>
      <c r="D901" s="7" t="s">
        <v>2710</v>
      </c>
    </row>
    <row r="902" spans="1:4" ht="21" x14ac:dyDescent="0.35">
      <c r="A902" s="7" t="s">
        <v>2711</v>
      </c>
      <c r="B902" s="7" t="s">
        <v>2712</v>
      </c>
      <c r="C902" s="7" t="s">
        <v>10</v>
      </c>
      <c r="D902" s="7" t="s">
        <v>2713</v>
      </c>
    </row>
    <row r="903" spans="1:4" ht="21" x14ac:dyDescent="0.35">
      <c r="A903" s="7" t="s">
        <v>2714</v>
      </c>
      <c r="B903" s="7" t="s">
        <v>2715</v>
      </c>
      <c r="C903" s="7" t="s">
        <v>31</v>
      </c>
      <c r="D903" s="7" t="s">
        <v>2716</v>
      </c>
    </row>
    <row r="904" spans="1:4" ht="21" x14ac:dyDescent="0.35">
      <c r="A904" s="7" t="s">
        <v>2717</v>
      </c>
      <c r="B904" s="7" t="s">
        <v>2718</v>
      </c>
      <c r="C904" s="7" t="s">
        <v>78</v>
      </c>
      <c r="D904" s="7" t="s">
        <v>2719</v>
      </c>
    </row>
    <row r="905" spans="1:4" ht="21" x14ac:dyDescent="0.35">
      <c r="A905" s="7" t="s">
        <v>2720</v>
      </c>
      <c r="B905" s="7" t="s">
        <v>2721</v>
      </c>
      <c r="C905" s="7" t="s">
        <v>41</v>
      </c>
      <c r="D905" s="7" t="s">
        <v>2722</v>
      </c>
    </row>
    <row r="906" spans="1:4" ht="21" x14ac:dyDescent="0.35">
      <c r="A906" s="7" t="s">
        <v>2723</v>
      </c>
      <c r="B906" s="7" t="s">
        <v>2724</v>
      </c>
      <c r="C906" s="7" t="s">
        <v>10</v>
      </c>
      <c r="D906" s="7" t="s">
        <v>2725</v>
      </c>
    </row>
    <row r="907" spans="1:4" ht="21" x14ac:dyDescent="0.35">
      <c r="A907" s="7" t="s">
        <v>2726</v>
      </c>
      <c r="B907" s="7" t="s">
        <v>2727</v>
      </c>
      <c r="C907" s="7" t="s">
        <v>78</v>
      </c>
      <c r="D907" s="7" t="s">
        <v>2728</v>
      </c>
    </row>
    <row r="908" spans="1:4" ht="21" x14ac:dyDescent="0.35">
      <c r="A908" s="7" t="s">
        <v>2729</v>
      </c>
      <c r="B908" s="7" t="s">
        <v>2730</v>
      </c>
      <c r="C908" s="7" t="s">
        <v>10</v>
      </c>
      <c r="D908" s="7" t="s">
        <v>2731</v>
      </c>
    </row>
    <row r="909" spans="1:4" ht="21" x14ac:dyDescent="0.35">
      <c r="A909" s="7" t="s">
        <v>2732</v>
      </c>
      <c r="B909" s="7" t="s">
        <v>2733</v>
      </c>
      <c r="C909" s="7" t="s">
        <v>41</v>
      </c>
      <c r="D909" s="7" t="s">
        <v>2734</v>
      </c>
    </row>
    <row r="910" spans="1:4" ht="21" x14ac:dyDescent="0.35">
      <c r="A910" s="7" t="s">
        <v>2735</v>
      </c>
      <c r="B910" s="7" t="s">
        <v>2736</v>
      </c>
      <c r="C910" s="7" t="s">
        <v>31</v>
      </c>
      <c r="D910" s="7" t="s">
        <v>2737</v>
      </c>
    </row>
    <row r="911" spans="1:4" ht="21" x14ac:dyDescent="0.35">
      <c r="A911" s="7" t="s">
        <v>2738</v>
      </c>
      <c r="B911" s="7" t="s">
        <v>2739</v>
      </c>
      <c r="C911" s="7" t="s">
        <v>27</v>
      </c>
      <c r="D911" s="7" t="s">
        <v>2740</v>
      </c>
    </row>
    <row r="912" spans="1:4" ht="21" x14ac:dyDescent="0.35">
      <c r="A912" s="7" t="s">
        <v>2741</v>
      </c>
      <c r="B912" s="7" t="s">
        <v>2742</v>
      </c>
      <c r="C912" s="7" t="s">
        <v>41</v>
      </c>
      <c r="D912" s="7" t="s">
        <v>2743</v>
      </c>
    </row>
    <row r="913" spans="1:4" ht="21" x14ac:dyDescent="0.35">
      <c r="A913" s="7" t="s">
        <v>2744</v>
      </c>
      <c r="B913" s="7" t="s">
        <v>2745</v>
      </c>
      <c r="C913" s="7" t="s">
        <v>6</v>
      </c>
      <c r="D913" s="7" t="s">
        <v>2746</v>
      </c>
    </row>
    <row r="914" spans="1:4" ht="21" x14ac:dyDescent="0.35">
      <c r="A914" s="7" t="s">
        <v>2747</v>
      </c>
      <c r="B914" s="7" t="s">
        <v>2748</v>
      </c>
      <c r="C914" s="7" t="s">
        <v>14</v>
      </c>
      <c r="D914" s="7" t="s">
        <v>2749</v>
      </c>
    </row>
    <row r="915" spans="1:4" ht="21" x14ac:dyDescent="0.35">
      <c r="A915" s="7" t="s">
        <v>2750</v>
      </c>
      <c r="B915" s="7" t="s">
        <v>2751</v>
      </c>
      <c r="C915" s="7" t="s">
        <v>31</v>
      </c>
      <c r="D915" s="7" t="s">
        <v>2752</v>
      </c>
    </row>
    <row r="916" spans="1:4" ht="21" x14ac:dyDescent="0.35">
      <c r="A916" s="7" t="s">
        <v>2753</v>
      </c>
      <c r="B916" s="7" t="s">
        <v>2754</v>
      </c>
      <c r="C916" s="7" t="s">
        <v>10</v>
      </c>
      <c r="D916" s="7" t="s">
        <v>2755</v>
      </c>
    </row>
    <row r="917" spans="1:4" ht="21" x14ac:dyDescent="0.35">
      <c r="A917" s="7" t="s">
        <v>2756</v>
      </c>
      <c r="B917" s="7" t="s">
        <v>2757</v>
      </c>
      <c r="C917" s="7" t="s">
        <v>6</v>
      </c>
      <c r="D917" s="7" t="s">
        <v>2758</v>
      </c>
    </row>
    <row r="918" spans="1:4" ht="21" x14ac:dyDescent="0.35">
      <c r="A918" s="7" t="s">
        <v>2759</v>
      </c>
      <c r="B918" s="7" t="s">
        <v>2760</v>
      </c>
      <c r="C918" s="7" t="s">
        <v>78</v>
      </c>
      <c r="D918" s="7" t="s">
        <v>2761</v>
      </c>
    </row>
    <row r="919" spans="1:4" ht="21" x14ac:dyDescent="0.35">
      <c r="A919" s="7" t="s">
        <v>2762</v>
      </c>
      <c r="B919" s="7" t="s">
        <v>2763</v>
      </c>
      <c r="C919" s="7" t="s">
        <v>6</v>
      </c>
      <c r="D919" s="7" t="s">
        <v>2764</v>
      </c>
    </row>
    <row r="920" spans="1:4" ht="21" x14ac:dyDescent="0.35">
      <c r="A920" s="7" t="s">
        <v>2765</v>
      </c>
      <c r="B920" s="7" t="s">
        <v>2766</v>
      </c>
      <c r="C920" s="7" t="s">
        <v>6</v>
      </c>
      <c r="D920" s="7" t="s">
        <v>2767</v>
      </c>
    </row>
    <row r="921" spans="1:4" ht="21" x14ac:dyDescent="0.35">
      <c r="A921" s="7" t="s">
        <v>2768</v>
      </c>
      <c r="B921" s="7" t="s">
        <v>2769</v>
      </c>
      <c r="C921" s="7" t="s">
        <v>27</v>
      </c>
      <c r="D921" s="7" t="s">
        <v>2770</v>
      </c>
    </row>
    <row r="922" spans="1:4" ht="21" x14ac:dyDescent="0.35">
      <c r="A922" s="7" t="s">
        <v>2771</v>
      </c>
      <c r="B922" s="7" t="s">
        <v>2772</v>
      </c>
      <c r="C922" s="7" t="s">
        <v>14</v>
      </c>
      <c r="D922" s="7" t="s">
        <v>2773</v>
      </c>
    </row>
    <row r="923" spans="1:4" ht="21" x14ac:dyDescent="0.35">
      <c r="A923" s="7" t="s">
        <v>2774</v>
      </c>
      <c r="B923" s="7" t="s">
        <v>2775</v>
      </c>
      <c r="C923" s="7" t="s">
        <v>78</v>
      </c>
      <c r="D923" s="7" t="s">
        <v>2776</v>
      </c>
    </row>
    <row r="924" spans="1:4" ht="21" x14ac:dyDescent="0.35">
      <c r="A924" s="7" t="s">
        <v>2777</v>
      </c>
      <c r="B924" s="7" t="s">
        <v>2778</v>
      </c>
      <c r="C924" s="7" t="s">
        <v>10</v>
      </c>
      <c r="D924" s="7" t="s">
        <v>2779</v>
      </c>
    </row>
    <row r="925" spans="1:4" ht="21" x14ac:dyDescent="0.35">
      <c r="A925" s="7" t="s">
        <v>2780</v>
      </c>
      <c r="B925" s="7" t="s">
        <v>2781</v>
      </c>
      <c r="C925" s="7" t="s">
        <v>27</v>
      </c>
      <c r="D925" s="7" t="s">
        <v>2782</v>
      </c>
    </row>
    <row r="926" spans="1:4" ht="21" x14ac:dyDescent="0.35">
      <c r="A926" s="7" t="s">
        <v>2783</v>
      </c>
      <c r="B926" s="7" t="s">
        <v>2784</v>
      </c>
      <c r="C926" s="7" t="s">
        <v>41</v>
      </c>
      <c r="D926" s="7" t="s">
        <v>2785</v>
      </c>
    </row>
    <row r="927" spans="1:4" ht="21" x14ac:dyDescent="0.35">
      <c r="A927" s="7" t="s">
        <v>2786</v>
      </c>
      <c r="B927" s="7" t="s">
        <v>2787</v>
      </c>
      <c r="C927" s="7" t="s">
        <v>41</v>
      </c>
      <c r="D927" s="7" t="s">
        <v>2788</v>
      </c>
    </row>
    <row r="928" spans="1:4" ht="21" x14ac:dyDescent="0.35">
      <c r="A928" s="7" t="s">
        <v>2789</v>
      </c>
      <c r="B928" s="7" t="s">
        <v>2790</v>
      </c>
      <c r="C928" s="7" t="s">
        <v>6</v>
      </c>
      <c r="D928" s="7" t="s">
        <v>2791</v>
      </c>
    </row>
    <row r="929" spans="1:4" ht="21" x14ac:dyDescent="0.35">
      <c r="A929" s="7" t="s">
        <v>2792</v>
      </c>
      <c r="B929" s="7" t="s">
        <v>2793</v>
      </c>
      <c r="C929" s="7" t="s">
        <v>41</v>
      </c>
      <c r="D929" s="7" t="s">
        <v>2794</v>
      </c>
    </row>
    <row r="930" spans="1:4" ht="21" x14ac:dyDescent="0.35">
      <c r="A930" s="7" t="s">
        <v>2795</v>
      </c>
      <c r="B930" s="7" t="s">
        <v>2796</v>
      </c>
      <c r="C930" s="7" t="s">
        <v>14</v>
      </c>
      <c r="D930" s="7" t="s">
        <v>2797</v>
      </c>
    </row>
    <row r="931" spans="1:4" ht="21" x14ac:dyDescent="0.35">
      <c r="A931" s="7" t="s">
        <v>2798</v>
      </c>
      <c r="B931" s="7" t="s">
        <v>2799</v>
      </c>
      <c r="C931" s="7" t="s">
        <v>10</v>
      </c>
      <c r="D931" s="7" t="s">
        <v>2800</v>
      </c>
    </row>
    <row r="932" spans="1:4" ht="21" x14ac:dyDescent="0.35">
      <c r="A932" s="7" t="s">
        <v>2801</v>
      </c>
      <c r="B932" s="7" t="s">
        <v>2802</v>
      </c>
      <c r="C932" s="7" t="s">
        <v>78</v>
      </c>
      <c r="D932" s="7" t="s">
        <v>2803</v>
      </c>
    </row>
    <row r="933" spans="1:4" ht="21" x14ac:dyDescent="0.35">
      <c r="A933" s="7" t="s">
        <v>2804</v>
      </c>
      <c r="B933" s="7" t="s">
        <v>2805</v>
      </c>
      <c r="C933" s="7" t="s">
        <v>31</v>
      </c>
      <c r="D933" s="7" t="s">
        <v>2806</v>
      </c>
    </row>
    <row r="934" spans="1:4" ht="21" x14ac:dyDescent="0.35">
      <c r="A934" s="7" t="s">
        <v>2807</v>
      </c>
      <c r="B934" s="7" t="s">
        <v>2808</v>
      </c>
      <c r="C934" s="7" t="s">
        <v>6</v>
      </c>
      <c r="D934" s="7" t="s">
        <v>2809</v>
      </c>
    </row>
    <row r="935" spans="1:4" ht="21" x14ac:dyDescent="0.35">
      <c r="A935" s="7" t="s">
        <v>2810</v>
      </c>
      <c r="B935" s="7" t="s">
        <v>2811</v>
      </c>
      <c r="C935" s="7" t="s">
        <v>14</v>
      </c>
      <c r="D935" s="7" t="s">
        <v>2812</v>
      </c>
    </row>
    <row r="936" spans="1:4" ht="21" x14ac:dyDescent="0.35">
      <c r="A936" s="7" t="s">
        <v>2813</v>
      </c>
      <c r="B936" s="7" t="s">
        <v>2814</v>
      </c>
      <c r="C936" s="7" t="s">
        <v>6</v>
      </c>
      <c r="D936" s="7" t="s">
        <v>2815</v>
      </c>
    </row>
    <row r="937" spans="1:4" ht="21" x14ac:dyDescent="0.35">
      <c r="A937" s="7" t="s">
        <v>2816</v>
      </c>
      <c r="B937" s="7" t="s">
        <v>2817</v>
      </c>
      <c r="C937" s="7" t="s">
        <v>78</v>
      </c>
      <c r="D937" s="7" t="s">
        <v>2818</v>
      </c>
    </row>
    <row r="938" spans="1:4" ht="21" x14ac:dyDescent="0.35">
      <c r="A938" s="7" t="s">
        <v>2819</v>
      </c>
      <c r="B938" s="7" t="s">
        <v>2820</v>
      </c>
      <c r="C938" s="7" t="s">
        <v>31</v>
      </c>
      <c r="D938" s="7" t="s">
        <v>2821</v>
      </c>
    </row>
    <row r="939" spans="1:4" ht="21" x14ac:dyDescent="0.35">
      <c r="A939" s="7" t="s">
        <v>2822</v>
      </c>
      <c r="B939" s="7" t="s">
        <v>2823</v>
      </c>
      <c r="C939" s="7" t="s">
        <v>10</v>
      </c>
      <c r="D939" s="7" t="s">
        <v>2824</v>
      </c>
    </row>
    <row r="940" spans="1:4" ht="21" x14ac:dyDescent="0.35">
      <c r="A940" s="7" t="s">
        <v>2825</v>
      </c>
      <c r="B940" s="7" t="s">
        <v>2826</v>
      </c>
      <c r="C940" s="7" t="s">
        <v>31</v>
      </c>
      <c r="D940" s="7" t="s">
        <v>2827</v>
      </c>
    </row>
    <row r="941" spans="1:4" ht="21" x14ac:dyDescent="0.35">
      <c r="A941" s="7" t="s">
        <v>2828</v>
      </c>
      <c r="B941" s="7" t="s">
        <v>2829</v>
      </c>
      <c r="C941" s="7" t="s">
        <v>10</v>
      </c>
      <c r="D941" s="7" t="s">
        <v>2830</v>
      </c>
    </row>
    <row r="942" spans="1:4" ht="21" x14ac:dyDescent="0.35">
      <c r="A942" s="7" t="s">
        <v>2831</v>
      </c>
      <c r="B942" s="7" t="s">
        <v>2832</v>
      </c>
      <c r="C942" s="7" t="s">
        <v>78</v>
      </c>
      <c r="D942" s="7" t="s">
        <v>2833</v>
      </c>
    </row>
    <row r="943" spans="1:4" ht="21" x14ac:dyDescent="0.35">
      <c r="A943" s="7" t="s">
        <v>2834</v>
      </c>
      <c r="B943" s="7" t="s">
        <v>2835</v>
      </c>
      <c r="C943" s="7" t="s">
        <v>78</v>
      </c>
      <c r="D943" s="7" t="s">
        <v>2836</v>
      </c>
    </row>
    <row r="944" spans="1:4" ht="21" x14ac:dyDescent="0.35">
      <c r="A944" s="7" t="s">
        <v>2837</v>
      </c>
      <c r="B944" s="7" t="s">
        <v>2838</v>
      </c>
      <c r="C944" s="7" t="s">
        <v>27</v>
      </c>
      <c r="D944" s="7" t="s">
        <v>2839</v>
      </c>
    </row>
    <row r="945" spans="1:4" ht="21" x14ac:dyDescent="0.35">
      <c r="A945" s="7" t="s">
        <v>2840</v>
      </c>
      <c r="B945" s="7" t="s">
        <v>2841</v>
      </c>
      <c r="C945" s="7" t="s">
        <v>6</v>
      </c>
      <c r="D945" s="7" t="s">
        <v>2842</v>
      </c>
    </row>
    <row r="946" spans="1:4" ht="21" x14ac:dyDescent="0.35">
      <c r="A946" s="7" t="s">
        <v>2843</v>
      </c>
      <c r="B946" s="7" t="s">
        <v>2844</v>
      </c>
      <c r="C946" s="7" t="s">
        <v>10</v>
      </c>
      <c r="D946" s="7" t="s">
        <v>2845</v>
      </c>
    </row>
    <row r="947" spans="1:4" ht="21" x14ac:dyDescent="0.35">
      <c r="A947" s="7" t="s">
        <v>2846</v>
      </c>
      <c r="B947" s="7" t="s">
        <v>2847</v>
      </c>
      <c r="C947" s="7" t="s">
        <v>78</v>
      </c>
      <c r="D947" s="7" t="s">
        <v>2848</v>
      </c>
    </row>
    <row r="948" spans="1:4" ht="21" x14ac:dyDescent="0.35">
      <c r="A948" s="7" t="s">
        <v>2849</v>
      </c>
      <c r="B948" s="7" t="s">
        <v>2850</v>
      </c>
      <c r="C948" s="7" t="s">
        <v>14</v>
      </c>
      <c r="D948" s="7" t="s">
        <v>2851</v>
      </c>
    </row>
    <row r="949" spans="1:4" ht="21" x14ac:dyDescent="0.35">
      <c r="A949" s="7" t="s">
        <v>2852</v>
      </c>
      <c r="B949" s="7" t="s">
        <v>2853</v>
      </c>
      <c r="C949" s="7" t="s">
        <v>10</v>
      </c>
      <c r="D949" s="7" t="s">
        <v>2854</v>
      </c>
    </row>
    <row r="950" spans="1:4" ht="21" x14ac:dyDescent="0.35">
      <c r="A950" s="7" t="s">
        <v>2855</v>
      </c>
      <c r="B950" s="7" t="s">
        <v>2856</v>
      </c>
      <c r="C950" s="7" t="s">
        <v>14</v>
      </c>
      <c r="D950" s="7" t="s">
        <v>2857</v>
      </c>
    </row>
    <row r="951" spans="1:4" ht="21" x14ac:dyDescent="0.35">
      <c r="A951" s="7" t="s">
        <v>2858</v>
      </c>
      <c r="B951" s="7" t="s">
        <v>2859</v>
      </c>
      <c r="C951" s="7" t="s">
        <v>27</v>
      </c>
      <c r="D951" s="7" t="s">
        <v>2860</v>
      </c>
    </row>
    <row r="952" spans="1:4" ht="21" x14ac:dyDescent="0.35">
      <c r="A952" s="7" t="s">
        <v>2861</v>
      </c>
      <c r="B952" s="7" t="s">
        <v>2862</v>
      </c>
      <c r="C952" s="7" t="s">
        <v>6</v>
      </c>
      <c r="D952" s="7" t="s">
        <v>2863</v>
      </c>
    </row>
    <row r="953" spans="1:4" ht="21" x14ac:dyDescent="0.35">
      <c r="A953" s="7" t="s">
        <v>2864</v>
      </c>
      <c r="B953" s="7" t="s">
        <v>2865</v>
      </c>
      <c r="C953" s="7" t="s">
        <v>14</v>
      </c>
      <c r="D953" s="7" t="s">
        <v>2866</v>
      </c>
    </row>
    <row r="954" spans="1:4" ht="21" x14ac:dyDescent="0.35">
      <c r="A954" s="7" t="s">
        <v>2867</v>
      </c>
      <c r="B954" s="7" t="s">
        <v>2868</v>
      </c>
      <c r="C954" s="7" t="s">
        <v>14</v>
      </c>
      <c r="D954" s="7" t="s">
        <v>2869</v>
      </c>
    </row>
    <row r="955" spans="1:4" ht="21" x14ac:dyDescent="0.35">
      <c r="A955" s="7" t="s">
        <v>2870</v>
      </c>
      <c r="B955" s="7" t="s">
        <v>2871</v>
      </c>
      <c r="C955" s="7" t="s">
        <v>78</v>
      </c>
      <c r="D955" s="7" t="s">
        <v>2872</v>
      </c>
    </row>
    <row r="956" spans="1:4" ht="21" x14ac:dyDescent="0.35">
      <c r="A956" s="7" t="s">
        <v>2873</v>
      </c>
      <c r="B956" s="7" t="s">
        <v>2874</v>
      </c>
      <c r="C956" s="7" t="s">
        <v>10</v>
      </c>
      <c r="D956" s="7" t="s">
        <v>2875</v>
      </c>
    </row>
    <row r="957" spans="1:4" ht="21" x14ac:dyDescent="0.35">
      <c r="A957" s="7" t="s">
        <v>2876</v>
      </c>
      <c r="B957" s="7" t="s">
        <v>2877</v>
      </c>
      <c r="C957" s="7" t="s">
        <v>31</v>
      </c>
      <c r="D957" s="7" t="s">
        <v>2878</v>
      </c>
    </row>
    <row r="958" spans="1:4" ht="21" x14ac:dyDescent="0.35">
      <c r="A958" s="7" t="s">
        <v>2879</v>
      </c>
      <c r="B958" s="7" t="s">
        <v>2880</v>
      </c>
      <c r="C958" s="7" t="s">
        <v>10</v>
      </c>
      <c r="D958" s="7" t="s">
        <v>2881</v>
      </c>
    </row>
    <row r="959" spans="1:4" ht="21" x14ac:dyDescent="0.35">
      <c r="A959" s="7" t="s">
        <v>2882</v>
      </c>
      <c r="B959" s="7" t="s">
        <v>2883</v>
      </c>
      <c r="C959" s="7" t="s">
        <v>41</v>
      </c>
      <c r="D959" s="7" t="s">
        <v>2884</v>
      </c>
    </row>
    <row r="960" spans="1:4" ht="21" x14ac:dyDescent="0.35">
      <c r="A960" s="7" t="s">
        <v>2885</v>
      </c>
      <c r="B960" s="7" t="s">
        <v>2886</v>
      </c>
      <c r="C960" s="7" t="s">
        <v>6</v>
      </c>
      <c r="D960" s="7" t="s">
        <v>2887</v>
      </c>
    </row>
    <row r="961" spans="1:4" ht="21" x14ac:dyDescent="0.35">
      <c r="A961" s="7" t="s">
        <v>2888</v>
      </c>
      <c r="B961" s="7" t="s">
        <v>2889</v>
      </c>
      <c r="C961" s="7" t="s">
        <v>6</v>
      </c>
      <c r="D961" s="7" t="s">
        <v>2890</v>
      </c>
    </row>
    <row r="962" spans="1:4" ht="21" x14ac:dyDescent="0.35">
      <c r="A962" s="7" t="s">
        <v>2891</v>
      </c>
      <c r="B962" s="7" t="s">
        <v>2892</v>
      </c>
      <c r="C962" s="7" t="s">
        <v>10</v>
      </c>
      <c r="D962" s="7" t="s">
        <v>2893</v>
      </c>
    </row>
    <row r="963" spans="1:4" ht="21" x14ac:dyDescent="0.35">
      <c r="A963" s="7" t="s">
        <v>2894</v>
      </c>
      <c r="B963" s="7" t="s">
        <v>2895</v>
      </c>
      <c r="C963" s="7" t="s">
        <v>27</v>
      </c>
      <c r="D963" s="7" t="s">
        <v>2896</v>
      </c>
    </row>
    <row r="964" spans="1:4" ht="21" x14ac:dyDescent="0.35">
      <c r="A964" s="7" t="s">
        <v>2897</v>
      </c>
      <c r="B964" s="7" t="s">
        <v>2898</v>
      </c>
      <c r="C964" s="7" t="s">
        <v>78</v>
      </c>
      <c r="D964" s="7" t="s">
        <v>2899</v>
      </c>
    </row>
    <row r="965" spans="1:4" ht="21" x14ac:dyDescent="0.35">
      <c r="A965" s="7" t="s">
        <v>2900</v>
      </c>
      <c r="B965" s="7" t="s">
        <v>2901</v>
      </c>
      <c r="C965" s="7" t="s">
        <v>27</v>
      </c>
      <c r="D965" s="7" t="s">
        <v>2902</v>
      </c>
    </row>
    <row r="966" spans="1:4" ht="21" x14ac:dyDescent="0.35">
      <c r="A966" s="7" t="s">
        <v>2903</v>
      </c>
      <c r="B966" s="7" t="s">
        <v>2904</v>
      </c>
      <c r="C966" s="7" t="s">
        <v>78</v>
      </c>
      <c r="D966" s="7" t="s">
        <v>2905</v>
      </c>
    </row>
    <row r="967" spans="1:4" ht="21" x14ac:dyDescent="0.35">
      <c r="A967" s="7" t="s">
        <v>2906</v>
      </c>
      <c r="B967" s="7" t="s">
        <v>2907</v>
      </c>
      <c r="C967" s="7" t="s">
        <v>10</v>
      </c>
      <c r="D967" s="7" t="s">
        <v>2908</v>
      </c>
    </row>
    <row r="968" spans="1:4" ht="21" x14ac:dyDescent="0.35">
      <c r="A968" s="7" t="s">
        <v>2909</v>
      </c>
      <c r="B968" s="7" t="s">
        <v>2910</v>
      </c>
      <c r="C968" s="7" t="s">
        <v>31</v>
      </c>
      <c r="D968" s="7" t="s">
        <v>2911</v>
      </c>
    </row>
    <row r="969" spans="1:4" ht="21" x14ac:dyDescent="0.35">
      <c r="A969" s="7" t="s">
        <v>2912</v>
      </c>
      <c r="B969" s="7" t="s">
        <v>2913</v>
      </c>
      <c r="C969" s="7" t="s">
        <v>78</v>
      </c>
      <c r="D969" s="7" t="s">
        <v>2914</v>
      </c>
    </row>
    <row r="970" spans="1:4" ht="21" x14ac:dyDescent="0.35">
      <c r="A970" s="7" t="s">
        <v>2915</v>
      </c>
      <c r="B970" s="7" t="s">
        <v>2916</v>
      </c>
      <c r="C970" s="7" t="s">
        <v>78</v>
      </c>
      <c r="D970" s="7" t="s">
        <v>2917</v>
      </c>
    </row>
    <row r="971" spans="1:4" ht="21" x14ac:dyDescent="0.35">
      <c r="A971" s="7" t="s">
        <v>2918</v>
      </c>
      <c r="B971" s="7" t="s">
        <v>2919</v>
      </c>
      <c r="C971" s="7" t="s">
        <v>41</v>
      </c>
      <c r="D971" s="7" t="s">
        <v>2920</v>
      </c>
    </row>
    <row r="972" spans="1:4" ht="21" x14ac:dyDescent="0.35">
      <c r="A972" s="7" t="s">
        <v>2921</v>
      </c>
      <c r="B972" s="7" t="s">
        <v>2922</v>
      </c>
      <c r="C972" s="7" t="s">
        <v>78</v>
      </c>
      <c r="D972" s="7" t="s">
        <v>2923</v>
      </c>
    </row>
    <row r="973" spans="1:4" ht="21" x14ac:dyDescent="0.35">
      <c r="A973" s="7" t="s">
        <v>2924</v>
      </c>
      <c r="B973" s="7" t="s">
        <v>2925</v>
      </c>
      <c r="C973" s="7" t="s">
        <v>31</v>
      </c>
      <c r="D973" s="7" t="s">
        <v>2926</v>
      </c>
    </row>
    <row r="974" spans="1:4" ht="21" x14ac:dyDescent="0.35">
      <c r="A974" s="7" t="s">
        <v>2927</v>
      </c>
      <c r="B974" s="7" t="s">
        <v>2928</v>
      </c>
      <c r="C974" s="7" t="s">
        <v>27</v>
      </c>
      <c r="D974" s="7" t="s">
        <v>2929</v>
      </c>
    </row>
    <row r="975" spans="1:4" ht="21" x14ac:dyDescent="0.35">
      <c r="A975" s="7" t="s">
        <v>2930</v>
      </c>
      <c r="B975" s="7" t="s">
        <v>2931</v>
      </c>
      <c r="C975" s="7" t="s">
        <v>10</v>
      </c>
      <c r="D975" s="7" t="s">
        <v>2932</v>
      </c>
    </row>
    <row r="976" spans="1:4" ht="21" x14ac:dyDescent="0.35">
      <c r="A976" s="7" t="s">
        <v>2933</v>
      </c>
      <c r="B976" s="7" t="s">
        <v>2934</v>
      </c>
      <c r="C976" s="7" t="s">
        <v>14</v>
      </c>
      <c r="D976" s="7" t="s">
        <v>2935</v>
      </c>
    </row>
    <row r="977" spans="1:4" ht="21" x14ac:dyDescent="0.35">
      <c r="A977" s="7" t="s">
        <v>2936</v>
      </c>
      <c r="B977" s="7" t="s">
        <v>2937</v>
      </c>
      <c r="C977" s="7" t="s">
        <v>31</v>
      </c>
      <c r="D977" s="7" t="s">
        <v>2938</v>
      </c>
    </row>
    <row r="978" spans="1:4" ht="21" x14ac:dyDescent="0.35">
      <c r="A978" s="7" t="s">
        <v>2939</v>
      </c>
      <c r="B978" s="7" t="s">
        <v>2940</v>
      </c>
      <c r="C978" s="7" t="s">
        <v>27</v>
      </c>
      <c r="D978" s="7" t="s">
        <v>2941</v>
      </c>
    </row>
    <row r="979" spans="1:4" ht="21" x14ac:dyDescent="0.35">
      <c r="A979" s="7" t="s">
        <v>2942</v>
      </c>
      <c r="B979" s="7" t="s">
        <v>2943</v>
      </c>
      <c r="C979" s="7" t="s">
        <v>41</v>
      </c>
      <c r="D979" s="7" t="s">
        <v>2944</v>
      </c>
    </row>
    <row r="980" spans="1:4" ht="21" x14ac:dyDescent="0.35">
      <c r="A980" s="7" t="s">
        <v>2945</v>
      </c>
      <c r="B980" s="7" t="s">
        <v>2946</v>
      </c>
      <c r="C980" s="7" t="s">
        <v>6</v>
      </c>
      <c r="D980" s="7" t="s">
        <v>2947</v>
      </c>
    </row>
    <row r="981" spans="1:4" ht="21" x14ac:dyDescent="0.35">
      <c r="A981" s="7" t="s">
        <v>2948</v>
      </c>
      <c r="B981" s="7" t="s">
        <v>2949</v>
      </c>
      <c r="C981" s="7" t="s">
        <v>41</v>
      </c>
      <c r="D981" s="7" t="s">
        <v>2950</v>
      </c>
    </row>
    <row r="982" spans="1:4" ht="21" x14ac:dyDescent="0.35">
      <c r="A982" s="7" t="s">
        <v>2951</v>
      </c>
      <c r="B982" s="7" t="s">
        <v>2952</v>
      </c>
      <c r="C982" s="7" t="s">
        <v>27</v>
      </c>
      <c r="D982" s="7" t="s">
        <v>2953</v>
      </c>
    </row>
    <row r="983" spans="1:4" ht="21" x14ac:dyDescent="0.35">
      <c r="A983" s="7" t="s">
        <v>2954</v>
      </c>
      <c r="B983" s="7" t="s">
        <v>2955</v>
      </c>
      <c r="C983" s="7" t="s">
        <v>78</v>
      </c>
      <c r="D983" s="7" t="s">
        <v>2956</v>
      </c>
    </row>
    <row r="984" spans="1:4" ht="21" x14ac:dyDescent="0.35">
      <c r="A984" s="7" t="s">
        <v>2957</v>
      </c>
      <c r="B984" s="7" t="s">
        <v>2958</v>
      </c>
      <c r="C984" s="7" t="s">
        <v>78</v>
      </c>
      <c r="D984" s="7" t="s">
        <v>2959</v>
      </c>
    </row>
    <row r="985" spans="1:4" ht="21" x14ac:dyDescent="0.35">
      <c r="A985" s="7" t="s">
        <v>2960</v>
      </c>
      <c r="B985" s="7" t="s">
        <v>2961</v>
      </c>
      <c r="C985" s="7" t="s">
        <v>78</v>
      </c>
      <c r="D985" s="7" t="s">
        <v>2962</v>
      </c>
    </row>
    <row r="986" spans="1:4" ht="21" x14ac:dyDescent="0.35">
      <c r="A986" s="7" t="s">
        <v>2963</v>
      </c>
      <c r="B986" s="7" t="s">
        <v>2964</v>
      </c>
      <c r="C986" s="7" t="s">
        <v>31</v>
      </c>
      <c r="D986" s="7" t="s">
        <v>2965</v>
      </c>
    </row>
    <row r="987" spans="1:4" ht="21" x14ac:dyDescent="0.35">
      <c r="A987" s="7" t="s">
        <v>2966</v>
      </c>
      <c r="B987" s="7" t="s">
        <v>2967</v>
      </c>
      <c r="C987" s="7" t="s">
        <v>14</v>
      </c>
      <c r="D987" s="7" t="s">
        <v>2968</v>
      </c>
    </row>
    <row r="988" spans="1:4" ht="21" x14ac:dyDescent="0.35">
      <c r="A988" s="7" t="s">
        <v>2969</v>
      </c>
      <c r="B988" s="7" t="s">
        <v>2970</v>
      </c>
      <c r="C988" s="7" t="s">
        <v>6</v>
      </c>
      <c r="D988" s="7" t="s">
        <v>2971</v>
      </c>
    </row>
    <row r="989" spans="1:4" ht="21" x14ac:dyDescent="0.35">
      <c r="A989" s="7" t="s">
        <v>2972</v>
      </c>
      <c r="B989" s="7" t="s">
        <v>2973</v>
      </c>
      <c r="C989" s="7" t="s">
        <v>14</v>
      </c>
      <c r="D989" s="7" t="s">
        <v>2974</v>
      </c>
    </row>
    <row r="990" spans="1:4" ht="21" x14ac:dyDescent="0.35">
      <c r="A990" s="7" t="s">
        <v>2975</v>
      </c>
      <c r="B990" s="7" t="s">
        <v>2976</v>
      </c>
      <c r="C990" s="7" t="s">
        <v>6</v>
      </c>
      <c r="D990" s="7" t="s">
        <v>2977</v>
      </c>
    </row>
    <row r="991" spans="1:4" ht="21" x14ac:dyDescent="0.35">
      <c r="A991" s="7" t="s">
        <v>2978</v>
      </c>
      <c r="B991" s="7" t="s">
        <v>2979</v>
      </c>
      <c r="C991" s="7" t="s">
        <v>14</v>
      </c>
      <c r="D991" s="7" t="s">
        <v>2980</v>
      </c>
    </row>
    <row r="992" spans="1:4" ht="21" x14ac:dyDescent="0.35">
      <c r="A992" s="7" t="s">
        <v>2981</v>
      </c>
      <c r="B992" s="7" t="s">
        <v>2982</v>
      </c>
      <c r="C992" s="7" t="s">
        <v>41</v>
      </c>
      <c r="D992" s="7" t="s">
        <v>2983</v>
      </c>
    </row>
    <row r="993" spans="1:4" ht="21" x14ac:dyDescent="0.35">
      <c r="A993" s="7" t="s">
        <v>2984</v>
      </c>
      <c r="B993" s="7" t="s">
        <v>2985</v>
      </c>
      <c r="C993" s="7" t="s">
        <v>31</v>
      </c>
      <c r="D993" s="7" t="s">
        <v>2986</v>
      </c>
    </row>
    <row r="994" spans="1:4" ht="21" x14ac:dyDescent="0.35">
      <c r="A994" s="7" t="s">
        <v>2987</v>
      </c>
      <c r="B994" s="7" t="s">
        <v>2988</v>
      </c>
      <c r="C994" s="7" t="s">
        <v>41</v>
      </c>
      <c r="D994" s="7" t="s">
        <v>2989</v>
      </c>
    </row>
    <row r="995" spans="1:4" ht="21" x14ac:dyDescent="0.35">
      <c r="A995" s="7" t="s">
        <v>2990</v>
      </c>
      <c r="B995" s="7" t="s">
        <v>2991</v>
      </c>
      <c r="C995" s="7" t="s">
        <v>6</v>
      </c>
      <c r="D995" s="7" t="s">
        <v>2992</v>
      </c>
    </row>
    <row r="996" spans="1:4" ht="21" x14ac:dyDescent="0.35">
      <c r="A996" s="7" t="s">
        <v>2993</v>
      </c>
      <c r="B996" s="7" t="s">
        <v>2994</v>
      </c>
      <c r="C996" s="7" t="s">
        <v>27</v>
      </c>
      <c r="D996" s="7" t="s">
        <v>2995</v>
      </c>
    </row>
    <row r="997" spans="1:4" ht="21" x14ac:dyDescent="0.35">
      <c r="A997" s="7" t="s">
        <v>2996</v>
      </c>
      <c r="B997" s="7" t="s">
        <v>2997</v>
      </c>
      <c r="C997" s="7" t="s">
        <v>6</v>
      </c>
      <c r="D997" s="7" t="s">
        <v>2998</v>
      </c>
    </row>
    <row r="998" spans="1:4" ht="21" x14ac:dyDescent="0.35">
      <c r="A998" s="7" t="s">
        <v>2999</v>
      </c>
      <c r="B998" s="7" t="s">
        <v>3000</v>
      </c>
      <c r="C998" s="7" t="s">
        <v>31</v>
      </c>
      <c r="D998" s="7" t="s">
        <v>3001</v>
      </c>
    </row>
    <row r="999" spans="1:4" ht="21" x14ac:dyDescent="0.35">
      <c r="A999" s="7" t="s">
        <v>3002</v>
      </c>
      <c r="B999" s="7" t="s">
        <v>3003</v>
      </c>
      <c r="C999" s="7" t="s">
        <v>27</v>
      </c>
      <c r="D999" s="7" t="s">
        <v>3004</v>
      </c>
    </row>
    <row r="1000" spans="1:4" ht="21" x14ac:dyDescent="0.35">
      <c r="A1000" s="7" t="s">
        <v>3005</v>
      </c>
      <c r="B1000" s="7" t="s">
        <v>3006</v>
      </c>
      <c r="C1000" s="7" t="s">
        <v>78</v>
      </c>
      <c r="D1000" s="7" t="s">
        <v>3007</v>
      </c>
    </row>
    <row r="1001" spans="1:4" ht="21" x14ac:dyDescent="0.35">
      <c r="A1001" s="7" t="s">
        <v>3008</v>
      </c>
      <c r="B1001" s="7" t="s">
        <v>3009</v>
      </c>
      <c r="C1001" s="7" t="s">
        <v>78</v>
      </c>
      <c r="D1001" s="7" t="s">
        <v>3010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501"/>
  <sheetViews>
    <sheetView workbookViewId="0">
      <selection activeCell="D2" sqref="D2"/>
    </sheetView>
  </sheetViews>
  <sheetFormatPr defaultRowHeight="18.75" x14ac:dyDescent="0.3"/>
  <cols>
    <col min="1" max="1" width="13.7109375" style="9" bestFit="1" customWidth="1"/>
    <col min="2" max="2" width="18.5703125" style="9" bestFit="1" customWidth="1"/>
    <col min="3" max="3" width="13.140625" style="9" bestFit="1" customWidth="1"/>
    <col min="4" max="4" width="17" style="14" bestFit="1" customWidth="1"/>
    <col min="5" max="16384" width="9.140625" style="2"/>
  </cols>
  <sheetData>
    <row r="1" spans="1:4" ht="21" x14ac:dyDescent="0.35">
      <c r="A1" s="6" t="s">
        <v>3011</v>
      </c>
      <c r="B1" s="6" t="s">
        <v>3012</v>
      </c>
      <c r="C1" s="6" t="s">
        <v>3013</v>
      </c>
      <c r="D1" s="12" t="s">
        <v>3014</v>
      </c>
    </row>
    <row r="2" spans="1:4" ht="21" x14ac:dyDescent="0.35">
      <c r="A2" s="7" t="s">
        <v>3015</v>
      </c>
      <c r="B2" s="7" t="s">
        <v>3016</v>
      </c>
      <c r="C2" s="7" t="s">
        <v>3017</v>
      </c>
      <c r="D2" s="13">
        <v>132.41999999999999</v>
      </c>
    </row>
    <row r="3" spans="1:4" ht="21" x14ac:dyDescent="0.35">
      <c r="A3" s="7" t="s">
        <v>3018</v>
      </c>
      <c r="B3" s="7" t="s">
        <v>3019</v>
      </c>
      <c r="C3" s="7" t="s">
        <v>3020</v>
      </c>
      <c r="D3" s="13">
        <v>329.07</v>
      </c>
    </row>
    <row r="4" spans="1:4" ht="21" x14ac:dyDescent="0.35">
      <c r="A4" s="7" t="s">
        <v>3021</v>
      </c>
      <c r="B4" s="7" t="s">
        <v>3022</v>
      </c>
      <c r="C4" s="7" t="s">
        <v>3020</v>
      </c>
      <c r="D4" s="13">
        <v>118.82</v>
      </c>
    </row>
    <row r="5" spans="1:4" ht="21" x14ac:dyDescent="0.35">
      <c r="A5" s="7" t="s">
        <v>3023</v>
      </c>
      <c r="B5" s="7" t="s">
        <v>3024</v>
      </c>
      <c r="C5" s="7" t="s">
        <v>3020</v>
      </c>
      <c r="D5" s="13">
        <v>433.89</v>
      </c>
    </row>
    <row r="6" spans="1:4" ht="21" x14ac:dyDescent="0.35">
      <c r="A6" s="7" t="s">
        <v>3025</v>
      </c>
      <c r="B6" s="7" t="s">
        <v>3026</v>
      </c>
      <c r="C6" s="7" t="s">
        <v>3017</v>
      </c>
      <c r="D6" s="13">
        <v>361.07</v>
      </c>
    </row>
    <row r="7" spans="1:4" ht="21" x14ac:dyDescent="0.35">
      <c r="A7" s="7" t="s">
        <v>3027</v>
      </c>
      <c r="B7" s="7" t="s">
        <v>3028</v>
      </c>
      <c r="C7" s="7" t="s">
        <v>3029</v>
      </c>
      <c r="D7" s="13">
        <v>209.76</v>
      </c>
    </row>
    <row r="8" spans="1:4" ht="21" x14ac:dyDescent="0.35">
      <c r="A8" s="7" t="s">
        <v>3030</v>
      </c>
      <c r="B8" s="7" t="s">
        <v>3031</v>
      </c>
      <c r="C8" s="7" t="s">
        <v>3029</v>
      </c>
      <c r="D8" s="13">
        <v>15.96</v>
      </c>
    </row>
    <row r="9" spans="1:4" ht="21" x14ac:dyDescent="0.35">
      <c r="A9" s="7" t="s">
        <v>3032</v>
      </c>
      <c r="B9" s="7" t="s">
        <v>3033</v>
      </c>
      <c r="C9" s="7" t="s">
        <v>3020</v>
      </c>
      <c r="D9" s="13">
        <v>208.46</v>
      </c>
    </row>
    <row r="10" spans="1:4" ht="21" x14ac:dyDescent="0.35">
      <c r="A10" s="7" t="s">
        <v>3034</v>
      </c>
      <c r="B10" s="7" t="s">
        <v>3035</v>
      </c>
      <c r="C10" s="7" t="s">
        <v>3036</v>
      </c>
      <c r="D10" s="13">
        <v>123.43</v>
      </c>
    </row>
    <row r="11" spans="1:4" ht="21" x14ac:dyDescent="0.35">
      <c r="A11" s="7" t="s">
        <v>3037</v>
      </c>
      <c r="B11" s="7" t="s">
        <v>3038</v>
      </c>
      <c r="C11" s="7" t="s">
        <v>3036</v>
      </c>
      <c r="D11" s="13">
        <v>34.07</v>
      </c>
    </row>
    <row r="12" spans="1:4" ht="21" x14ac:dyDescent="0.35">
      <c r="A12" s="7" t="s">
        <v>3039</v>
      </c>
      <c r="B12" s="7" t="s">
        <v>3040</v>
      </c>
      <c r="C12" s="7" t="s">
        <v>3017</v>
      </c>
      <c r="D12" s="13">
        <v>146.18</v>
      </c>
    </row>
    <row r="13" spans="1:4" ht="21" x14ac:dyDescent="0.35">
      <c r="A13" s="7" t="s">
        <v>3041</v>
      </c>
      <c r="B13" s="7" t="s">
        <v>3042</v>
      </c>
      <c r="C13" s="7" t="s">
        <v>3017</v>
      </c>
      <c r="D13" s="13">
        <v>446.34</v>
      </c>
    </row>
    <row r="14" spans="1:4" ht="21" x14ac:dyDescent="0.35">
      <c r="A14" s="7" t="s">
        <v>3043</v>
      </c>
      <c r="B14" s="7" t="s">
        <v>3044</v>
      </c>
      <c r="C14" s="7" t="s">
        <v>3036</v>
      </c>
      <c r="D14" s="13">
        <v>137.05000000000001</v>
      </c>
    </row>
    <row r="15" spans="1:4" ht="21" x14ac:dyDescent="0.35">
      <c r="A15" s="7" t="s">
        <v>3045</v>
      </c>
      <c r="B15" s="7" t="s">
        <v>3046</v>
      </c>
      <c r="C15" s="7" t="s">
        <v>3036</v>
      </c>
      <c r="D15" s="13">
        <v>444.9</v>
      </c>
    </row>
    <row r="16" spans="1:4" ht="21" x14ac:dyDescent="0.35">
      <c r="A16" s="7" t="s">
        <v>3047</v>
      </c>
      <c r="B16" s="7" t="s">
        <v>3048</v>
      </c>
      <c r="C16" s="7" t="s">
        <v>3049</v>
      </c>
      <c r="D16" s="13">
        <v>18.66</v>
      </c>
    </row>
    <row r="17" spans="1:4" ht="21" x14ac:dyDescent="0.35">
      <c r="A17" s="7" t="s">
        <v>3050</v>
      </c>
      <c r="B17" s="7" t="s">
        <v>3051</v>
      </c>
      <c r="C17" s="7" t="s">
        <v>3049</v>
      </c>
      <c r="D17" s="13">
        <v>373.12</v>
      </c>
    </row>
    <row r="18" spans="1:4" ht="21" x14ac:dyDescent="0.35">
      <c r="A18" s="7" t="s">
        <v>3052</v>
      </c>
      <c r="B18" s="7" t="s">
        <v>3053</v>
      </c>
      <c r="C18" s="7" t="s">
        <v>3049</v>
      </c>
      <c r="D18" s="13">
        <v>295.07</v>
      </c>
    </row>
    <row r="19" spans="1:4" ht="21" x14ac:dyDescent="0.35">
      <c r="A19" s="7" t="s">
        <v>3054</v>
      </c>
      <c r="B19" s="7" t="s">
        <v>3055</v>
      </c>
      <c r="C19" s="7" t="s">
        <v>3029</v>
      </c>
      <c r="D19" s="13">
        <v>429.72</v>
      </c>
    </row>
    <row r="20" spans="1:4" ht="21" x14ac:dyDescent="0.35">
      <c r="A20" s="7" t="s">
        <v>3056</v>
      </c>
      <c r="B20" s="7" t="s">
        <v>3057</v>
      </c>
      <c r="C20" s="7" t="s">
        <v>3036</v>
      </c>
      <c r="D20" s="13">
        <v>370.52</v>
      </c>
    </row>
    <row r="21" spans="1:4" ht="21" x14ac:dyDescent="0.35">
      <c r="A21" s="7" t="s">
        <v>3058</v>
      </c>
      <c r="B21" s="7" t="s">
        <v>3059</v>
      </c>
      <c r="C21" s="7" t="s">
        <v>3049</v>
      </c>
      <c r="D21" s="13">
        <v>29.46</v>
      </c>
    </row>
    <row r="22" spans="1:4" ht="21" x14ac:dyDescent="0.35">
      <c r="A22" s="7" t="s">
        <v>3060</v>
      </c>
      <c r="B22" s="7" t="s">
        <v>3061</v>
      </c>
      <c r="C22" s="7" t="s">
        <v>3049</v>
      </c>
      <c r="D22" s="13">
        <v>260.58999999999997</v>
      </c>
    </row>
    <row r="23" spans="1:4" ht="21" x14ac:dyDescent="0.35">
      <c r="A23" s="7" t="s">
        <v>3062</v>
      </c>
      <c r="B23" s="7" t="s">
        <v>3063</v>
      </c>
      <c r="C23" s="7" t="s">
        <v>3029</v>
      </c>
      <c r="D23" s="13">
        <v>54.63</v>
      </c>
    </row>
    <row r="24" spans="1:4" ht="21" x14ac:dyDescent="0.35">
      <c r="A24" s="7" t="s">
        <v>3064</v>
      </c>
      <c r="B24" s="7" t="s">
        <v>3065</v>
      </c>
      <c r="C24" s="7" t="s">
        <v>3036</v>
      </c>
      <c r="D24" s="13">
        <v>87.78</v>
      </c>
    </row>
    <row r="25" spans="1:4" ht="21" x14ac:dyDescent="0.35">
      <c r="A25" s="7" t="s">
        <v>3066</v>
      </c>
      <c r="B25" s="7" t="s">
        <v>3067</v>
      </c>
      <c r="C25" s="7" t="s">
        <v>3020</v>
      </c>
      <c r="D25" s="13">
        <v>299.97000000000003</v>
      </c>
    </row>
    <row r="26" spans="1:4" ht="21" x14ac:dyDescent="0.35">
      <c r="A26" s="7" t="s">
        <v>3068</v>
      </c>
      <c r="B26" s="7" t="s">
        <v>3069</v>
      </c>
      <c r="C26" s="7" t="s">
        <v>3036</v>
      </c>
      <c r="D26" s="13">
        <v>130.02000000000001</v>
      </c>
    </row>
    <row r="27" spans="1:4" ht="21" x14ac:dyDescent="0.35">
      <c r="A27" s="7" t="s">
        <v>3070</v>
      </c>
      <c r="B27" s="7" t="s">
        <v>3071</v>
      </c>
      <c r="C27" s="7" t="s">
        <v>3029</v>
      </c>
      <c r="D27" s="13">
        <v>101.84</v>
      </c>
    </row>
    <row r="28" spans="1:4" ht="21" x14ac:dyDescent="0.35">
      <c r="A28" s="7" t="s">
        <v>3072</v>
      </c>
      <c r="B28" s="7" t="s">
        <v>3073</v>
      </c>
      <c r="C28" s="7" t="s">
        <v>3017</v>
      </c>
      <c r="D28" s="13">
        <v>79.72</v>
      </c>
    </row>
    <row r="29" spans="1:4" ht="21" x14ac:dyDescent="0.35">
      <c r="A29" s="7" t="s">
        <v>3074</v>
      </c>
      <c r="B29" s="7" t="s">
        <v>3075</v>
      </c>
      <c r="C29" s="7" t="s">
        <v>3036</v>
      </c>
      <c r="D29" s="13">
        <v>288.82</v>
      </c>
    </row>
    <row r="30" spans="1:4" ht="21" x14ac:dyDescent="0.35">
      <c r="A30" s="7" t="s">
        <v>3076</v>
      </c>
      <c r="B30" s="7" t="s">
        <v>3077</v>
      </c>
      <c r="C30" s="7" t="s">
        <v>3036</v>
      </c>
      <c r="D30" s="13">
        <v>371</v>
      </c>
    </row>
    <row r="31" spans="1:4" ht="21" x14ac:dyDescent="0.35">
      <c r="A31" s="7" t="s">
        <v>3078</v>
      </c>
      <c r="B31" s="7" t="s">
        <v>3079</v>
      </c>
      <c r="C31" s="7" t="s">
        <v>3036</v>
      </c>
      <c r="D31" s="13">
        <v>252.8</v>
      </c>
    </row>
    <row r="32" spans="1:4" ht="21" x14ac:dyDescent="0.35">
      <c r="A32" s="7" t="s">
        <v>3080</v>
      </c>
      <c r="B32" s="7" t="s">
        <v>3081</v>
      </c>
      <c r="C32" s="7" t="s">
        <v>3020</v>
      </c>
      <c r="D32" s="13">
        <v>328.71</v>
      </c>
    </row>
    <row r="33" spans="1:4" ht="21" x14ac:dyDescent="0.35">
      <c r="A33" s="7" t="s">
        <v>3082</v>
      </c>
      <c r="B33" s="7" t="s">
        <v>3083</v>
      </c>
      <c r="C33" s="7" t="s">
        <v>3020</v>
      </c>
      <c r="D33" s="13">
        <v>8.1</v>
      </c>
    </row>
    <row r="34" spans="1:4" ht="21" x14ac:dyDescent="0.35">
      <c r="A34" s="7" t="s">
        <v>3084</v>
      </c>
      <c r="B34" s="7" t="s">
        <v>3085</v>
      </c>
      <c r="C34" s="7" t="s">
        <v>3049</v>
      </c>
      <c r="D34" s="13">
        <v>361.38</v>
      </c>
    </row>
    <row r="35" spans="1:4" ht="21" x14ac:dyDescent="0.35">
      <c r="A35" s="7" t="s">
        <v>3086</v>
      </c>
      <c r="B35" s="7" t="s">
        <v>3087</v>
      </c>
      <c r="C35" s="7" t="s">
        <v>3017</v>
      </c>
      <c r="D35" s="13">
        <v>127.55</v>
      </c>
    </row>
    <row r="36" spans="1:4" ht="21" x14ac:dyDescent="0.35">
      <c r="A36" s="7" t="s">
        <v>3088</v>
      </c>
      <c r="B36" s="7" t="s">
        <v>3089</v>
      </c>
      <c r="C36" s="7" t="s">
        <v>3020</v>
      </c>
      <c r="D36" s="13">
        <v>337.49</v>
      </c>
    </row>
    <row r="37" spans="1:4" ht="21" x14ac:dyDescent="0.35">
      <c r="A37" s="7" t="s">
        <v>3090</v>
      </c>
      <c r="B37" s="7" t="s">
        <v>3091</v>
      </c>
      <c r="C37" s="7" t="s">
        <v>3049</v>
      </c>
      <c r="D37" s="13">
        <v>277.38</v>
      </c>
    </row>
    <row r="38" spans="1:4" ht="21" x14ac:dyDescent="0.35">
      <c r="A38" s="7" t="s">
        <v>3092</v>
      </c>
      <c r="B38" s="7" t="s">
        <v>3093</v>
      </c>
      <c r="C38" s="7" t="s">
        <v>3029</v>
      </c>
      <c r="D38" s="13">
        <v>373.97</v>
      </c>
    </row>
    <row r="39" spans="1:4" ht="21" x14ac:dyDescent="0.35">
      <c r="A39" s="7" t="s">
        <v>3094</v>
      </c>
      <c r="B39" s="7" t="s">
        <v>3095</v>
      </c>
      <c r="C39" s="7" t="s">
        <v>3017</v>
      </c>
      <c r="D39" s="13">
        <v>130.30000000000001</v>
      </c>
    </row>
    <row r="40" spans="1:4" ht="21" x14ac:dyDescent="0.35">
      <c r="A40" s="7" t="s">
        <v>3096</v>
      </c>
      <c r="B40" s="7" t="s">
        <v>3097</v>
      </c>
      <c r="C40" s="7" t="s">
        <v>3036</v>
      </c>
      <c r="D40" s="13">
        <v>169.91</v>
      </c>
    </row>
    <row r="41" spans="1:4" ht="21" x14ac:dyDescent="0.35">
      <c r="A41" s="7" t="s">
        <v>3098</v>
      </c>
      <c r="B41" s="7" t="s">
        <v>3099</v>
      </c>
      <c r="C41" s="7" t="s">
        <v>3036</v>
      </c>
      <c r="D41" s="13">
        <v>473.93</v>
      </c>
    </row>
    <row r="42" spans="1:4" ht="21" x14ac:dyDescent="0.35">
      <c r="A42" s="7" t="s">
        <v>3100</v>
      </c>
      <c r="B42" s="7" t="s">
        <v>3101</v>
      </c>
      <c r="C42" s="7" t="s">
        <v>3020</v>
      </c>
      <c r="D42" s="13">
        <v>221.7</v>
      </c>
    </row>
    <row r="43" spans="1:4" ht="21" x14ac:dyDescent="0.35">
      <c r="A43" s="7" t="s">
        <v>3102</v>
      </c>
      <c r="B43" s="7" t="s">
        <v>3103</v>
      </c>
      <c r="C43" s="7" t="s">
        <v>3029</v>
      </c>
      <c r="D43" s="13">
        <v>167.89</v>
      </c>
    </row>
    <row r="44" spans="1:4" ht="21" x14ac:dyDescent="0.35">
      <c r="A44" s="7" t="s">
        <v>3104</v>
      </c>
      <c r="B44" s="7" t="s">
        <v>3105</v>
      </c>
      <c r="C44" s="7" t="s">
        <v>3036</v>
      </c>
      <c r="D44" s="13">
        <v>341.08</v>
      </c>
    </row>
    <row r="45" spans="1:4" ht="21" x14ac:dyDescent="0.35">
      <c r="A45" s="7" t="s">
        <v>3106</v>
      </c>
      <c r="B45" s="7" t="s">
        <v>3107</v>
      </c>
      <c r="C45" s="7" t="s">
        <v>3029</v>
      </c>
      <c r="D45" s="13">
        <v>397.14</v>
      </c>
    </row>
    <row r="46" spans="1:4" ht="21" x14ac:dyDescent="0.35">
      <c r="A46" s="7" t="s">
        <v>3108</v>
      </c>
      <c r="B46" s="7" t="s">
        <v>3109</v>
      </c>
      <c r="C46" s="7" t="s">
        <v>3017</v>
      </c>
      <c r="D46" s="13">
        <v>303.95999999999998</v>
      </c>
    </row>
    <row r="47" spans="1:4" ht="21" x14ac:dyDescent="0.35">
      <c r="A47" s="7" t="s">
        <v>3110</v>
      </c>
      <c r="B47" s="7" t="s">
        <v>3111</v>
      </c>
      <c r="C47" s="7" t="s">
        <v>3020</v>
      </c>
      <c r="D47" s="13">
        <v>416.21</v>
      </c>
    </row>
    <row r="48" spans="1:4" ht="21" x14ac:dyDescent="0.35">
      <c r="A48" s="7" t="s">
        <v>3112</v>
      </c>
      <c r="B48" s="7" t="s">
        <v>3113</v>
      </c>
      <c r="C48" s="7" t="s">
        <v>3049</v>
      </c>
      <c r="D48" s="13">
        <v>91.66</v>
      </c>
    </row>
    <row r="49" spans="1:4" ht="21" x14ac:dyDescent="0.35">
      <c r="A49" s="7" t="s">
        <v>3114</v>
      </c>
      <c r="B49" s="7" t="s">
        <v>3115</v>
      </c>
      <c r="C49" s="7" t="s">
        <v>3017</v>
      </c>
      <c r="D49" s="13">
        <v>491.97</v>
      </c>
    </row>
    <row r="50" spans="1:4" ht="21" x14ac:dyDescent="0.35">
      <c r="A50" s="7" t="s">
        <v>3116</v>
      </c>
      <c r="B50" s="7" t="s">
        <v>3117</v>
      </c>
      <c r="C50" s="7" t="s">
        <v>3029</v>
      </c>
      <c r="D50" s="13">
        <v>497.06</v>
      </c>
    </row>
    <row r="51" spans="1:4" ht="21" x14ac:dyDescent="0.35">
      <c r="A51" s="7" t="s">
        <v>3118</v>
      </c>
      <c r="B51" s="7" t="s">
        <v>3119</v>
      </c>
      <c r="C51" s="7" t="s">
        <v>3020</v>
      </c>
      <c r="D51" s="13">
        <v>165.32</v>
      </c>
    </row>
    <row r="52" spans="1:4" ht="21" x14ac:dyDescent="0.35">
      <c r="A52" s="7" t="s">
        <v>3120</v>
      </c>
      <c r="B52" s="7" t="s">
        <v>3121</v>
      </c>
      <c r="C52" s="7" t="s">
        <v>3036</v>
      </c>
      <c r="D52" s="13">
        <v>52.36</v>
      </c>
    </row>
    <row r="53" spans="1:4" ht="21" x14ac:dyDescent="0.35">
      <c r="A53" s="7" t="s">
        <v>3122</v>
      </c>
      <c r="B53" s="7" t="s">
        <v>3123</v>
      </c>
      <c r="C53" s="7" t="s">
        <v>3020</v>
      </c>
      <c r="D53" s="13">
        <v>87.7</v>
      </c>
    </row>
    <row r="54" spans="1:4" ht="21" x14ac:dyDescent="0.35">
      <c r="A54" s="7" t="s">
        <v>3124</v>
      </c>
      <c r="B54" s="7" t="s">
        <v>3125</v>
      </c>
      <c r="C54" s="7" t="s">
        <v>3029</v>
      </c>
      <c r="D54" s="13">
        <v>355.03</v>
      </c>
    </row>
    <row r="55" spans="1:4" ht="21" x14ac:dyDescent="0.35">
      <c r="A55" s="7" t="s">
        <v>3126</v>
      </c>
      <c r="B55" s="7" t="s">
        <v>3127</v>
      </c>
      <c r="C55" s="7" t="s">
        <v>3036</v>
      </c>
      <c r="D55" s="13">
        <v>374.87</v>
      </c>
    </row>
    <row r="56" spans="1:4" ht="21" x14ac:dyDescent="0.35">
      <c r="A56" s="7" t="s">
        <v>3128</v>
      </c>
      <c r="B56" s="7" t="s">
        <v>3129</v>
      </c>
      <c r="C56" s="7" t="s">
        <v>3049</v>
      </c>
      <c r="D56" s="13">
        <v>275.27</v>
      </c>
    </row>
    <row r="57" spans="1:4" ht="21" x14ac:dyDescent="0.35">
      <c r="A57" s="7" t="s">
        <v>3130</v>
      </c>
      <c r="B57" s="7" t="s">
        <v>3131</v>
      </c>
      <c r="C57" s="7" t="s">
        <v>3036</v>
      </c>
      <c r="D57" s="13">
        <v>223.21</v>
      </c>
    </row>
    <row r="58" spans="1:4" ht="21" x14ac:dyDescent="0.35">
      <c r="A58" s="7" t="s">
        <v>3132</v>
      </c>
      <c r="B58" s="7" t="s">
        <v>3133</v>
      </c>
      <c r="C58" s="7" t="s">
        <v>3036</v>
      </c>
      <c r="D58" s="13">
        <v>404.28</v>
      </c>
    </row>
    <row r="59" spans="1:4" ht="21" x14ac:dyDescent="0.35">
      <c r="A59" s="7" t="s">
        <v>3134</v>
      </c>
      <c r="B59" s="7" t="s">
        <v>3135</v>
      </c>
      <c r="C59" s="7" t="s">
        <v>3036</v>
      </c>
      <c r="D59" s="13">
        <v>430.37</v>
      </c>
    </row>
    <row r="60" spans="1:4" ht="21" x14ac:dyDescent="0.35">
      <c r="A60" s="7" t="s">
        <v>3136</v>
      </c>
      <c r="B60" s="7" t="s">
        <v>3137</v>
      </c>
      <c r="C60" s="7" t="s">
        <v>3029</v>
      </c>
      <c r="D60" s="13">
        <v>399.42</v>
      </c>
    </row>
    <row r="61" spans="1:4" ht="21" x14ac:dyDescent="0.35">
      <c r="A61" s="7" t="s">
        <v>3138</v>
      </c>
      <c r="B61" s="7" t="s">
        <v>3139</v>
      </c>
      <c r="C61" s="7" t="s">
        <v>3029</v>
      </c>
      <c r="D61" s="13">
        <v>427.81</v>
      </c>
    </row>
    <row r="62" spans="1:4" ht="21" x14ac:dyDescent="0.35">
      <c r="A62" s="7" t="s">
        <v>3140</v>
      </c>
      <c r="B62" s="7" t="s">
        <v>3141</v>
      </c>
      <c r="C62" s="7" t="s">
        <v>3017</v>
      </c>
      <c r="D62" s="13">
        <v>309.57</v>
      </c>
    </row>
    <row r="63" spans="1:4" ht="21" x14ac:dyDescent="0.35">
      <c r="A63" s="7" t="s">
        <v>3142</v>
      </c>
      <c r="B63" s="7" t="s">
        <v>3143</v>
      </c>
      <c r="C63" s="7" t="s">
        <v>3017</v>
      </c>
      <c r="D63" s="13">
        <v>155.57</v>
      </c>
    </row>
    <row r="64" spans="1:4" ht="21" x14ac:dyDescent="0.35">
      <c r="A64" s="7" t="s">
        <v>3144</v>
      </c>
      <c r="B64" s="7" t="s">
        <v>3145</v>
      </c>
      <c r="C64" s="7" t="s">
        <v>3036</v>
      </c>
      <c r="D64" s="13">
        <v>145.75</v>
      </c>
    </row>
    <row r="65" spans="1:4" ht="21" x14ac:dyDescent="0.35">
      <c r="A65" s="7" t="s">
        <v>3146</v>
      </c>
      <c r="B65" s="7" t="s">
        <v>3147</v>
      </c>
      <c r="C65" s="7" t="s">
        <v>3049</v>
      </c>
      <c r="D65" s="13">
        <v>165.15</v>
      </c>
    </row>
    <row r="66" spans="1:4" ht="21" x14ac:dyDescent="0.35">
      <c r="A66" s="7" t="s">
        <v>3148</v>
      </c>
      <c r="B66" s="7" t="s">
        <v>3149</v>
      </c>
      <c r="C66" s="7" t="s">
        <v>3020</v>
      </c>
      <c r="D66" s="13">
        <v>161.29</v>
      </c>
    </row>
    <row r="67" spans="1:4" ht="21" x14ac:dyDescent="0.35">
      <c r="A67" s="7" t="s">
        <v>3150</v>
      </c>
      <c r="B67" s="7" t="s">
        <v>3151</v>
      </c>
      <c r="C67" s="7" t="s">
        <v>3017</v>
      </c>
      <c r="D67" s="13">
        <v>116.05</v>
      </c>
    </row>
    <row r="68" spans="1:4" ht="21" x14ac:dyDescent="0.35">
      <c r="A68" s="7" t="s">
        <v>3152</v>
      </c>
      <c r="B68" s="7" t="s">
        <v>3153</v>
      </c>
      <c r="C68" s="7" t="s">
        <v>3036</v>
      </c>
      <c r="D68" s="13">
        <v>163.72</v>
      </c>
    </row>
    <row r="69" spans="1:4" ht="21" x14ac:dyDescent="0.35">
      <c r="A69" s="7" t="s">
        <v>3154</v>
      </c>
      <c r="B69" s="7" t="s">
        <v>3155</v>
      </c>
      <c r="C69" s="7" t="s">
        <v>3029</v>
      </c>
      <c r="D69" s="13">
        <v>292.60000000000002</v>
      </c>
    </row>
    <row r="70" spans="1:4" ht="21" x14ac:dyDescent="0.35">
      <c r="A70" s="7" t="s">
        <v>3156</v>
      </c>
      <c r="B70" s="7" t="s">
        <v>3157</v>
      </c>
      <c r="C70" s="7" t="s">
        <v>3036</v>
      </c>
      <c r="D70" s="13">
        <v>89.9</v>
      </c>
    </row>
    <row r="71" spans="1:4" ht="21" x14ac:dyDescent="0.35">
      <c r="A71" s="7" t="s">
        <v>3158</v>
      </c>
      <c r="B71" s="7" t="s">
        <v>3159</v>
      </c>
      <c r="C71" s="7" t="s">
        <v>3036</v>
      </c>
      <c r="D71" s="13">
        <v>39.36</v>
      </c>
    </row>
    <row r="72" spans="1:4" ht="21" x14ac:dyDescent="0.35">
      <c r="A72" s="7" t="s">
        <v>3160</v>
      </c>
      <c r="B72" s="7" t="s">
        <v>3161</v>
      </c>
      <c r="C72" s="7" t="s">
        <v>3029</v>
      </c>
      <c r="D72" s="13">
        <v>52.03</v>
      </c>
    </row>
    <row r="73" spans="1:4" ht="21" x14ac:dyDescent="0.35">
      <c r="A73" s="7" t="s">
        <v>3162</v>
      </c>
      <c r="B73" s="7" t="s">
        <v>3163</v>
      </c>
      <c r="C73" s="7" t="s">
        <v>3036</v>
      </c>
      <c r="D73" s="13">
        <v>99.24</v>
      </c>
    </row>
    <row r="74" spans="1:4" ht="21" x14ac:dyDescent="0.35">
      <c r="A74" s="7" t="s">
        <v>3164</v>
      </c>
      <c r="B74" s="7" t="s">
        <v>3165</v>
      </c>
      <c r="C74" s="7" t="s">
        <v>3029</v>
      </c>
      <c r="D74" s="13">
        <v>416.02</v>
      </c>
    </row>
    <row r="75" spans="1:4" ht="21" x14ac:dyDescent="0.35">
      <c r="A75" s="7" t="s">
        <v>3166</v>
      </c>
      <c r="B75" s="7" t="s">
        <v>3167</v>
      </c>
      <c r="C75" s="7" t="s">
        <v>3020</v>
      </c>
      <c r="D75" s="13">
        <v>351.22</v>
      </c>
    </row>
    <row r="76" spans="1:4" ht="21" x14ac:dyDescent="0.35">
      <c r="A76" s="7" t="s">
        <v>3168</v>
      </c>
      <c r="B76" s="7" t="s">
        <v>3169</v>
      </c>
      <c r="C76" s="7" t="s">
        <v>3036</v>
      </c>
      <c r="D76" s="13">
        <v>411.09</v>
      </c>
    </row>
    <row r="77" spans="1:4" ht="21" x14ac:dyDescent="0.35">
      <c r="A77" s="7" t="s">
        <v>3170</v>
      </c>
      <c r="B77" s="7" t="s">
        <v>3171</v>
      </c>
      <c r="C77" s="7" t="s">
        <v>3036</v>
      </c>
      <c r="D77" s="13">
        <v>29.25</v>
      </c>
    </row>
    <row r="78" spans="1:4" ht="21" x14ac:dyDescent="0.35">
      <c r="A78" s="7" t="s">
        <v>3172</v>
      </c>
      <c r="B78" s="7" t="s">
        <v>3173</v>
      </c>
      <c r="C78" s="7" t="s">
        <v>3049</v>
      </c>
      <c r="D78" s="13">
        <v>258.61</v>
      </c>
    </row>
    <row r="79" spans="1:4" ht="21" x14ac:dyDescent="0.35">
      <c r="A79" s="7" t="s">
        <v>3174</v>
      </c>
      <c r="B79" s="7" t="s">
        <v>3175</v>
      </c>
      <c r="C79" s="7" t="s">
        <v>3036</v>
      </c>
      <c r="D79" s="13">
        <v>285.61</v>
      </c>
    </row>
    <row r="80" spans="1:4" ht="21" x14ac:dyDescent="0.35">
      <c r="A80" s="7" t="s">
        <v>3176</v>
      </c>
      <c r="B80" s="7" t="s">
        <v>3177</v>
      </c>
      <c r="C80" s="7" t="s">
        <v>3017</v>
      </c>
      <c r="D80" s="13">
        <v>331.74</v>
      </c>
    </row>
    <row r="81" spans="1:4" ht="21" x14ac:dyDescent="0.35">
      <c r="A81" s="7" t="s">
        <v>3178</v>
      </c>
      <c r="B81" s="7" t="s">
        <v>3179</v>
      </c>
      <c r="C81" s="7" t="s">
        <v>3036</v>
      </c>
      <c r="D81" s="13">
        <v>335.21</v>
      </c>
    </row>
    <row r="82" spans="1:4" ht="21" x14ac:dyDescent="0.35">
      <c r="A82" s="7" t="s">
        <v>3180</v>
      </c>
      <c r="B82" s="7" t="s">
        <v>3181</v>
      </c>
      <c r="C82" s="7" t="s">
        <v>3049</v>
      </c>
      <c r="D82" s="13">
        <v>420.85</v>
      </c>
    </row>
    <row r="83" spans="1:4" ht="21" x14ac:dyDescent="0.35">
      <c r="A83" s="7" t="s">
        <v>3182</v>
      </c>
      <c r="B83" s="7" t="s">
        <v>3183</v>
      </c>
      <c r="C83" s="7" t="s">
        <v>3036</v>
      </c>
      <c r="D83" s="13">
        <v>267.27</v>
      </c>
    </row>
    <row r="84" spans="1:4" ht="21" x14ac:dyDescent="0.35">
      <c r="A84" s="7" t="s">
        <v>3184</v>
      </c>
      <c r="B84" s="7" t="s">
        <v>3185</v>
      </c>
      <c r="C84" s="7" t="s">
        <v>3029</v>
      </c>
      <c r="D84" s="13">
        <v>453.79</v>
      </c>
    </row>
    <row r="85" spans="1:4" ht="21" x14ac:dyDescent="0.35">
      <c r="A85" s="7" t="s">
        <v>3186</v>
      </c>
      <c r="B85" s="7" t="s">
        <v>3187</v>
      </c>
      <c r="C85" s="7" t="s">
        <v>3029</v>
      </c>
      <c r="D85" s="13">
        <v>380.08</v>
      </c>
    </row>
    <row r="86" spans="1:4" ht="21" x14ac:dyDescent="0.35">
      <c r="A86" s="7" t="s">
        <v>3188</v>
      </c>
      <c r="B86" s="7" t="s">
        <v>3189</v>
      </c>
      <c r="C86" s="7" t="s">
        <v>3049</v>
      </c>
      <c r="D86" s="13">
        <v>185.41</v>
      </c>
    </row>
    <row r="87" spans="1:4" ht="21" x14ac:dyDescent="0.35">
      <c r="A87" s="7" t="s">
        <v>3190</v>
      </c>
      <c r="B87" s="7" t="s">
        <v>3191</v>
      </c>
      <c r="C87" s="7" t="s">
        <v>3036</v>
      </c>
      <c r="D87" s="13">
        <v>155.25</v>
      </c>
    </row>
    <row r="88" spans="1:4" ht="21" x14ac:dyDescent="0.35">
      <c r="A88" s="7" t="s">
        <v>3192</v>
      </c>
      <c r="B88" s="7" t="s">
        <v>3193</v>
      </c>
      <c r="C88" s="7" t="s">
        <v>3020</v>
      </c>
      <c r="D88" s="13">
        <v>467.48</v>
      </c>
    </row>
    <row r="89" spans="1:4" ht="21" x14ac:dyDescent="0.35">
      <c r="A89" s="7" t="s">
        <v>3194</v>
      </c>
      <c r="B89" s="7" t="s">
        <v>3195</v>
      </c>
      <c r="C89" s="7" t="s">
        <v>3020</v>
      </c>
      <c r="D89" s="13">
        <v>414.99</v>
      </c>
    </row>
    <row r="90" spans="1:4" ht="21" x14ac:dyDescent="0.35">
      <c r="A90" s="7" t="s">
        <v>3196</v>
      </c>
      <c r="B90" s="7" t="s">
        <v>3197</v>
      </c>
      <c r="C90" s="7" t="s">
        <v>3017</v>
      </c>
      <c r="D90" s="13">
        <v>343.18</v>
      </c>
    </row>
    <row r="91" spans="1:4" ht="21" x14ac:dyDescent="0.35">
      <c r="A91" s="7" t="s">
        <v>3198</v>
      </c>
      <c r="B91" s="7" t="s">
        <v>3199</v>
      </c>
      <c r="C91" s="7" t="s">
        <v>3017</v>
      </c>
      <c r="D91" s="13">
        <v>437.07</v>
      </c>
    </row>
    <row r="92" spans="1:4" ht="21" x14ac:dyDescent="0.35">
      <c r="A92" s="7" t="s">
        <v>3200</v>
      </c>
      <c r="B92" s="7" t="s">
        <v>3201</v>
      </c>
      <c r="C92" s="7" t="s">
        <v>3049</v>
      </c>
      <c r="D92" s="13">
        <v>341.55</v>
      </c>
    </row>
    <row r="93" spans="1:4" ht="21" x14ac:dyDescent="0.35">
      <c r="A93" s="7" t="s">
        <v>3202</v>
      </c>
      <c r="B93" s="7" t="s">
        <v>3203</v>
      </c>
      <c r="C93" s="7" t="s">
        <v>3020</v>
      </c>
      <c r="D93" s="13">
        <v>108.32</v>
      </c>
    </row>
    <row r="94" spans="1:4" ht="21" x14ac:dyDescent="0.35">
      <c r="A94" s="7" t="s">
        <v>3204</v>
      </c>
      <c r="B94" s="7" t="s">
        <v>3205</v>
      </c>
      <c r="C94" s="7" t="s">
        <v>3036</v>
      </c>
      <c r="D94" s="13">
        <v>105.02</v>
      </c>
    </row>
    <row r="95" spans="1:4" ht="21" x14ac:dyDescent="0.35">
      <c r="A95" s="7" t="s">
        <v>3206</v>
      </c>
      <c r="B95" s="7" t="s">
        <v>3207</v>
      </c>
      <c r="C95" s="7" t="s">
        <v>3049</v>
      </c>
      <c r="D95" s="13">
        <v>433.59</v>
      </c>
    </row>
    <row r="96" spans="1:4" ht="21" x14ac:dyDescent="0.35">
      <c r="A96" s="7" t="s">
        <v>3208</v>
      </c>
      <c r="B96" s="7" t="s">
        <v>3209</v>
      </c>
      <c r="C96" s="7" t="s">
        <v>3017</v>
      </c>
      <c r="D96" s="13">
        <v>423.35</v>
      </c>
    </row>
    <row r="97" spans="1:4" ht="21" x14ac:dyDescent="0.35">
      <c r="A97" s="7" t="s">
        <v>3210</v>
      </c>
      <c r="B97" s="7" t="s">
        <v>3211</v>
      </c>
      <c r="C97" s="7" t="s">
        <v>3029</v>
      </c>
      <c r="D97" s="13">
        <v>438.62</v>
      </c>
    </row>
    <row r="98" spans="1:4" ht="21" x14ac:dyDescent="0.35">
      <c r="A98" s="7" t="s">
        <v>3212</v>
      </c>
      <c r="B98" s="7" t="s">
        <v>3213</v>
      </c>
      <c r="C98" s="7" t="s">
        <v>3029</v>
      </c>
      <c r="D98" s="13">
        <v>15.26</v>
      </c>
    </row>
    <row r="99" spans="1:4" ht="21" x14ac:dyDescent="0.35">
      <c r="A99" s="7" t="s">
        <v>3214</v>
      </c>
      <c r="B99" s="7" t="s">
        <v>3215</v>
      </c>
      <c r="C99" s="7" t="s">
        <v>3036</v>
      </c>
      <c r="D99" s="13">
        <v>475.53</v>
      </c>
    </row>
    <row r="100" spans="1:4" ht="21" x14ac:dyDescent="0.35">
      <c r="A100" s="7" t="s">
        <v>3216</v>
      </c>
      <c r="B100" s="7" t="s">
        <v>3217</v>
      </c>
      <c r="C100" s="7" t="s">
        <v>3029</v>
      </c>
      <c r="D100" s="13">
        <v>245.71</v>
      </c>
    </row>
    <row r="101" spans="1:4" ht="21" x14ac:dyDescent="0.35">
      <c r="A101" s="7" t="s">
        <v>3218</v>
      </c>
      <c r="B101" s="7" t="s">
        <v>3219</v>
      </c>
      <c r="C101" s="7" t="s">
        <v>3020</v>
      </c>
      <c r="D101" s="13">
        <v>182.77</v>
      </c>
    </row>
    <row r="102" spans="1:4" ht="21" x14ac:dyDescent="0.35">
      <c r="A102" s="7" t="s">
        <v>3220</v>
      </c>
      <c r="B102" s="7" t="s">
        <v>3221</v>
      </c>
      <c r="C102" s="7" t="s">
        <v>3017</v>
      </c>
      <c r="D102" s="13">
        <v>14</v>
      </c>
    </row>
    <row r="103" spans="1:4" ht="21" x14ac:dyDescent="0.35">
      <c r="A103" s="7" t="s">
        <v>3222</v>
      </c>
      <c r="B103" s="7" t="s">
        <v>3223</v>
      </c>
      <c r="C103" s="7" t="s">
        <v>3017</v>
      </c>
      <c r="D103" s="13">
        <v>337.7</v>
      </c>
    </row>
    <row r="104" spans="1:4" ht="21" x14ac:dyDescent="0.35">
      <c r="A104" s="7" t="s">
        <v>3224</v>
      </c>
      <c r="B104" s="7" t="s">
        <v>3225</v>
      </c>
      <c r="C104" s="7" t="s">
        <v>3017</v>
      </c>
      <c r="D104" s="13">
        <v>121.3</v>
      </c>
    </row>
    <row r="105" spans="1:4" ht="21" x14ac:dyDescent="0.35">
      <c r="A105" s="7" t="s">
        <v>3226</v>
      </c>
      <c r="B105" s="7" t="s">
        <v>3227</v>
      </c>
      <c r="C105" s="7" t="s">
        <v>3036</v>
      </c>
      <c r="D105" s="13">
        <v>298.25</v>
      </c>
    </row>
    <row r="106" spans="1:4" ht="21" x14ac:dyDescent="0.35">
      <c r="A106" s="7" t="s">
        <v>3228</v>
      </c>
      <c r="B106" s="7" t="s">
        <v>3229</v>
      </c>
      <c r="C106" s="7" t="s">
        <v>3036</v>
      </c>
      <c r="D106" s="13">
        <v>482.01</v>
      </c>
    </row>
    <row r="107" spans="1:4" ht="21" x14ac:dyDescent="0.35">
      <c r="A107" s="7" t="s">
        <v>3230</v>
      </c>
      <c r="B107" s="7" t="s">
        <v>3231</v>
      </c>
      <c r="C107" s="7" t="s">
        <v>3049</v>
      </c>
      <c r="D107" s="13">
        <v>275.45</v>
      </c>
    </row>
    <row r="108" spans="1:4" ht="21" x14ac:dyDescent="0.35">
      <c r="A108" s="7" t="s">
        <v>3232</v>
      </c>
      <c r="B108" s="7" t="s">
        <v>3233</v>
      </c>
      <c r="C108" s="7" t="s">
        <v>3029</v>
      </c>
      <c r="D108" s="13">
        <v>158.88999999999999</v>
      </c>
    </row>
    <row r="109" spans="1:4" ht="21" x14ac:dyDescent="0.35">
      <c r="A109" s="7" t="s">
        <v>3234</v>
      </c>
      <c r="B109" s="7" t="s">
        <v>3235</v>
      </c>
      <c r="C109" s="7" t="s">
        <v>3029</v>
      </c>
      <c r="D109" s="13">
        <v>360.09</v>
      </c>
    </row>
    <row r="110" spans="1:4" ht="21" x14ac:dyDescent="0.35">
      <c r="A110" s="7" t="s">
        <v>3236</v>
      </c>
      <c r="B110" s="7" t="s">
        <v>3237</v>
      </c>
      <c r="C110" s="7" t="s">
        <v>3049</v>
      </c>
      <c r="D110" s="13">
        <v>396.14</v>
      </c>
    </row>
    <row r="111" spans="1:4" ht="21" x14ac:dyDescent="0.35">
      <c r="A111" s="7" t="s">
        <v>3238</v>
      </c>
      <c r="B111" s="7" t="s">
        <v>3239</v>
      </c>
      <c r="C111" s="7" t="s">
        <v>3020</v>
      </c>
      <c r="D111" s="13">
        <v>89.82</v>
      </c>
    </row>
    <row r="112" spans="1:4" ht="21" x14ac:dyDescent="0.35">
      <c r="A112" s="7" t="s">
        <v>3240</v>
      </c>
      <c r="B112" s="7" t="s">
        <v>3241</v>
      </c>
      <c r="C112" s="7" t="s">
        <v>3029</v>
      </c>
      <c r="D112" s="13">
        <v>150.41999999999999</v>
      </c>
    </row>
    <row r="113" spans="1:4" ht="21" x14ac:dyDescent="0.35">
      <c r="A113" s="7" t="s">
        <v>3242</v>
      </c>
      <c r="B113" s="7" t="s">
        <v>3243</v>
      </c>
      <c r="C113" s="7" t="s">
        <v>3036</v>
      </c>
      <c r="D113" s="13">
        <v>97.36</v>
      </c>
    </row>
    <row r="114" spans="1:4" ht="21" x14ac:dyDescent="0.35">
      <c r="A114" s="7" t="s">
        <v>3244</v>
      </c>
      <c r="B114" s="7" t="s">
        <v>3245</v>
      </c>
      <c r="C114" s="7" t="s">
        <v>3017</v>
      </c>
      <c r="D114" s="13">
        <v>286.05</v>
      </c>
    </row>
    <row r="115" spans="1:4" ht="21" x14ac:dyDescent="0.35">
      <c r="A115" s="7" t="s">
        <v>3246</v>
      </c>
      <c r="B115" s="7" t="s">
        <v>3247</v>
      </c>
      <c r="C115" s="7" t="s">
        <v>3036</v>
      </c>
      <c r="D115" s="13">
        <v>57.98</v>
      </c>
    </row>
    <row r="116" spans="1:4" ht="21" x14ac:dyDescent="0.35">
      <c r="A116" s="7" t="s">
        <v>3248</v>
      </c>
      <c r="B116" s="7" t="s">
        <v>3249</v>
      </c>
      <c r="C116" s="7" t="s">
        <v>3029</v>
      </c>
      <c r="D116" s="13">
        <v>267.57</v>
      </c>
    </row>
    <row r="117" spans="1:4" ht="21" x14ac:dyDescent="0.35">
      <c r="A117" s="7" t="s">
        <v>3250</v>
      </c>
      <c r="B117" s="7" t="s">
        <v>3251</v>
      </c>
      <c r="C117" s="7" t="s">
        <v>3029</v>
      </c>
      <c r="D117" s="13">
        <v>128.93</v>
      </c>
    </row>
    <row r="118" spans="1:4" ht="21" x14ac:dyDescent="0.35">
      <c r="A118" s="7" t="s">
        <v>3252</v>
      </c>
      <c r="B118" s="7" t="s">
        <v>3253</v>
      </c>
      <c r="C118" s="7" t="s">
        <v>3036</v>
      </c>
      <c r="D118" s="13">
        <v>240.71</v>
      </c>
    </row>
    <row r="119" spans="1:4" ht="21" x14ac:dyDescent="0.35">
      <c r="A119" s="7" t="s">
        <v>3254</v>
      </c>
      <c r="B119" s="7" t="s">
        <v>3255</v>
      </c>
      <c r="C119" s="7" t="s">
        <v>3036</v>
      </c>
      <c r="D119" s="13">
        <v>308.57</v>
      </c>
    </row>
    <row r="120" spans="1:4" ht="21" x14ac:dyDescent="0.35">
      <c r="A120" s="7" t="s">
        <v>3256</v>
      </c>
      <c r="B120" s="7" t="s">
        <v>3257</v>
      </c>
      <c r="C120" s="7" t="s">
        <v>3049</v>
      </c>
      <c r="D120" s="13">
        <v>280.58</v>
      </c>
    </row>
    <row r="121" spans="1:4" ht="21" x14ac:dyDescent="0.35">
      <c r="A121" s="7" t="s">
        <v>3258</v>
      </c>
      <c r="B121" s="7" t="s">
        <v>3259</v>
      </c>
      <c r="C121" s="7" t="s">
        <v>3029</v>
      </c>
      <c r="D121" s="13">
        <v>15.1</v>
      </c>
    </row>
    <row r="122" spans="1:4" ht="21" x14ac:dyDescent="0.35">
      <c r="A122" s="7" t="s">
        <v>3260</v>
      </c>
      <c r="B122" s="7" t="s">
        <v>3261</v>
      </c>
      <c r="C122" s="7" t="s">
        <v>3017</v>
      </c>
      <c r="D122" s="13">
        <v>170.01</v>
      </c>
    </row>
    <row r="123" spans="1:4" ht="21" x14ac:dyDescent="0.35">
      <c r="A123" s="7" t="s">
        <v>3262</v>
      </c>
      <c r="B123" s="7" t="s">
        <v>3263</v>
      </c>
      <c r="C123" s="7" t="s">
        <v>3036</v>
      </c>
      <c r="D123" s="13">
        <v>456.21</v>
      </c>
    </row>
    <row r="124" spans="1:4" ht="21" x14ac:dyDescent="0.35">
      <c r="A124" s="7" t="s">
        <v>3264</v>
      </c>
      <c r="B124" s="7" t="s">
        <v>3265</v>
      </c>
      <c r="C124" s="7" t="s">
        <v>3029</v>
      </c>
      <c r="D124" s="13">
        <v>181.58</v>
      </c>
    </row>
    <row r="125" spans="1:4" ht="21" x14ac:dyDescent="0.35">
      <c r="A125" s="7" t="s">
        <v>3266</v>
      </c>
      <c r="B125" s="7" t="s">
        <v>3267</v>
      </c>
      <c r="C125" s="7" t="s">
        <v>3017</v>
      </c>
      <c r="D125" s="13">
        <v>443.5</v>
      </c>
    </row>
    <row r="126" spans="1:4" ht="21" x14ac:dyDescent="0.35">
      <c r="A126" s="7" t="s">
        <v>3268</v>
      </c>
      <c r="B126" s="7" t="s">
        <v>3269</v>
      </c>
      <c r="C126" s="7" t="s">
        <v>3029</v>
      </c>
      <c r="D126" s="13">
        <v>335.22</v>
      </c>
    </row>
    <row r="127" spans="1:4" ht="21" x14ac:dyDescent="0.35">
      <c r="A127" s="7" t="s">
        <v>3270</v>
      </c>
      <c r="B127" s="7" t="s">
        <v>3271</v>
      </c>
      <c r="C127" s="7" t="s">
        <v>3020</v>
      </c>
      <c r="D127" s="13">
        <v>30.9</v>
      </c>
    </row>
    <row r="128" spans="1:4" ht="21" x14ac:dyDescent="0.35">
      <c r="A128" s="7" t="s">
        <v>3272</v>
      </c>
      <c r="B128" s="7" t="s">
        <v>3273</v>
      </c>
      <c r="C128" s="7" t="s">
        <v>3049</v>
      </c>
      <c r="D128" s="13">
        <v>344.25</v>
      </c>
    </row>
    <row r="129" spans="1:4" ht="21" x14ac:dyDescent="0.35">
      <c r="A129" s="7" t="s">
        <v>3274</v>
      </c>
      <c r="B129" s="7" t="s">
        <v>3275</v>
      </c>
      <c r="C129" s="7" t="s">
        <v>3020</v>
      </c>
      <c r="D129" s="13">
        <v>10.47</v>
      </c>
    </row>
    <row r="130" spans="1:4" ht="21" x14ac:dyDescent="0.35">
      <c r="A130" s="7" t="s">
        <v>3276</v>
      </c>
      <c r="B130" s="7" t="s">
        <v>3277</v>
      </c>
      <c r="C130" s="7" t="s">
        <v>3049</v>
      </c>
      <c r="D130" s="13">
        <v>237.44</v>
      </c>
    </row>
    <row r="131" spans="1:4" ht="21" x14ac:dyDescent="0.35">
      <c r="A131" s="7" t="s">
        <v>3278</v>
      </c>
      <c r="B131" s="7" t="s">
        <v>3279</v>
      </c>
      <c r="C131" s="7" t="s">
        <v>3017</v>
      </c>
      <c r="D131" s="13">
        <v>380.45</v>
      </c>
    </row>
    <row r="132" spans="1:4" ht="21" x14ac:dyDescent="0.35">
      <c r="A132" s="7" t="s">
        <v>3280</v>
      </c>
      <c r="B132" s="7" t="s">
        <v>3281</v>
      </c>
      <c r="C132" s="7" t="s">
        <v>3029</v>
      </c>
      <c r="D132" s="13">
        <v>38.93</v>
      </c>
    </row>
    <row r="133" spans="1:4" ht="21" x14ac:dyDescent="0.35">
      <c r="A133" s="7" t="s">
        <v>3282</v>
      </c>
      <c r="B133" s="7" t="s">
        <v>3283</v>
      </c>
      <c r="C133" s="7" t="s">
        <v>3029</v>
      </c>
      <c r="D133" s="13">
        <v>463.91</v>
      </c>
    </row>
    <row r="134" spans="1:4" ht="21" x14ac:dyDescent="0.35">
      <c r="A134" s="7" t="s">
        <v>3284</v>
      </c>
      <c r="B134" s="7" t="s">
        <v>3285</v>
      </c>
      <c r="C134" s="7" t="s">
        <v>3049</v>
      </c>
      <c r="D134" s="13">
        <v>122.16</v>
      </c>
    </row>
    <row r="135" spans="1:4" ht="21" x14ac:dyDescent="0.35">
      <c r="A135" s="7" t="s">
        <v>3286</v>
      </c>
      <c r="B135" s="7" t="s">
        <v>3287</v>
      </c>
      <c r="C135" s="7" t="s">
        <v>3036</v>
      </c>
      <c r="D135" s="13">
        <v>64.75</v>
      </c>
    </row>
    <row r="136" spans="1:4" ht="21" x14ac:dyDescent="0.35">
      <c r="A136" s="7" t="s">
        <v>3288</v>
      </c>
      <c r="B136" s="7" t="s">
        <v>3289</v>
      </c>
      <c r="C136" s="7" t="s">
        <v>3020</v>
      </c>
      <c r="D136" s="13">
        <v>270.64</v>
      </c>
    </row>
    <row r="137" spans="1:4" ht="21" x14ac:dyDescent="0.35">
      <c r="A137" s="7" t="s">
        <v>3290</v>
      </c>
      <c r="B137" s="7" t="s">
        <v>3291</v>
      </c>
      <c r="C137" s="7" t="s">
        <v>3049</v>
      </c>
      <c r="D137" s="13">
        <v>124.48</v>
      </c>
    </row>
    <row r="138" spans="1:4" ht="21" x14ac:dyDescent="0.35">
      <c r="A138" s="7" t="s">
        <v>3292</v>
      </c>
      <c r="B138" s="7" t="s">
        <v>3293</v>
      </c>
      <c r="C138" s="7" t="s">
        <v>3049</v>
      </c>
      <c r="D138" s="13">
        <v>108.33</v>
      </c>
    </row>
    <row r="139" spans="1:4" ht="21" x14ac:dyDescent="0.35">
      <c r="A139" s="7" t="s">
        <v>3294</v>
      </c>
      <c r="B139" s="7" t="s">
        <v>3295</v>
      </c>
      <c r="C139" s="7" t="s">
        <v>3029</v>
      </c>
      <c r="D139" s="13">
        <v>493.4</v>
      </c>
    </row>
    <row r="140" spans="1:4" ht="21" x14ac:dyDescent="0.35">
      <c r="A140" s="7" t="s">
        <v>3296</v>
      </c>
      <c r="B140" s="7" t="s">
        <v>3297</v>
      </c>
      <c r="C140" s="7" t="s">
        <v>3036</v>
      </c>
      <c r="D140" s="13">
        <v>101.56</v>
      </c>
    </row>
    <row r="141" spans="1:4" ht="21" x14ac:dyDescent="0.35">
      <c r="A141" s="7" t="s">
        <v>3298</v>
      </c>
      <c r="B141" s="7" t="s">
        <v>3299</v>
      </c>
      <c r="C141" s="7" t="s">
        <v>3017</v>
      </c>
      <c r="D141" s="13">
        <v>135.07</v>
      </c>
    </row>
    <row r="142" spans="1:4" ht="21" x14ac:dyDescent="0.35">
      <c r="A142" s="7" t="s">
        <v>3300</v>
      </c>
      <c r="B142" s="7" t="s">
        <v>3301</v>
      </c>
      <c r="C142" s="7" t="s">
        <v>3049</v>
      </c>
      <c r="D142" s="13">
        <v>446.76</v>
      </c>
    </row>
    <row r="143" spans="1:4" ht="21" x14ac:dyDescent="0.35">
      <c r="A143" s="7" t="s">
        <v>3302</v>
      </c>
      <c r="B143" s="7" t="s">
        <v>3303</v>
      </c>
      <c r="C143" s="7" t="s">
        <v>3049</v>
      </c>
      <c r="D143" s="13">
        <v>355.33</v>
      </c>
    </row>
    <row r="144" spans="1:4" ht="21" x14ac:dyDescent="0.35">
      <c r="A144" s="7" t="s">
        <v>3304</v>
      </c>
      <c r="B144" s="7" t="s">
        <v>3305</v>
      </c>
      <c r="C144" s="7" t="s">
        <v>3020</v>
      </c>
      <c r="D144" s="13">
        <v>405.59</v>
      </c>
    </row>
    <row r="145" spans="1:4" ht="21" x14ac:dyDescent="0.35">
      <c r="A145" s="7" t="s">
        <v>3306</v>
      </c>
      <c r="B145" s="7" t="s">
        <v>3307</v>
      </c>
      <c r="C145" s="7" t="s">
        <v>3036</v>
      </c>
      <c r="D145" s="13">
        <v>448.66</v>
      </c>
    </row>
    <row r="146" spans="1:4" ht="21" x14ac:dyDescent="0.35">
      <c r="A146" s="7" t="s">
        <v>3308</v>
      </c>
      <c r="B146" s="7" t="s">
        <v>3309</v>
      </c>
      <c r="C146" s="7" t="s">
        <v>3049</v>
      </c>
      <c r="D146" s="13">
        <v>220.29</v>
      </c>
    </row>
    <row r="147" spans="1:4" ht="21" x14ac:dyDescent="0.35">
      <c r="A147" s="7" t="s">
        <v>3310</v>
      </c>
      <c r="B147" s="7" t="s">
        <v>3311</v>
      </c>
      <c r="C147" s="7" t="s">
        <v>3049</v>
      </c>
      <c r="D147" s="13">
        <v>241.05</v>
      </c>
    </row>
    <row r="148" spans="1:4" ht="21" x14ac:dyDescent="0.35">
      <c r="A148" s="7" t="s">
        <v>3312</v>
      </c>
      <c r="B148" s="7" t="s">
        <v>3313</v>
      </c>
      <c r="C148" s="7" t="s">
        <v>3049</v>
      </c>
      <c r="D148" s="13">
        <v>89.13</v>
      </c>
    </row>
    <row r="149" spans="1:4" ht="21" x14ac:dyDescent="0.35">
      <c r="A149" s="7" t="s">
        <v>3314</v>
      </c>
      <c r="B149" s="7" t="s">
        <v>3315</v>
      </c>
      <c r="C149" s="7" t="s">
        <v>3029</v>
      </c>
      <c r="D149" s="13">
        <v>405.09</v>
      </c>
    </row>
    <row r="150" spans="1:4" ht="21" x14ac:dyDescent="0.35">
      <c r="A150" s="7" t="s">
        <v>3316</v>
      </c>
      <c r="B150" s="7" t="s">
        <v>3317</v>
      </c>
      <c r="C150" s="7" t="s">
        <v>3036</v>
      </c>
      <c r="D150" s="13">
        <v>490.91</v>
      </c>
    </row>
    <row r="151" spans="1:4" ht="21" x14ac:dyDescent="0.35">
      <c r="A151" s="7" t="s">
        <v>3318</v>
      </c>
      <c r="B151" s="7" t="s">
        <v>3319</v>
      </c>
      <c r="C151" s="7" t="s">
        <v>3029</v>
      </c>
      <c r="D151" s="13">
        <v>196.59</v>
      </c>
    </row>
    <row r="152" spans="1:4" ht="21" x14ac:dyDescent="0.35">
      <c r="A152" s="7" t="s">
        <v>3320</v>
      </c>
      <c r="B152" s="7" t="s">
        <v>3321</v>
      </c>
      <c r="C152" s="7" t="s">
        <v>3036</v>
      </c>
      <c r="D152" s="13">
        <v>96.52</v>
      </c>
    </row>
    <row r="153" spans="1:4" ht="21" x14ac:dyDescent="0.35">
      <c r="A153" s="7" t="s">
        <v>3322</v>
      </c>
      <c r="B153" s="7" t="s">
        <v>3323</v>
      </c>
      <c r="C153" s="7" t="s">
        <v>3036</v>
      </c>
      <c r="D153" s="13">
        <v>23.01</v>
      </c>
    </row>
    <row r="154" spans="1:4" ht="21" x14ac:dyDescent="0.35">
      <c r="A154" s="7" t="s">
        <v>3324</v>
      </c>
      <c r="B154" s="7" t="s">
        <v>3325</v>
      </c>
      <c r="C154" s="7" t="s">
        <v>3029</v>
      </c>
      <c r="D154" s="13">
        <v>147.13999999999999</v>
      </c>
    </row>
    <row r="155" spans="1:4" ht="21" x14ac:dyDescent="0.35">
      <c r="A155" s="7" t="s">
        <v>3326</v>
      </c>
      <c r="B155" s="7" t="s">
        <v>3327</v>
      </c>
      <c r="C155" s="7" t="s">
        <v>3017</v>
      </c>
      <c r="D155" s="13">
        <v>109.7</v>
      </c>
    </row>
    <row r="156" spans="1:4" ht="21" x14ac:dyDescent="0.35">
      <c r="A156" s="7" t="s">
        <v>3328</v>
      </c>
      <c r="B156" s="7" t="s">
        <v>3329</v>
      </c>
      <c r="C156" s="7" t="s">
        <v>3049</v>
      </c>
      <c r="D156" s="13">
        <v>103.05</v>
      </c>
    </row>
    <row r="157" spans="1:4" ht="21" x14ac:dyDescent="0.35">
      <c r="A157" s="7" t="s">
        <v>3330</v>
      </c>
      <c r="B157" s="7" t="s">
        <v>3331</v>
      </c>
      <c r="C157" s="7" t="s">
        <v>3017</v>
      </c>
      <c r="D157" s="13">
        <v>163.94</v>
      </c>
    </row>
    <row r="158" spans="1:4" ht="21" x14ac:dyDescent="0.35">
      <c r="A158" s="7" t="s">
        <v>3332</v>
      </c>
      <c r="B158" s="7" t="s">
        <v>3333</v>
      </c>
      <c r="C158" s="7" t="s">
        <v>3049</v>
      </c>
      <c r="D158" s="13">
        <v>31.69</v>
      </c>
    </row>
    <row r="159" spans="1:4" ht="21" x14ac:dyDescent="0.35">
      <c r="A159" s="7" t="s">
        <v>3334</v>
      </c>
      <c r="B159" s="7" t="s">
        <v>3335</v>
      </c>
      <c r="C159" s="7" t="s">
        <v>3036</v>
      </c>
      <c r="D159" s="13">
        <v>499.34</v>
      </c>
    </row>
    <row r="160" spans="1:4" ht="21" x14ac:dyDescent="0.35">
      <c r="A160" s="7" t="s">
        <v>3336</v>
      </c>
      <c r="B160" s="7" t="s">
        <v>3337</v>
      </c>
      <c r="C160" s="7" t="s">
        <v>3017</v>
      </c>
      <c r="D160" s="13">
        <v>433.59</v>
      </c>
    </row>
    <row r="161" spans="1:4" ht="21" x14ac:dyDescent="0.35">
      <c r="A161" s="7" t="s">
        <v>3338</v>
      </c>
      <c r="B161" s="7" t="s">
        <v>3339</v>
      </c>
      <c r="C161" s="7" t="s">
        <v>3029</v>
      </c>
      <c r="D161" s="13">
        <v>319.02</v>
      </c>
    </row>
    <row r="162" spans="1:4" ht="21" x14ac:dyDescent="0.35">
      <c r="A162" s="7" t="s">
        <v>3340</v>
      </c>
      <c r="B162" s="7" t="s">
        <v>3341</v>
      </c>
      <c r="C162" s="7" t="s">
        <v>3036</v>
      </c>
      <c r="D162" s="13">
        <v>423.58</v>
      </c>
    </row>
    <row r="163" spans="1:4" ht="21" x14ac:dyDescent="0.35">
      <c r="A163" s="7" t="s">
        <v>3342</v>
      </c>
      <c r="B163" s="7" t="s">
        <v>3343</v>
      </c>
      <c r="C163" s="7" t="s">
        <v>3036</v>
      </c>
      <c r="D163" s="13">
        <v>252.66</v>
      </c>
    </row>
    <row r="164" spans="1:4" ht="21" x14ac:dyDescent="0.35">
      <c r="A164" s="7" t="s">
        <v>3344</v>
      </c>
      <c r="B164" s="7" t="s">
        <v>3345</v>
      </c>
      <c r="C164" s="7" t="s">
        <v>3036</v>
      </c>
      <c r="D164" s="13">
        <v>206.83</v>
      </c>
    </row>
    <row r="165" spans="1:4" ht="21" x14ac:dyDescent="0.35">
      <c r="A165" s="7" t="s">
        <v>3346</v>
      </c>
      <c r="B165" s="7" t="s">
        <v>3347</v>
      </c>
      <c r="C165" s="7" t="s">
        <v>3049</v>
      </c>
      <c r="D165" s="13">
        <v>249.55</v>
      </c>
    </row>
    <row r="166" spans="1:4" ht="21" x14ac:dyDescent="0.35">
      <c r="A166" s="7" t="s">
        <v>3348</v>
      </c>
      <c r="B166" s="7" t="s">
        <v>3349</v>
      </c>
      <c r="C166" s="7" t="s">
        <v>3036</v>
      </c>
      <c r="D166" s="13">
        <v>491.55</v>
      </c>
    </row>
    <row r="167" spans="1:4" ht="21" x14ac:dyDescent="0.35">
      <c r="A167" s="7" t="s">
        <v>3350</v>
      </c>
      <c r="B167" s="7" t="s">
        <v>3351</v>
      </c>
      <c r="C167" s="7" t="s">
        <v>3029</v>
      </c>
      <c r="D167" s="13">
        <v>118.64</v>
      </c>
    </row>
    <row r="168" spans="1:4" ht="21" x14ac:dyDescent="0.35">
      <c r="A168" s="7" t="s">
        <v>3352</v>
      </c>
      <c r="B168" s="7" t="s">
        <v>3353</v>
      </c>
      <c r="C168" s="7" t="s">
        <v>3017</v>
      </c>
      <c r="D168" s="13">
        <v>467.95</v>
      </c>
    </row>
    <row r="169" spans="1:4" ht="21" x14ac:dyDescent="0.35">
      <c r="A169" s="7" t="s">
        <v>3354</v>
      </c>
      <c r="B169" s="7" t="s">
        <v>3355</v>
      </c>
      <c r="C169" s="7" t="s">
        <v>3049</v>
      </c>
      <c r="D169" s="13">
        <v>31.09</v>
      </c>
    </row>
    <row r="170" spans="1:4" ht="21" x14ac:dyDescent="0.35">
      <c r="A170" s="7" t="s">
        <v>3356</v>
      </c>
      <c r="B170" s="7" t="s">
        <v>3357</v>
      </c>
      <c r="C170" s="7" t="s">
        <v>3036</v>
      </c>
      <c r="D170" s="13">
        <v>279.2</v>
      </c>
    </row>
    <row r="171" spans="1:4" ht="21" x14ac:dyDescent="0.35">
      <c r="A171" s="7" t="s">
        <v>3358</v>
      </c>
      <c r="B171" s="7" t="s">
        <v>3359</v>
      </c>
      <c r="C171" s="7" t="s">
        <v>3020</v>
      </c>
      <c r="D171" s="13">
        <v>96.01</v>
      </c>
    </row>
    <row r="172" spans="1:4" ht="21" x14ac:dyDescent="0.35">
      <c r="A172" s="7" t="s">
        <v>3360</v>
      </c>
      <c r="B172" s="7" t="s">
        <v>3361</v>
      </c>
      <c r="C172" s="7" t="s">
        <v>3029</v>
      </c>
      <c r="D172" s="13">
        <v>457.18</v>
      </c>
    </row>
    <row r="173" spans="1:4" ht="21" x14ac:dyDescent="0.35">
      <c r="A173" s="7" t="s">
        <v>3362</v>
      </c>
      <c r="B173" s="7" t="s">
        <v>3363</v>
      </c>
      <c r="C173" s="7" t="s">
        <v>3049</v>
      </c>
      <c r="D173" s="13">
        <v>205.17</v>
      </c>
    </row>
    <row r="174" spans="1:4" ht="21" x14ac:dyDescent="0.35">
      <c r="A174" s="7" t="s">
        <v>3364</v>
      </c>
      <c r="B174" s="7" t="s">
        <v>3365</v>
      </c>
      <c r="C174" s="7" t="s">
        <v>3036</v>
      </c>
      <c r="D174" s="13">
        <v>380.65</v>
      </c>
    </row>
    <row r="175" spans="1:4" ht="21" x14ac:dyDescent="0.35">
      <c r="A175" s="7" t="s">
        <v>3366</v>
      </c>
      <c r="B175" s="7" t="s">
        <v>3367</v>
      </c>
      <c r="C175" s="7" t="s">
        <v>3036</v>
      </c>
      <c r="D175" s="13">
        <v>235.21</v>
      </c>
    </row>
    <row r="176" spans="1:4" ht="21" x14ac:dyDescent="0.35">
      <c r="A176" s="7" t="s">
        <v>3368</v>
      </c>
      <c r="B176" s="7" t="s">
        <v>3369</v>
      </c>
      <c r="C176" s="7" t="s">
        <v>3029</v>
      </c>
      <c r="D176" s="13">
        <v>471.73</v>
      </c>
    </row>
    <row r="177" spans="1:4" ht="21" x14ac:dyDescent="0.35">
      <c r="A177" s="7" t="s">
        <v>3370</v>
      </c>
      <c r="B177" s="7" t="s">
        <v>3371</v>
      </c>
      <c r="C177" s="7" t="s">
        <v>3029</v>
      </c>
      <c r="D177" s="13">
        <v>285.39999999999998</v>
      </c>
    </row>
    <row r="178" spans="1:4" ht="21" x14ac:dyDescent="0.35">
      <c r="A178" s="7" t="s">
        <v>3372</v>
      </c>
      <c r="B178" s="7" t="s">
        <v>3373</v>
      </c>
      <c r="C178" s="7" t="s">
        <v>3017</v>
      </c>
      <c r="D178" s="13">
        <v>80.099999999999994</v>
      </c>
    </row>
    <row r="179" spans="1:4" ht="21" x14ac:dyDescent="0.35">
      <c r="A179" s="7" t="s">
        <v>3374</v>
      </c>
      <c r="B179" s="7" t="s">
        <v>3375</v>
      </c>
      <c r="C179" s="7" t="s">
        <v>3017</v>
      </c>
      <c r="D179" s="13">
        <v>217.94</v>
      </c>
    </row>
    <row r="180" spans="1:4" ht="21" x14ac:dyDescent="0.35">
      <c r="A180" s="7" t="s">
        <v>3376</v>
      </c>
      <c r="B180" s="7" t="s">
        <v>3377</v>
      </c>
      <c r="C180" s="7" t="s">
        <v>3036</v>
      </c>
      <c r="D180" s="13">
        <v>323.64</v>
      </c>
    </row>
    <row r="181" spans="1:4" ht="21" x14ac:dyDescent="0.35">
      <c r="A181" s="7" t="s">
        <v>3378</v>
      </c>
      <c r="B181" s="7" t="s">
        <v>3379</v>
      </c>
      <c r="C181" s="7" t="s">
        <v>3017</v>
      </c>
      <c r="D181" s="13">
        <v>471.43</v>
      </c>
    </row>
    <row r="182" spans="1:4" ht="21" x14ac:dyDescent="0.35">
      <c r="A182" s="7" t="s">
        <v>3380</v>
      </c>
      <c r="B182" s="7" t="s">
        <v>3381</v>
      </c>
      <c r="C182" s="7" t="s">
        <v>3029</v>
      </c>
      <c r="D182" s="13">
        <v>337.13</v>
      </c>
    </row>
    <row r="183" spans="1:4" ht="21" x14ac:dyDescent="0.35">
      <c r="A183" s="7" t="s">
        <v>3382</v>
      </c>
      <c r="B183" s="7" t="s">
        <v>3383</v>
      </c>
      <c r="C183" s="7" t="s">
        <v>3036</v>
      </c>
      <c r="D183" s="13">
        <v>342.65</v>
      </c>
    </row>
    <row r="184" spans="1:4" ht="21" x14ac:dyDescent="0.35">
      <c r="A184" s="7" t="s">
        <v>3384</v>
      </c>
      <c r="B184" s="7" t="s">
        <v>3385</v>
      </c>
      <c r="C184" s="7" t="s">
        <v>3036</v>
      </c>
      <c r="D184" s="13">
        <v>48.05</v>
      </c>
    </row>
    <row r="185" spans="1:4" ht="21" x14ac:dyDescent="0.35">
      <c r="A185" s="7" t="s">
        <v>3386</v>
      </c>
      <c r="B185" s="7" t="s">
        <v>3387</v>
      </c>
      <c r="C185" s="7" t="s">
        <v>3029</v>
      </c>
      <c r="D185" s="13">
        <v>147.38999999999999</v>
      </c>
    </row>
    <row r="186" spans="1:4" ht="21" x14ac:dyDescent="0.35">
      <c r="A186" s="7" t="s">
        <v>3388</v>
      </c>
      <c r="B186" s="7" t="s">
        <v>3389</v>
      </c>
      <c r="C186" s="7" t="s">
        <v>3020</v>
      </c>
      <c r="D186" s="13">
        <v>293.86</v>
      </c>
    </row>
    <row r="187" spans="1:4" ht="21" x14ac:dyDescent="0.35">
      <c r="A187" s="7" t="s">
        <v>3390</v>
      </c>
      <c r="B187" s="7" t="s">
        <v>3391</v>
      </c>
      <c r="C187" s="7" t="s">
        <v>3036</v>
      </c>
      <c r="D187" s="13">
        <v>145.6</v>
      </c>
    </row>
    <row r="188" spans="1:4" ht="21" x14ac:dyDescent="0.35">
      <c r="A188" s="7" t="s">
        <v>3392</v>
      </c>
      <c r="B188" s="7" t="s">
        <v>3393</v>
      </c>
      <c r="C188" s="7" t="s">
        <v>3017</v>
      </c>
      <c r="D188" s="13">
        <v>276.75</v>
      </c>
    </row>
    <row r="189" spans="1:4" ht="21" x14ac:dyDescent="0.35">
      <c r="A189" s="7" t="s">
        <v>3394</v>
      </c>
      <c r="B189" s="7" t="s">
        <v>3395</v>
      </c>
      <c r="C189" s="7" t="s">
        <v>3020</v>
      </c>
      <c r="D189" s="13">
        <v>229.28</v>
      </c>
    </row>
    <row r="190" spans="1:4" ht="21" x14ac:dyDescent="0.35">
      <c r="A190" s="7" t="s">
        <v>3396</v>
      </c>
      <c r="B190" s="7" t="s">
        <v>3397</v>
      </c>
      <c r="C190" s="7" t="s">
        <v>3029</v>
      </c>
      <c r="D190" s="13">
        <v>486.73</v>
      </c>
    </row>
    <row r="191" spans="1:4" ht="21" x14ac:dyDescent="0.35">
      <c r="A191" s="7" t="s">
        <v>3398</v>
      </c>
      <c r="B191" s="7" t="s">
        <v>3399</v>
      </c>
      <c r="C191" s="7" t="s">
        <v>3029</v>
      </c>
      <c r="D191" s="13">
        <v>141.85</v>
      </c>
    </row>
    <row r="192" spans="1:4" ht="21" x14ac:dyDescent="0.35">
      <c r="A192" s="7" t="s">
        <v>3400</v>
      </c>
      <c r="B192" s="7" t="s">
        <v>3401</v>
      </c>
      <c r="C192" s="7" t="s">
        <v>3020</v>
      </c>
      <c r="D192" s="13">
        <v>241.93</v>
      </c>
    </row>
    <row r="193" spans="1:4" ht="21" x14ac:dyDescent="0.35">
      <c r="A193" s="7" t="s">
        <v>3402</v>
      </c>
      <c r="B193" s="7" t="s">
        <v>3403</v>
      </c>
      <c r="C193" s="7" t="s">
        <v>3036</v>
      </c>
      <c r="D193" s="13">
        <v>35.92</v>
      </c>
    </row>
    <row r="194" spans="1:4" ht="21" x14ac:dyDescent="0.35">
      <c r="A194" s="7" t="s">
        <v>3404</v>
      </c>
      <c r="B194" s="7" t="s">
        <v>3405</v>
      </c>
      <c r="C194" s="7" t="s">
        <v>3017</v>
      </c>
      <c r="D194" s="13">
        <v>392.99</v>
      </c>
    </row>
    <row r="195" spans="1:4" ht="21" x14ac:dyDescent="0.35">
      <c r="A195" s="7" t="s">
        <v>3406</v>
      </c>
      <c r="B195" s="7" t="s">
        <v>3407</v>
      </c>
      <c r="C195" s="7" t="s">
        <v>3029</v>
      </c>
      <c r="D195" s="13">
        <v>461.37</v>
      </c>
    </row>
    <row r="196" spans="1:4" ht="21" x14ac:dyDescent="0.35">
      <c r="A196" s="7" t="s">
        <v>3408</v>
      </c>
      <c r="B196" s="7" t="s">
        <v>3409</v>
      </c>
      <c r="C196" s="7" t="s">
        <v>3020</v>
      </c>
      <c r="D196" s="13">
        <v>13.97</v>
      </c>
    </row>
    <row r="197" spans="1:4" ht="21" x14ac:dyDescent="0.35">
      <c r="A197" s="7" t="s">
        <v>3410</v>
      </c>
      <c r="B197" s="7" t="s">
        <v>3411</v>
      </c>
      <c r="C197" s="7" t="s">
        <v>3020</v>
      </c>
      <c r="D197" s="13">
        <v>491.02</v>
      </c>
    </row>
    <row r="198" spans="1:4" ht="21" x14ac:dyDescent="0.35">
      <c r="A198" s="7" t="s">
        <v>3412</v>
      </c>
      <c r="B198" s="7" t="s">
        <v>3413</v>
      </c>
      <c r="C198" s="7" t="s">
        <v>3049</v>
      </c>
      <c r="D198" s="13">
        <v>269.74</v>
      </c>
    </row>
    <row r="199" spans="1:4" ht="21" x14ac:dyDescent="0.35">
      <c r="A199" s="7" t="s">
        <v>3414</v>
      </c>
      <c r="B199" s="7" t="s">
        <v>3415</v>
      </c>
      <c r="C199" s="7" t="s">
        <v>3036</v>
      </c>
      <c r="D199" s="13">
        <v>353.98</v>
      </c>
    </row>
    <row r="200" spans="1:4" ht="21" x14ac:dyDescent="0.35">
      <c r="A200" s="7" t="s">
        <v>3416</v>
      </c>
      <c r="B200" s="7" t="s">
        <v>3417</v>
      </c>
      <c r="C200" s="7" t="s">
        <v>3036</v>
      </c>
      <c r="D200" s="13">
        <v>421.74</v>
      </c>
    </row>
    <row r="201" spans="1:4" ht="21" x14ac:dyDescent="0.35">
      <c r="A201" s="7" t="s">
        <v>3418</v>
      </c>
      <c r="B201" s="7" t="s">
        <v>3419</v>
      </c>
      <c r="C201" s="7" t="s">
        <v>3029</v>
      </c>
      <c r="D201" s="13">
        <v>153.55000000000001</v>
      </c>
    </row>
    <row r="202" spans="1:4" ht="21" x14ac:dyDescent="0.35">
      <c r="A202" s="7" t="s">
        <v>3420</v>
      </c>
      <c r="B202" s="7" t="s">
        <v>3421</v>
      </c>
      <c r="C202" s="7" t="s">
        <v>3020</v>
      </c>
      <c r="D202" s="13">
        <v>370.97</v>
      </c>
    </row>
    <row r="203" spans="1:4" ht="21" x14ac:dyDescent="0.35">
      <c r="A203" s="7" t="s">
        <v>3422</v>
      </c>
      <c r="B203" s="7" t="s">
        <v>3423</v>
      </c>
      <c r="C203" s="7" t="s">
        <v>3017</v>
      </c>
      <c r="D203" s="13">
        <v>41.94</v>
      </c>
    </row>
    <row r="204" spans="1:4" ht="21" x14ac:dyDescent="0.35">
      <c r="A204" s="7" t="s">
        <v>3424</v>
      </c>
      <c r="B204" s="7" t="s">
        <v>3425</v>
      </c>
      <c r="C204" s="7" t="s">
        <v>3017</v>
      </c>
      <c r="D204" s="13">
        <v>458.4</v>
      </c>
    </row>
    <row r="205" spans="1:4" ht="21" x14ac:dyDescent="0.35">
      <c r="A205" s="7" t="s">
        <v>3426</v>
      </c>
      <c r="B205" s="7" t="s">
        <v>3427</v>
      </c>
      <c r="C205" s="7" t="s">
        <v>3017</v>
      </c>
      <c r="D205" s="13">
        <v>488.29</v>
      </c>
    </row>
    <row r="206" spans="1:4" ht="21" x14ac:dyDescent="0.35">
      <c r="A206" s="7" t="s">
        <v>3428</v>
      </c>
      <c r="B206" s="7" t="s">
        <v>3429</v>
      </c>
      <c r="C206" s="7" t="s">
        <v>3049</v>
      </c>
      <c r="D206" s="13">
        <v>245.69</v>
      </c>
    </row>
    <row r="207" spans="1:4" ht="21" x14ac:dyDescent="0.35">
      <c r="A207" s="7" t="s">
        <v>3430</v>
      </c>
      <c r="B207" s="7" t="s">
        <v>3431</v>
      </c>
      <c r="C207" s="7" t="s">
        <v>3036</v>
      </c>
      <c r="D207" s="13">
        <v>82.43</v>
      </c>
    </row>
    <row r="208" spans="1:4" ht="21" x14ac:dyDescent="0.35">
      <c r="A208" s="7" t="s">
        <v>3432</v>
      </c>
      <c r="B208" s="7" t="s">
        <v>3433</v>
      </c>
      <c r="C208" s="7" t="s">
        <v>3036</v>
      </c>
      <c r="D208" s="13">
        <v>471.46</v>
      </c>
    </row>
    <row r="209" spans="1:4" ht="21" x14ac:dyDescent="0.35">
      <c r="A209" s="7" t="s">
        <v>3434</v>
      </c>
      <c r="B209" s="7" t="s">
        <v>3435</v>
      </c>
      <c r="C209" s="7" t="s">
        <v>3029</v>
      </c>
      <c r="D209" s="13">
        <v>497.15</v>
      </c>
    </row>
    <row r="210" spans="1:4" ht="21" x14ac:dyDescent="0.35">
      <c r="A210" s="7" t="s">
        <v>3436</v>
      </c>
      <c r="B210" s="7" t="s">
        <v>3437</v>
      </c>
      <c r="C210" s="7" t="s">
        <v>3017</v>
      </c>
      <c r="D210" s="13">
        <v>452.71</v>
      </c>
    </row>
    <row r="211" spans="1:4" ht="21" x14ac:dyDescent="0.35">
      <c r="A211" s="7" t="s">
        <v>3438</v>
      </c>
      <c r="B211" s="7" t="s">
        <v>3439</v>
      </c>
      <c r="C211" s="7" t="s">
        <v>3017</v>
      </c>
      <c r="D211" s="13">
        <v>97.11</v>
      </c>
    </row>
    <row r="212" spans="1:4" ht="21" x14ac:dyDescent="0.35">
      <c r="A212" s="7" t="s">
        <v>3440</v>
      </c>
      <c r="B212" s="7" t="s">
        <v>3441</v>
      </c>
      <c r="C212" s="7" t="s">
        <v>3017</v>
      </c>
      <c r="D212" s="13">
        <v>129.61000000000001</v>
      </c>
    </row>
    <row r="213" spans="1:4" ht="21" x14ac:dyDescent="0.35">
      <c r="A213" s="7" t="s">
        <v>3442</v>
      </c>
      <c r="B213" s="7" t="s">
        <v>3443</v>
      </c>
      <c r="C213" s="7" t="s">
        <v>3020</v>
      </c>
      <c r="D213" s="13">
        <v>189.26</v>
      </c>
    </row>
    <row r="214" spans="1:4" ht="21" x14ac:dyDescent="0.35">
      <c r="A214" s="7" t="s">
        <v>3444</v>
      </c>
      <c r="B214" s="7" t="s">
        <v>3445</v>
      </c>
      <c r="C214" s="7" t="s">
        <v>3017</v>
      </c>
      <c r="D214" s="13">
        <v>348.44</v>
      </c>
    </row>
    <row r="215" spans="1:4" ht="21" x14ac:dyDescent="0.35">
      <c r="A215" s="7" t="s">
        <v>3446</v>
      </c>
      <c r="B215" s="7" t="s">
        <v>3447</v>
      </c>
      <c r="C215" s="7" t="s">
        <v>3020</v>
      </c>
      <c r="D215" s="13">
        <v>483.15</v>
      </c>
    </row>
    <row r="216" spans="1:4" ht="21" x14ac:dyDescent="0.35">
      <c r="A216" s="7" t="s">
        <v>3448</v>
      </c>
      <c r="B216" s="7" t="s">
        <v>3449</v>
      </c>
      <c r="C216" s="7" t="s">
        <v>3020</v>
      </c>
      <c r="D216" s="13">
        <v>125.89</v>
      </c>
    </row>
    <row r="217" spans="1:4" ht="21" x14ac:dyDescent="0.35">
      <c r="A217" s="7" t="s">
        <v>3450</v>
      </c>
      <c r="B217" s="7" t="s">
        <v>3451</v>
      </c>
      <c r="C217" s="7" t="s">
        <v>3017</v>
      </c>
      <c r="D217" s="13">
        <v>437.98</v>
      </c>
    </row>
    <row r="218" spans="1:4" ht="21" x14ac:dyDescent="0.35">
      <c r="A218" s="7" t="s">
        <v>3452</v>
      </c>
      <c r="B218" s="7" t="s">
        <v>3453</v>
      </c>
      <c r="C218" s="7" t="s">
        <v>3017</v>
      </c>
      <c r="D218" s="13">
        <v>233.83</v>
      </c>
    </row>
    <row r="219" spans="1:4" ht="21" x14ac:dyDescent="0.35">
      <c r="A219" s="7" t="s">
        <v>3454</v>
      </c>
      <c r="B219" s="7" t="s">
        <v>3455</v>
      </c>
      <c r="C219" s="7" t="s">
        <v>3029</v>
      </c>
      <c r="D219" s="13">
        <v>437.16</v>
      </c>
    </row>
    <row r="220" spans="1:4" ht="21" x14ac:dyDescent="0.35">
      <c r="A220" s="7" t="s">
        <v>3456</v>
      </c>
      <c r="B220" s="7" t="s">
        <v>3457</v>
      </c>
      <c r="C220" s="7" t="s">
        <v>3029</v>
      </c>
      <c r="D220" s="13">
        <v>249.79</v>
      </c>
    </row>
    <row r="221" spans="1:4" ht="21" x14ac:dyDescent="0.35">
      <c r="A221" s="7" t="s">
        <v>3458</v>
      </c>
      <c r="B221" s="7" t="s">
        <v>3459</v>
      </c>
      <c r="C221" s="7" t="s">
        <v>3049</v>
      </c>
      <c r="D221" s="13">
        <v>82.11</v>
      </c>
    </row>
    <row r="222" spans="1:4" ht="21" x14ac:dyDescent="0.35">
      <c r="A222" s="7" t="s">
        <v>3460</v>
      </c>
      <c r="B222" s="7" t="s">
        <v>3461</v>
      </c>
      <c r="C222" s="7" t="s">
        <v>3049</v>
      </c>
      <c r="D222" s="13">
        <v>380.96</v>
      </c>
    </row>
    <row r="223" spans="1:4" ht="21" x14ac:dyDescent="0.35">
      <c r="A223" s="7" t="s">
        <v>3462</v>
      </c>
      <c r="B223" s="7" t="s">
        <v>3463</v>
      </c>
      <c r="C223" s="7" t="s">
        <v>3029</v>
      </c>
      <c r="D223" s="13">
        <v>457.35</v>
      </c>
    </row>
    <row r="224" spans="1:4" ht="21" x14ac:dyDescent="0.35">
      <c r="A224" s="7" t="s">
        <v>3464</v>
      </c>
      <c r="B224" s="7" t="s">
        <v>3465</v>
      </c>
      <c r="C224" s="7" t="s">
        <v>3049</v>
      </c>
      <c r="D224" s="13">
        <v>289.49</v>
      </c>
    </row>
    <row r="225" spans="1:4" ht="21" x14ac:dyDescent="0.35">
      <c r="A225" s="7" t="s">
        <v>3466</v>
      </c>
      <c r="B225" s="7" t="s">
        <v>3467</v>
      </c>
      <c r="C225" s="7" t="s">
        <v>3020</v>
      </c>
      <c r="D225" s="13">
        <v>72.650000000000006</v>
      </c>
    </row>
    <row r="226" spans="1:4" ht="21" x14ac:dyDescent="0.35">
      <c r="A226" s="7" t="s">
        <v>3468</v>
      </c>
      <c r="B226" s="7" t="s">
        <v>3469</v>
      </c>
      <c r="C226" s="7" t="s">
        <v>3020</v>
      </c>
      <c r="D226" s="13">
        <v>177</v>
      </c>
    </row>
    <row r="227" spans="1:4" ht="21" x14ac:dyDescent="0.35">
      <c r="A227" s="7" t="s">
        <v>3470</v>
      </c>
      <c r="B227" s="7" t="s">
        <v>3471</v>
      </c>
      <c r="C227" s="7" t="s">
        <v>3049</v>
      </c>
      <c r="D227" s="13">
        <v>118.57</v>
      </c>
    </row>
    <row r="228" spans="1:4" ht="21" x14ac:dyDescent="0.35">
      <c r="A228" s="7" t="s">
        <v>3472</v>
      </c>
      <c r="B228" s="7" t="s">
        <v>3473</v>
      </c>
      <c r="C228" s="7" t="s">
        <v>3020</v>
      </c>
      <c r="D228" s="13">
        <v>14.02</v>
      </c>
    </row>
    <row r="229" spans="1:4" ht="21" x14ac:dyDescent="0.35">
      <c r="A229" s="7" t="s">
        <v>3474</v>
      </c>
      <c r="B229" s="7" t="s">
        <v>3475</v>
      </c>
      <c r="C229" s="7" t="s">
        <v>3036</v>
      </c>
      <c r="D229" s="13">
        <v>403.24</v>
      </c>
    </row>
    <row r="230" spans="1:4" ht="21" x14ac:dyDescent="0.35">
      <c r="A230" s="7" t="s">
        <v>3476</v>
      </c>
      <c r="B230" s="7" t="s">
        <v>3477</v>
      </c>
      <c r="C230" s="7" t="s">
        <v>3049</v>
      </c>
      <c r="D230" s="13">
        <v>412.88</v>
      </c>
    </row>
    <row r="231" spans="1:4" ht="21" x14ac:dyDescent="0.35">
      <c r="A231" s="7" t="s">
        <v>3478</v>
      </c>
      <c r="B231" s="7" t="s">
        <v>3479</v>
      </c>
      <c r="C231" s="7" t="s">
        <v>3020</v>
      </c>
      <c r="D231" s="13">
        <v>293.81</v>
      </c>
    </row>
    <row r="232" spans="1:4" ht="21" x14ac:dyDescent="0.35">
      <c r="A232" s="7" t="s">
        <v>3480</v>
      </c>
      <c r="B232" s="7" t="s">
        <v>3481</v>
      </c>
      <c r="C232" s="7" t="s">
        <v>3036</v>
      </c>
      <c r="D232" s="13">
        <v>337.23</v>
      </c>
    </row>
    <row r="233" spans="1:4" ht="21" x14ac:dyDescent="0.35">
      <c r="A233" s="7" t="s">
        <v>3482</v>
      </c>
      <c r="B233" s="7" t="s">
        <v>3483</v>
      </c>
      <c r="C233" s="7" t="s">
        <v>3017</v>
      </c>
      <c r="D233" s="13">
        <v>38.770000000000003</v>
      </c>
    </row>
    <row r="234" spans="1:4" ht="21" x14ac:dyDescent="0.35">
      <c r="A234" s="7" t="s">
        <v>3484</v>
      </c>
      <c r="B234" s="7" t="s">
        <v>3485</v>
      </c>
      <c r="C234" s="7" t="s">
        <v>3049</v>
      </c>
      <c r="D234" s="13">
        <v>416.32</v>
      </c>
    </row>
    <row r="235" spans="1:4" ht="21" x14ac:dyDescent="0.35">
      <c r="A235" s="7" t="s">
        <v>3486</v>
      </c>
      <c r="B235" s="7" t="s">
        <v>3487</v>
      </c>
      <c r="C235" s="7" t="s">
        <v>3049</v>
      </c>
      <c r="D235" s="13">
        <v>356.18</v>
      </c>
    </row>
    <row r="236" spans="1:4" ht="21" x14ac:dyDescent="0.35">
      <c r="A236" s="7" t="s">
        <v>3488</v>
      </c>
      <c r="B236" s="7" t="s">
        <v>3489</v>
      </c>
      <c r="C236" s="7" t="s">
        <v>3020</v>
      </c>
      <c r="D236" s="13">
        <v>424.01</v>
      </c>
    </row>
    <row r="237" spans="1:4" ht="21" x14ac:dyDescent="0.35">
      <c r="A237" s="7" t="s">
        <v>3490</v>
      </c>
      <c r="B237" s="7" t="s">
        <v>3491</v>
      </c>
      <c r="C237" s="7" t="s">
        <v>3017</v>
      </c>
      <c r="D237" s="13">
        <v>21.19</v>
      </c>
    </row>
    <row r="238" spans="1:4" ht="21" x14ac:dyDescent="0.35">
      <c r="A238" s="7" t="s">
        <v>3492</v>
      </c>
      <c r="B238" s="7" t="s">
        <v>3493</v>
      </c>
      <c r="C238" s="7" t="s">
        <v>3017</v>
      </c>
      <c r="D238" s="13">
        <v>350.15</v>
      </c>
    </row>
    <row r="239" spans="1:4" ht="21" x14ac:dyDescent="0.35">
      <c r="A239" s="7" t="s">
        <v>3494</v>
      </c>
      <c r="B239" s="7" t="s">
        <v>3495</v>
      </c>
      <c r="C239" s="7" t="s">
        <v>3029</v>
      </c>
      <c r="D239" s="13">
        <v>149.69999999999999</v>
      </c>
    </row>
    <row r="240" spans="1:4" ht="21" x14ac:dyDescent="0.35">
      <c r="A240" s="7" t="s">
        <v>3496</v>
      </c>
      <c r="B240" s="7" t="s">
        <v>3497</v>
      </c>
      <c r="C240" s="7" t="s">
        <v>3036</v>
      </c>
      <c r="D240" s="13">
        <v>68.58</v>
      </c>
    </row>
    <row r="241" spans="1:4" ht="21" x14ac:dyDescent="0.35">
      <c r="A241" s="7" t="s">
        <v>3498</v>
      </c>
      <c r="B241" s="7" t="s">
        <v>3499</v>
      </c>
      <c r="C241" s="7" t="s">
        <v>3029</v>
      </c>
      <c r="D241" s="13">
        <v>224.72</v>
      </c>
    </row>
    <row r="242" spans="1:4" ht="21" x14ac:dyDescent="0.35">
      <c r="A242" s="7" t="s">
        <v>3500</v>
      </c>
      <c r="B242" s="7" t="s">
        <v>3501</v>
      </c>
      <c r="C242" s="7" t="s">
        <v>3020</v>
      </c>
      <c r="D242" s="13">
        <v>195.23</v>
      </c>
    </row>
    <row r="243" spans="1:4" ht="21" x14ac:dyDescent="0.35">
      <c r="A243" s="7" t="s">
        <v>3502</v>
      </c>
      <c r="B243" s="7" t="s">
        <v>3503</v>
      </c>
      <c r="C243" s="7" t="s">
        <v>3029</v>
      </c>
      <c r="D243" s="13">
        <v>268.45</v>
      </c>
    </row>
    <row r="244" spans="1:4" ht="21" x14ac:dyDescent="0.35">
      <c r="A244" s="7" t="s">
        <v>3504</v>
      </c>
      <c r="B244" s="7" t="s">
        <v>3505</v>
      </c>
      <c r="C244" s="7" t="s">
        <v>3029</v>
      </c>
      <c r="D244" s="13">
        <v>433.91</v>
      </c>
    </row>
    <row r="245" spans="1:4" ht="21" x14ac:dyDescent="0.35">
      <c r="A245" s="7" t="s">
        <v>3506</v>
      </c>
      <c r="B245" s="7" t="s">
        <v>3507</v>
      </c>
      <c r="C245" s="7" t="s">
        <v>3017</v>
      </c>
      <c r="D245" s="13">
        <v>481.66</v>
      </c>
    </row>
    <row r="246" spans="1:4" ht="21" x14ac:dyDescent="0.35">
      <c r="A246" s="7" t="s">
        <v>3508</v>
      </c>
      <c r="B246" s="7" t="s">
        <v>3509</v>
      </c>
      <c r="C246" s="7" t="s">
        <v>3049</v>
      </c>
      <c r="D246" s="13">
        <v>419.13</v>
      </c>
    </row>
    <row r="247" spans="1:4" ht="21" x14ac:dyDescent="0.35">
      <c r="A247" s="7" t="s">
        <v>3510</v>
      </c>
      <c r="B247" s="7" t="s">
        <v>3511</v>
      </c>
      <c r="C247" s="7" t="s">
        <v>3020</v>
      </c>
      <c r="D247" s="13">
        <v>423.48</v>
      </c>
    </row>
    <row r="248" spans="1:4" ht="21" x14ac:dyDescent="0.35">
      <c r="A248" s="7" t="s">
        <v>3512</v>
      </c>
      <c r="B248" s="7" t="s">
        <v>3513</v>
      </c>
      <c r="C248" s="7" t="s">
        <v>3049</v>
      </c>
      <c r="D248" s="13">
        <v>93.29</v>
      </c>
    </row>
    <row r="249" spans="1:4" ht="21" x14ac:dyDescent="0.35">
      <c r="A249" s="7" t="s">
        <v>3514</v>
      </c>
      <c r="B249" s="7" t="s">
        <v>3515</v>
      </c>
      <c r="C249" s="7" t="s">
        <v>3017</v>
      </c>
      <c r="D249" s="13">
        <v>89.93</v>
      </c>
    </row>
    <row r="250" spans="1:4" ht="21" x14ac:dyDescent="0.35">
      <c r="A250" s="7" t="s">
        <v>3516</v>
      </c>
      <c r="B250" s="7" t="s">
        <v>3517</v>
      </c>
      <c r="C250" s="7" t="s">
        <v>3036</v>
      </c>
      <c r="D250" s="13">
        <v>386.33</v>
      </c>
    </row>
    <row r="251" spans="1:4" ht="21" x14ac:dyDescent="0.35">
      <c r="A251" s="7" t="s">
        <v>3518</v>
      </c>
      <c r="B251" s="7" t="s">
        <v>3519</v>
      </c>
      <c r="C251" s="7" t="s">
        <v>3049</v>
      </c>
      <c r="D251" s="13">
        <v>166.31</v>
      </c>
    </row>
    <row r="252" spans="1:4" ht="21" x14ac:dyDescent="0.35">
      <c r="A252" s="7" t="s">
        <v>3520</v>
      </c>
      <c r="B252" s="7" t="s">
        <v>3521</v>
      </c>
      <c r="C252" s="7" t="s">
        <v>3049</v>
      </c>
      <c r="D252" s="13">
        <v>350.82</v>
      </c>
    </row>
    <row r="253" spans="1:4" ht="21" x14ac:dyDescent="0.35">
      <c r="A253" s="7" t="s">
        <v>3522</v>
      </c>
      <c r="B253" s="7" t="s">
        <v>3523</v>
      </c>
      <c r="C253" s="7" t="s">
        <v>3017</v>
      </c>
      <c r="D253" s="13">
        <v>164.28</v>
      </c>
    </row>
    <row r="254" spans="1:4" ht="21" x14ac:dyDescent="0.35">
      <c r="A254" s="7" t="s">
        <v>3524</v>
      </c>
      <c r="B254" s="7" t="s">
        <v>3525</v>
      </c>
      <c r="C254" s="7" t="s">
        <v>3029</v>
      </c>
      <c r="D254" s="13">
        <v>81.77</v>
      </c>
    </row>
    <row r="255" spans="1:4" ht="21" x14ac:dyDescent="0.35">
      <c r="A255" s="7" t="s">
        <v>3526</v>
      </c>
      <c r="B255" s="7" t="s">
        <v>3527</v>
      </c>
      <c r="C255" s="7" t="s">
        <v>3020</v>
      </c>
      <c r="D255" s="13">
        <v>366</v>
      </c>
    </row>
    <row r="256" spans="1:4" ht="21" x14ac:dyDescent="0.35">
      <c r="A256" s="7" t="s">
        <v>3528</v>
      </c>
      <c r="B256" s="7" t="s">
        <v>3529</v>
      </c>
      <c r="C256" s="7" t="s">
        <v>3017</v>
      </c>
      <c r="D256" s="13">
        <v>186.57</v>
      </c>
    </row>
    <row r="257" spans="1:4" ht="21" x14ac:dyDescent="0.35">
      <c r="A257" s="7" t="s">
        <v>3530</v>
      </c>
      <c r="B257" s="7" t="s">
        <v>3531</v>
      </c>
      <c r="C257" s="7" t="s">
        <v>3017</v>
      </c>
      <c r="D257" s="13">
        <v>101.82</v>
      </c>
    </row>
    <row r="258" spans="1:4" ht="21" x14ac:dyDescent="0.35">
      <c r="A258" s="7" t="s">
        <v>3532</v>
      </c>
      <c r="B258" s="7" t="s">
        <v>3533</v>
      </c>
      <c r="C258" s="7" t="s">
        <v>3029</v>
      </c>
      <c r="D258" s="13">
        <v>432.32</v>
      </c>
    </row>
    <row r="259" spans="1:4" ht="21" x14ac:dyDescent="0.35">
      <c r="A259" s="7" t="s">
        <v>3534</v>
      </c>
      <c r="B259" s="7" t="s">
        <v>3535</v>
      </c>
      <c r="C259" s="7" t="s">
        <v>3036</v>
      </c>
      <c r="D259" s="13">
        <v>149.94999999999999</v>
      </c>
    </row>
    <row r="260" spans="1:4" ht="21" x14ac:dyDescent="0.35">
      <c r="A260" s="7" t="s">
        <v>3536</v>
      </c>
      <c r="B260" s="7" t="s">
        <v>3537</v>
      </c>
      <c r="C260" s="7" t="s">
        <v>3049</v>
      </c>
      <c r="D260" s="13">
        <v>362.25</v>
      </c>
    </row>
    <row r="261" spans="1:4" ht="21" x14ac:dyDescent="0.35">
      <c r="A261" s="7" t="s">
        <v>3538</v>
      </c>
      <c r="B261" s="7" t="s">
        <v>3539</v>
      </c>
      <c r="C261" s="7" t="s">
        <v>3029</v>
      </c>
      <c r="D261" s="13">
        <v>474.47</v>
      </c>
    </row>
    <row r="262" spans="1:4" ht="21" x14ac:dyDescent="0.35">
      <c r="A262" s="7" t="s">
        <v>3540</v>
      </c>
      <c r="B262" s="7" t="s">
        <v>3541</v>
      </c>
      <c r="C262" s="7" t="s">
        <v>3017</v>
      </c>
      <c r="D262" s="13">
        <v>49.68</v>
      </c>
    </row>
    <row r="263" spans="1:4" ht="21" x14ac:dyDescent="0.35">
      <c r="A263" s="7" t="s">
        <v>3542</v>
      </c>
      <c r="B263" s="7" t="s">
        <v>3543</v>
      </c>
      <c r="C263" s="7" t="s">
        <v>3029</v>
      </c>
      <c r="D263" s="13">
        <v>325.38</v>
      </c>
    </row>
    <row r="264" spans="1:4" ht="21" x14ac:dyDescent="0.35">
      <c r="A264" s="7" t="s">
        <v>3544</v>
      </c>
      <c r="B264" s="7" t="s">
        <v>3545</v>
      </c>
      <c r="C264" s="7" t="s">
        <v>3049</v>
      </c>
      <c r="D264" s="13">
        <v>337.19</v>
      </c>
    </row>
    <row r="265" spans="1:4" ht="21" x14ac:dyDescent="0.35">
      <c r="A265" s="7" t="s">
        <v>3546</v>
      </c>
      <c r="B265" s="7" t="s">
        <v>3547</v>
      </c>
      <c r="C265" s="7" t="s">
        <v>3049</v>
      </c>
      <c r="D265" s="13">
        <v>287.17</v>
      </c>
    </row>
    <row r="266" spans="1:4" ht="21" x14ac:dyDescent="0.35">
      <c r="A266" s="7" t="s">
        <v>3548</v>
      </c>
      <c r="B266" s="7" t="s">
        <v>3549</v>
      </c>
      <c r="C266" s="7" t="s">
        <v>3017</v>
      </c>
      <c r="D266" s="13">
        <v>300.54000000000002</v>
      </c>
    </row>
    <row r="267" spans="1:4" ht="21" x14ac:dyDescent="0.35">
      <c r="A267" s="7" t="s">
        <v>3550</v>
      </c>
      <c r="B267" s="7" t="s">
        <v>3551</v>
      </c>
      <c r="C267" s="7" t="s">
        <v>3017</v>
      </c>
      <c r="D267" s="13">
        <v>81.11</v>
      </c>
    </row>
    <row r="268" spans="1:4" ht="21" x14ac:dyDescent="0.35">
      <c r="A268" s="7" t="s">
        <v>3552</v>
      </c>
      <c r="B268" s="7" t="s">
        <v>3553</v>
      </c>
      <c r="C268" s="7" t="s">
        <v>3017</v>
      </c>
      <c r="D268" s="13">
        <v>430.53</v>
      </c>
    </row>
    <row r="269" spans="1:4" ht="21" x14ac:dyDescent="0.35">
      <c r="A269" s="7" t="s">
        <v>3554</v>
      </c>
      <c r="B269" s="7" t="s">
        <v>3555</v>
      </c>
      <c r="C269" s="7" t="s">
        <v>3020</v>
      </c>
      <c r="D269" s="13">
        <v>247.14</v>
      </c>
    </row>
    <row r="270" spans="1:4" ht="21" x14ac:dyDescent="0.35">
      <c r="A270" s="7" t="s">
        <v>3556</v>
      </c>
      <c r="B270" s="7" t="s">
        <v>3557</v>
      </c>
      <c r="C270" s="7" t="s">
        <v>3036</v>
      </c>
      <c r="D270" s="13">
        <v>51.25</v>
      </c>
    </row>
    <row r="271" spans="1:4" ht="21" x14ac:dyDescent="0.35">
      <c r="A271" s="7" t="s">
        <v>3558</v>
      </c>
      <c r="B271" s="7" t="s">
        <v>3559</v>
      </c>
      <c r="C271" s="7" t="s">
        <v>3036</v>
      </c>
      <c r="D271" s="13">
        <v>145.25</v>
      </c>
    </row>
    <row r="272" spans="1:4" ht="21" x14ac:dyDescent="0.35">
      <c r="A272" s="7" t="s">
        <v>3560</v>
      </c>
      <c r="B272" s="7" t="s">
        <v>3561</v>
      </c>
      <c r="C272" s="7" t="s">
        <v>3049</v>
      </c>
      <c r="D272" s="13">
        <v>433.19</v>
      </c>
    </row>
    <row r="273" spans="1:4" ht="21" x14ac:dyDescent="0.35">
      <c r="A273" s="7" t="s">
        <v>3562</v>
      </c>
      <c r="B273" s="7" t="s">
        <v>3563</v>
      </c>
      <c r="C273" s="7" t="s">
        <v>3049</v>
      </c>
      <c r="D273" s="13">
        <v>95.72</v>
      </c>
    </row>
    <row r="274" spans="1:4" ht="21" x14ac:dyDescent="0.35">
      <c r="A274" s="7" t="s">
        <v>3564</v>
      </c>
      <c r="B274" s="7" t="s">
        <v>3565</v>
      </c>
      <c r="C274" s="7" t="s">
        <v>3049</v>
      </c>
      <c r="D274" s="13">
        <v>81.459999999999994</v>
      </c>
    </row>
    <row r="275" spans="1:4" ht="21" x14ac:dyDescent="0.35">
      <c r="A275" s="7" t="s">
        <v>3566</v>
      </c>
      <c r="B275" s="7" t="s">
        <v>3567</v>
      </c>
      <c r="C275" s="7" t="s">
        <v>3017</v>
      </c>
      <c r="D275" s="13">
        <v>18.62</v>
      </c>
    </row>
    <row r="276" spans="1:4" ht="21" x14ac:dyDescent="0.35">
      <c r="A276" s="7" t="s">
        <v>3568</v>
      </c>
      <c r="B276" s="7" t="s">
        <v>3569</v>
      </c>
      <c r="C276" s="7" t="s">
        <v>3049</v>
      </c>
      <c r="D276" s="13">
        <v>472.34</v>
      </c>
    </row>
    <row r="277" spans="1:4" ht="21" x14ac:dyDescent="0.35">
      <c r="A277" s="7" t="s">
        <v>3570</v>
      </c>
      <c r="B277" s="7" t="s">
        <v>3571</v>
      </c>
      <c r="C277" s="7" t="s">
        <v>3020</v>
      </c>
      <c r="D277" s="13">
        <v>494.01</v>
      </c>
    </row>
    <row r="278" spans="1:4" ht="21" x14ac:dyDescent="0.35">
      <c r="A278" s="7" t="s">
        <v>3572</v>
      </c>
      <c r="B278" s="7" t="s">
        <v>3573</v>
      </c>
      <c r="C278" s="7" t="s">
        <v>3029</v>
      </c>
      <c r="D278" s="13">
        <v>272.75</v>
      </c>
    </row>
    <row r="279" spans="1:4" ht="21" x14ac:dyDescent="0.35">
      <c r="A279" s="7" t="s">
        <v>3574</v>
      </c>
      <c r="B279" s="7" t="s">
        <v>3575</v>
      </c>
      <c r="C279" s="7" t="s">
        <v>3029</v>
      </c>
      <c r="D279" s="13">
        <v>389.89</v>
      </c>
    </row>
    <row r="280" spans="1:4" ht="21" x14ac:dyDescent="0.35">
      <c r="A280" s="7" t="s">
        <v>3576</v>
      </c>
      <c r="B280" s="7" t="s">
        <v>3577</v>
      </c>
      <c r="C280" s="7" t="s">
        <v>3036</v>
      </c>
      <c r="D280" s="13">
        <v>418.53</v>
      </c>
    </row>
    <row r="281" spans="1:4" ht="21" x14ac:dyDescent="0.35">
      <c r="A281" s="7" t="s">
        <v>3578</v>
      </c>
      <c r="B281" s="7" t="s">
        <v>3579</v>
      </c>
      <c r="C281" s="7" t="s">
        <v>3020</v>
      </c>
      <c r="D281" s="13">
        <v>426.72</v>
      </c>
    </row>
    <row r="282" spans="1:4" ht="21" x14ac:dyDescent="0.35">
      <c r="A282" s="7" t="s">
        <v>3580</v>
      </c>
      <c r="B282" s="7" t="s">
        <v>3581</v>
      </c>
      <c r="C282" s="7" t="s">
        <v>3049</v>
      </c>
      <c r="D282" s="13">
        <v>8.92</v>
      </c>
    </row>
    <row r="283" spans="1:4" ht="21" x14ac:dyDescent="0.35">
      <c r="A283" s="7" t="s">
        <v>3582</v>
      </c>
      <c r="B283" s="7" t="s">
        <v>3583</v>
      </c>
      <c r="C283" s="7" t="s">
        <v>3049</v>
      </c>
      <c r="D283" s="13">
        <v>473.61</v>
      </c>
    </row>
    <row r="284" spans="1:4" ht="21" x14ac:dyDescent="0.35">
      <c r="A284" s="7" t="s">
        <v>3584</v>
      </c>
      <c r="B284" s="7" t="s">
        <v>3585</v>
      </c>
      <c r="C284" s="7" t="s">
        <v>3017</v>
      </c>
      <c r="D284" s="13">
        <v>55.76</v>
      </c>
    </row>
    <row r="285" spans="1:4" ht="21" x14ac:dyDescent="0.35">
      <c r="A285" s="7" t="s">
        <v>3586</v>
      </c>
      <c r="B285" s="7" t="s">
        <v>3587</v>
      </c>
      <c r="C285" s="7" t="s">
        <v>3029</v>
      </c>
      <c r="D285" s="13">
        <v>151.47999999999999</v>
      </c>
    </row>
    <row r="286" spans="1:4" ht="21" x14ac:dyDescent="0.35">
      <c r="A286" s="7" t="s">
        <v>3588</v>
      </c>
      <c r="B286" s="7" t="s">
        <v>3589</v>
      </c>
      <c r="C286" s="7" t="s">
        <v>3020</v>
      </c>
      <c r="D286" s="13">
        <v>222.09</v>
      </c>
    </row>
    <row r="287" spans="1:4" ht="21" x14ac:dyDescent="0.35">
      <c r="A287" s="7" t="s">
        <v>3590</v>
      </c>
      <c r="B287" s="7" t="s">
        <v>3591</v>
      </c>
      <c r="C287" s="7" t="s">
        <v>3017</v>
      </c>
      <c r="D287" s="13">
        <v>228.02</v>
      </c>
    </row>
    <row r="288" spans="1:4" ht="21" x14ac:dyDescent="0.35">
      <c r="A288" s="7" t="s">
        <v>3592</v>
      </c>
      <c r="B288" s="7" t="s">
        <v>3593</v>
      </c>
      <c r="C288" s="7" t="s">
        <v>3036</v>
      </c>
      <c r="D288" s="13">
        <v>392.35</v>
      </c>
    </row>
    <row r="289" spans="1:4" ht="21" x14ac:dyDescent="0.35">
      <c r="A289" s="7" t="s">
        <v>3594</v>
      </c>
      <c r="B289" s="7" t="s">
        <v>3595</v>
      </c>
      <c r="C289" s="7" t="s">
        <v>3017</v>
      </c>
      <c r="D289" s="13">
        <v>376.73</v>
      </c>
    </row>
    <row r="290" spans="1:4" ht="21" x14ac:dyDescent="0.35">
      <c r="A290" s="7" t="s">
        <v>3596</v>
      </c>
      <c r="B290" s="7" t="s">
        <v>3597</v>
      </c>
      <c r="C290" s="7" t="s">
        <v>3029</v>
      </c>
      <c r="D290" s="13">
        <v>362.84</v>
      </c>
    </row>
    <row r="291" spans="1:4" ht="21" x14ac:dyDescent="0.35">
      <c r="A291" s="7" t="s">
        <v>3598</v>
      </c>
      <c r="B291" s="7" t="s">
        <v>3599</v>
      </c>
      <c r="C291" s="7" t="s">
        <v>3029</v>
      </c>
      <c r="D291" s="13">
        <v>305.95</v>
      </c>
    </row>
    <row r="292" spans="1:4" ht="21" x14ac:dyDescent="0.35">
      <c r="A292" s="7" t="s">
        <v>3600</v>
      </c>
      <c r="B292" s="7" t="s">
        <v>3601</v>
      </c>
      <c r="C292" s="7" t="s">
        <v>3036</v>
      </c>
      <c r="D292" s="13">
        <v>260.81</v>
      </c>
    </row>
    <row r="293" spans="1:4" ht="21" x14ac:dyDescent="0.35">
      <c r="A293" s="7" t="s">
        <v>3602</v>
      </c>
      <c r="B293" s="7" t="s">
        <v>3603</v>
      </c>
      <c r="C293" s="7" t="s">
        <v>3036</v>
      </c>
      <c r="D293" s="13">
        <v>383.93</v>
      </c>
    </row>
    <row r="294" spans="1:4" ht="21" x14ac:dyDescent="0.35">
      <c r="A294" s="7" t="s">
        <v>3604</v>
      </c>
      <c r="B294" s="7" t="s">
        <v>3605</v>
      </c>
      <c r="C294" s="7" t="s">
        <v>3017</v>
      </c>
      <c r="D294" s="13">
        <v>169.8</v>
      </c>
    </row>
    <row r="295" spans="1:4" ht="21" x14ac:dyDescent="0.35">
      <c r="A295" s="7" t="s">
        <v>3606</v>
      </c>
      <c r="B295" s="7" t="s">
        <v>3607</v>
      </c>
      <c r="C295" s="7" t="s">
        <v>3017</v>
      </c>
      <c r="D295" s="13">
        <v>346.85</v>
      </c>
    </row>
    <row r="296" spans="1:4" ht="21" x14ac:dyDescent="0.35">
      <c r="A296" s="7" t="s">
        <v>3608</v>
      </c>
      <c r="B296" s="7" t="s">
        <v>3609</v>
      </c>
      <c r="C296" s="7" t="s">
        <v>3029</v>
      </c>
      <c r="D296" s="13">
        <v>337.91</v>
      </c>
    </row>
    <row r="297" spans="1:4" ht="21" x14ac:dyDescent="0.35">
      <c r="A297" s="7" t="s">
        <v>3610</v>
      </c>
      <c r="B297" s="7" t="s">
        <v>3611</v>
      </c>
      <c r="C297" s="7" t="s">
        <v>3029</v>
      </c>
      <c r="D297" s="13">
        <v>285.52999999999997</v>
      </c>
    </row>
    <row r="298" spans="1:4" ht="21" x14ac:dyDescent="0.35">
      <c r="A298" s="7" t="s">
        <v>3612</v>
      </c>
      <c r="B298" s="7" t="s">
        <v>3613</v>
      </c>
      <c r="C298" s="7" t="s">
        <v>3017</v>
      </c>
      <c r="D298" s="13">
        <v>418.79</v>
      </c>
    </row>
    <row r="299" spans="1:4" ht="21" x14ac:dyDescent="0.35">
      <c r="A299" s="7" t="s">
        <v>3614</v>
      </c>
      <c r="B299" s="7" t="s">
        <v>3615</v>
      </c>
      <c r="C299" s="7" t="s">
        <v>3020</v>
      </c>
      <c r="D299" s="13">
        <v>412.48</v>
      </c>
    </row>
    <row r="300" spans="1:4" ht="21" x14ac:dyDescent="0.35">
      <c r="A300" s="7" t="s">
        <v>3616</v>
      </c>
      <c r="B300" s="7" t="s">
        <v>3617</v>
      </c>
      <c r="C300" s="7" t="s">
        <v>3029</v>
      </c>
      <c r="D300" s="13">
        <v>146.44</v>
      </c>
    </row>
    <row r="301" spans="1:4" ht="21" x14ac:dyDescent="0.35">
      <c r="A301" s="7" t="s">
        <v>3618</v>
      </c>
      <c r="B301" s="7" t="s">
        <v>3619</v>
      </c>
      <c r="C301" s="7" t="s">
        <v>3029</v>
      </c>
      <c r="D301" s="13">
        <v>384.48</v>
      </c>
    </row>
    <row r="302" spans="1:4" ht="21" x14ac:dyDescent="0.35">
      <c r="A302" s="7" t="s">
        <v>3620</v>
      </c>
      <c r="B302" s="7" t="s">
        <v>3621</v>
      </c>
      <c r="C302" s="7" t="s">
        <v>3049</v>
      </c>
      <c r="D302" s="13">
        <v>369.34</v>
      </c>
    </row>
    <row r="303" spans="1:4" ht="21" x14ac:dyDescent="0.35">
      <c r="A303" s="7" t="s">
        <v>3622</v>
      </c>
      <c r="B303" s="7" t="s">
        <v>3623</v>
      </c>
      <c r="C303" s="7" t="s">
        <v>3036</v>
      </c>
      <c r="D303" s="13">
        <v>12.94</v>
      </c>
    </row>
    <row r="304" spans="1:4" ht="21" x14ac:dyDescent="0.35">
      <c r="A304" s="7" t="s">
        <v>3624</v>
      </c>
      <c r="B304" s="7" t="s">
        <v>3625</v>
      </c>
      <c r="C304" s="7" t="s">
        <v>3029</v>
      </c>
      <c r="D304" s="13">
        <v>399.01</v>
      </c>
    </row>
    <row r="305" spans="1:4" ht="21" x14ac:dyDescent="0.35">
      <c r="A305" s="7" t="s">
        <v>3626</v>
      </c>
      <c r="B305" s="7" t="s">
        <v>3627</v>
      </c>
      <c r="C305" s="7" t="s">
        <v>3020</v>
      </c>
      <c r="D305" s="13">
        <v>306.99</v>
      </c>
    </row>
    <row r="306" spans="1:4" ht="21" x14ac:dyDescent="0.35">
      <c r="A306" s="7" t="s">
        <v>3628</v>
      </c>
      <c r="B306" s="7" t="s">
        <v>3629</v>
      </c>
      <c r="C306" s="7" t="s">
        <v>3017</v>
      </c>
      <c r="D306" s="13">
        <v>257.35000000000002</v>
      </c>
    </row>
    <row r="307" spans="1:4" ht="21" x14ac:dyDescent="0.35">
      <c r="A307" s="7" t="s">
        <v>3630</v>
      </c>
      <c r="B307" s="7" t="s">
        <v>3631</v>
      </c>
      <c r="C307" s="7" t="s">
        <v>3036</v>
      </c>
      <c r="D307" s="13">
        <v>181.6</v>
      </c>
    </row>
    <row r="308" spans="1:4" ht="21" x14ac:dyDescent="0.35">
      <c r="A308" s="7" t="s">
        <v>3632</v>
      </c>
      <c r="B308" s="7" t="s">
        <v>3633</v>
      </c>
      <c r="C308" s="7" t="s">
        <v>3036</v>
      </c>
      <c r="D308" s="13">
        <v>237.8</v>
      </c>
    </row>
    <row r="309" spans="1:4" ht="21" x14ac:dyDescent="0.35">
      <c r="A309" s="7" t="s">
        <v>3634</v>
      </c>
      <c r="B309" s="7" t="s">
        <v>3635</v>
      </c>
      <c r="C309" s="7" t="s">
        <v>3017</v>
      </c>
      <c r="D309" s="13">
        <v>113.94</v>
      </c>
    </row>
    <row r="310" spans="1:4" ht="21" x14ac:dyDescent="0.35">
      <c r="A310" s="7" t="s">
        <v>3636</v>
      </c>
      <c r="B310" s="7" t="s">
        <v>3637</v>
      </c>
      <c r="C310" s="7" t="s">
        <v>3017</v>
      </c>
      <c r="D310" s="13">
        <v>39.409999999999997</v>
      </c>
    </row>
    <row r="311" spans="1:4" ht="21" x14ac:dyDescent="0.35">
      <c r="A311" s="7" t="s">
        <v>3638</v>
      </c>
      <c r="B311" s="7" t="s">
        <v>3639</v>
      </c>
      <c r="C311" s="7" t="s">
        <v>3017</v>
      </c>
      <c r="D311" s="13">
        <v>337.38</v>
      </c>
    </row>
    <row r="312" spans="1:4" ht="21" x14ac:dyDescent="0.35">
      <c r="A312" s="7" t="s">
        <v>3640</v>
      </c>
      <c r="B312" s="7" t="s">
        <v>3641</v>
      </c>
      <c r="C312" s="7" t="s">
        <v>3029</v>
      </c>
      <c r="D312" s="13">
        <v>348.17</v>
      </c>
    </row>
    <row r="313" spans="1:4" ht="21" x14ac:dyDescent="0.35">
      <c r="A313" s="7" t="s">
        <v>3642</v>
      </c>
      <c r="B313" s="7" t="s">
        <v>3643</v>
      </c>
      <c r="C313" s="7" t="s">
        <v>3036</v>
      </c>
      <c r="D313" s="13">
        <v>52.3</v>
      </c>
    </row>
    <row r="314" spans="1:4" ht="21" x14ac:dyDescent="0.35">
      <c r="A314" s="7" t="s">
        <v>3644</v>
      </c>
      <c r="B314" s="7" t="s">
        <v>3645</v>
      </c>
      <c r="C314" s="7" t="s">
        <v>3036</v>
      </c>
      <c r="D314" s="13">
        <v>163.4</v>
      </c>
    </row>
    <row r="315" spans="1:4" ht="21" x14ac:dyDescent="0.35">
      <c r="A315" s="7" t="s">
        <v>3646</v>
      </c>
      <c r="B315" s="7" t="s">
        <v>3647</v>
      </c>
      <c r="C315" s="7" t="s">
        <v>3029</v>
      </c>
      <c r="D315" s="13">
        <v>203.29</v>
      </c>
    </row>
    <row r="316" spans="1:4" ht="21" x14ac:dyDescent="0.35">
      <c r="A316" s="7" t="s">
        <v>3648</v>
      </c>
      <c r="B316" s="7" t="s">
        <v>3649</v>
      </c>
      <c r="C316" s="7" t="s">
        <v>3049</v>
      </c>
      <c r="D316" s="13">
        <v>212.99</v>
      </c>
    </row>
    <row r="317" spans="1:4" ht="21" x14ac:dyDescent="0.35">
      <c r="A317" s="7" t="s">
        <v>3650</v>
      </c>
      <c r="B317" s="7" t="s">
        <v>3651</v>
      </c>
      <c r="C317" s="7" t="s">
        <v>3036</v>
      </c>
      <c r="D317" s="13">
        <v>470.53</v>
      </c>
    </row>
    <row r="318" spans="1:4" ht="21" x14ac:dyDescent="0.35">
      <c r="A318" s="7" t="s">
        <v>3652</v>
      </c>
      <c r="B318" s="7" t="s">
        <v>3653</v>
      </c>
      <c r="C318" s="7" t="s">
        <v>3029</v>
      </c>
      <c r="D318" s="13">
        <v>24.73</v>
      </c>
    </row>
    <row r="319" spans="1:4" ht="21" x14ac:dyDescent="0.35">
      <c r="A319" s="7" t="s">
        <v>3654</v>
      </c>
      <c r="B319" s="7" t="s">
        <v>3655</v>
      </c>
      <c r="C319" s="7" t="s">
        <v>3020</v>
      </c>
      <c r="D319" s="13">
        <v>272.77999999999997</v>
      </c>
    </row>
    <row r="320" spans="1:4" ht="21" x14ac:dyDescent="0.35">
      <c r="A320" s="7" t="s">
        <v>3656</v>
      </c>
      <c r="B320" s="7" t="s">
        <v>3657</v>
      </c>
      <c r="C320" s="7" t="s">
        <v>3017</v>
      </c>
      <c r="D320" s="13">
        <v>370.98</v>
      </c>
    </row>
    <row r="321" spans="1:4" ht="21" x14ac:dyDescent="0.35">
      <c r="A321" s="7" t="s">
        <v>3658</v>
      </c>
      <c r="B321" s="7" t="s">
        <v>3659</v>
      </c>
      <c r="C321" s="7" t="s">
        <v>3017</v>
      </c>
      <c r="D321" s="13">
        <v>161.71</v>
      </c>
    </row>
    <row r="322" spans="1:4" ht="21" x14ac:dyDescent="0.35">
      <c r="A322" s="7" t="s">
        <v>3660</v>
      </c>
      <c r="B322" s="7" t="s">
        <v>3661</v>
      </c>
      <c r="C322" s="7" t="s">
        <v>3049</v>
      </c>
      <c r="D322" s="13">
        <v>39.39</v>
      </c>
    </row>
    <row r="323" spans="1:4" ht="21" x14ac:dyDescent="0.35">
      <c r="A323" s="7" t="s">
        <v>3662</v>
      </c>
      <c r="B323" s="7" t="s">
        <v>3663</v>
      </c>
      <c r="C323" s="7" t="s">
        <v>3017</v>
      </c>
      <c r="D323" s="13">
        <v>14.3</v>
      </c>
    </row>
    <row r="324" spans="1:4" ht="21" x14ac:dyDescent="0.35">
      <c r="A324" s="7" t="s">
        <v>3664</v>
      </c>
      <c r="B324" s="7" t="s">
        <v>3665</v>
      </c>
      <c r="C324" s="7" t="s">
        <v>3029</v>
      </c>
      <c r="D324" s="13">
        <v>449.35</v>
      </c>
    </row>
    <row r="325" spans="1:4" ht="21" x14ac:dyDescent="0.35">
      <c r="A325" s="7" t="s">
        <v>3666</v>
      </c>
      <c r="B325" s="7" t="s">
        <v>3667</v>
      </c>
      <c r="C325" s="7" t="s">
        <v>3020</v>
      </c>
      <c r="D325" s="13">
        <v>230.35</v>
      </c>
    </row>
    <row r="326" spans="1:4" ht="21" x14ac:dyDescent="0.35">
      <c r="A326" s="7" t="s">
        <v>3668</v>
      </c>
      <c r="B326" s="7" t="s">
        <v>3669</v>
      </c>
      <c r="C326" s="7" t="s">
        <v>3020</v>
      </c>
      <c r="D326" s="13">
        <v>428.04</v>
      </c>
    </row>
    <row r="327" spans="1:4" ht="21" x14ac:dyDescent="0.35">
      <c r="A327" s="7" t="s">
        <v>3670</v>
      </c>
      <c r="B327" s="7" t="s">
        <v>3671</v>
      </c>
      <c r="C327" s="7" t="s">
        <v>3036</v>
      </c>
      <c r="D327" s="13">
        <v>305.04000000000002</v>
      </c>
    </row>
    <row r="328" spans="1:4" ht="21" x14ac:dyDescent="0.35">
      <c r="A328" s="7" t="s">
        <v>3672</v>
      </c>
      <c r="B328" s="7" t="s">
        <v>3673</v>
      </c>
      <c r="C328" s="7" t="s">
        <v>3017</v>
      </c>
      <c r="D328" s="13">
        <v>286.63</v>
      </c>
    </row>
    <row r="329" spans="1:4" ht="21" x14ac:dyDescent="0.35">
      <c r="A329" s="7" t="s">
        <v>3674</v>
      </c>
      <c r="B329" s="7" t="s">
        <v>3675</v>
      </c>
      <c r="C329" s="7" t="s">
        <v>3029</v>
      </c>
      <c r="D329" s="13">
        <v>367.02</v>
      </c>
    </row>
    <row r="330" spans="1:4" ht="21" x14ac:dyDescent="0.35">
      <c r="A330" s="7" t="s">
        <v>3676</v>
      </c>
      <c r="B330" s="7" t="s">
        <v>3677</v>
      </c>
      <c r="C330" s="7" t="s">
        <v>3017</v>
      </c>
      <c r="D330" s="13">
        <v>285.88</v>
      </c>
    </row>
    <row r="331" spans="1:4" ht="21" x14ac:dyDescent="0.35">
      <c r="A331" s="7" t="s">
        <v>3678</v>
      </c>
      <c r="B331" s="7" t="s">
        <v>3679</v>
      </c>
      <c r="C331" s="7" t="s">
        <v>3017</v>
      </c>
      <c r="D331" s="13">
        <v>18.88</v>
      </c>
    </row>
    <row r="332" spans="1:4" ht="21" x14ac:dyDescent="0.35">
      <c r="A332" s="7" t="s">
        <v>3680</v>
      </c>
      <c r="B332" s="7" t="s">
        <v>3681</v>
      </c>
      <c r="C332" s="7" t="s">
        <v>3049</v>
      </c>
      <c r="D332" s="13">
        <v>160.81</v>
      </c>
    </row>
    <row r="333" spans="1:4" ht="21" x14ac:dyDescent="0.35">
      <c r="A333" s="7" t="s">
        <v>3682</v>
      </c>
      <c r="B333" s="7" t="s">
        <v>3683</v>
      </c>
      <c r="C333" s="7" t="s">
        <v>3017</v>
      </c>
      <c r="D333" s="13">
        <v>441.45</v>
      </c>
    </row>
    <row r="334" spans="1:4" ht="21" x14ac:dyDescent="0.35">
      <c r="A334" s="7" t="s">
        <v>3684</v>
      </c>
      <c r="B334" s="7" t="s">
        <v>3685</v>
      </c>
      <c r="C334" s="7" t="s">
        <v>3029</v>
      </c>
      <c r="D334" s="13">
        <v>90.49</v>
      </c>
    </row>
    <row r="335" spans="1:4" ht="21" x14ac:dyDescent="0.35">
      <c r="A335" s="7" t="s">
        <v>3686</v>
      </c>
      <c r="B335" s="7" t="s">
        <v>3687</v>
      </c>
      <c r="C335" s="7" t="s">
        <v>3017</v>
      </c>
      <c r="D335" s="13">
        <v>431.52</v>
      </c>
    </row>
    <row r="336" spans="1:4" ht="21" x14ac:dyDescent="0.35">
      <c r="A336" s="7" t="s">
        <v>3688</v>
      </c>
      <c r="B336" s="7" t="s">
        <v>3689</v>
      </c>
      <c r="C336" s="7" t="s">
        <v>3029</v>
      </c>
      <c r="D336" s="13">
        <v>276.16000000000003</v>
      </c>
    </row>
    <row r="337" spans="1:4" ht="21" x14ac:dyDescent="0.35">
      <c r="A337" s="7" t="s">
        <v>3690</v>
      </c>
      <c r="B337" s="7" t="s">
        <v>3691</v>
      </c>
      <c r="C337" s="7" t="s">
        <v>3049</v>
      </c>
      <c r="D337" s="13">
        <v>71.55</v>
      </c>
    </row>
    <row r="338" spans="1:4" ht="21" x14ac:dyDescent="0.35">
      <c r="A338" s="7" t="s">
        <v>3692</v>
      </c>
      <c r="B338" s="7" t="s">
        <v>3693</v>
      </c>
      <c r="C338" s="7" t="s">
        <v>3029</v>
      </c>
      <c r="D338" s="13">
        <v>319.87</v>
      </c>
    </row>
    <row r="339" spans="1:4" ht="21" x14ac:dyDescent="0.35">
      <c r="A339" s="7" t="s">
        <v>3694</v>
      </c>
      <c r="B339" s="7" t="s">
        <v>3695</v>
      </c>
      <c r="C339" s="7" t="s">
        <v>3020</v>
      </c>
      <c r="D339" s="13">
        <v>491.06</v>
      </c>
    </row>
    <row r="340" spans="1:4" ht="21" x14ac:dyDescent="0.35">
      <c r="A340" s="7" t="s">
        <v>3696</v>
      </c>
      <c r="B340" s="7" t="s">
        <v>3697</v>
      </c>
      <c r="C340" s="7" t="s">
        <v>3036</v>
      </c>
      <c r="D340" s="13">
        <v>42.04</v>
      </c>
    </row>
    <row r="341" spans="1:4" ht="21" x14ac:dyDescent="0.35">
      <c r="A341" s="7" t="s">
        <v>3698</v>
      </c>
      <c r="B341" s="7" t="s">
        <v>3699</v>
      </c>
      <c r="C341" s="7" t="s">
        <v>3017</v>
      </c>
      <c r="D341" s="13">
        <v>124.34</v>
      </c>
    </row>
    <row r="342" spans="1:4" ht="21" x14ac:dyDescent="0.35">
      <c r="A342" s="7" t="s">
        <v>3700</v>
      </c>
      <c r="B342" s="7" t="s">
        <v>3701</v>
      </c>
      <c r="C342" s="7" t="s">
        <v>3029</v>
      </c>
      <c r="D342" s="13">
        <v>325.27999999999997</v>
      </c>
    </row>
    <row r="343" spans="1:4" ht="21" x14ac:dyDescent="0.35">
      <c r="A343" s="7" t="s">
        <v>3702</v>
      </c>
      <c r="B343" s="7" t="s">
        <v>3703</v>
      </c>
      <c r="C343" s="7" t="s">
        <v>3020</v>
      </c>
      <c r="D343" s="13">
        <v>79.48</v>
      </c>
    </row>
    <row r="344" spans="1:4" ht="21" x14ac:dyDescent="0.35">
      <c r="A344" s="7" t="s">
        <v>3704</v>
      </c>
      <c r="B344" s="7" t="s">
        <v>3705</v>
      </c>
      <c r="C344" s="7" t="s">
        <v>3036</v>
      </c>
      <c r="D344" s="13">
        <v>487.11</v>
      </c>
    </row>
    <row r="345" spans="1:4" ht="21" x14ac:dyDescent="0.35">
      <c r="A345" s="7" t="s">
        <v>3706</v>
      </c>
      <c r="B345" s="7" t="s">
        <v>3707</v>
      </c>
      <c r="C345" s="7" t="s">
        <v>3017</v>
      </c>
      <c r="D345" s="13">
        <v>215.82</v>
      </c>
    </row>
    <row r="346" spans="1:4" ht="21" x14ac:dyDescent="0.35">
      <c r="A346" s="7" t="s">
        <v>3708</v>
      </c>
      <c r="B346" s="7" t="s">
        <v>3709</v>
      </c>
      <c r="C346" s="7" t="s">
        <v>3036</v>
      </c>
      <c r="D346" s="13">
        <v>96.92</v>
      </c>
    </row>
    <row r="347" spans="1:4" ht="21" x14ac:dyDescent="0.35">
      <c r="A347" s="7" t="s">
        <v>3710</v>
      </c>
      <c r="B347" s="7" t="s">
        <v>3711</v>
      </c>
      <c r="C347" s="7" t="s">
        <v>3049</v>
      </c>
      <c r="D347" s="13">
        <v>360.17</v>
      </c>
    </row>
    <row r="348" spans="1:4" ht="21" x14ac:dyDescent="0.35">
      <c r="A348" s="7" t="s">
        <v>3712</v>
      </c>
      <c r="B348" s="7" t="s">
        <v>3713</v>
      </c>
      <c r="C348" s="7" t="s">
        <v>3049</v>
      </c>
      <c r="D348" s="13">
        <v>101.04</v>
      </c>
    </row>
    <row r="349" spans="1:4" ht="21" x14ac:dyDescent="0.35">
      <c r="A349" s="7" t="s">
        <v>3714</v>
      </c>
      <c r="B349" s="7" t="s">
        <v>3715</v>
      </c>
      <c r="C349" s="7" t="s">
        <v>3049</v>
      </c>
      <c r="D349" s="13">
        <v>37.74</v>
      </c>
    </row>
    <row r="350" spans="1:4" ht="21" x14ac:dyDescent="0.35">
      <c r="A350" s="7" t="s">
        <v>3716</v>
      </c>
      <c r="B350" s="7" t="s">
        <v>3717</v>
      </c>
      <c r="C350" s="7" t="s">
        <v>3017</v>
      </c>
      <c r="D350" s="13">
        <v>372.7</v>
      </c>
    </row>
    <row r="351" spans="1:4" ht="21" x14ac:dyDescent="0.35">
      <c r="A351" s="7" t="s">
        <v>3718</v>
      </c>
      <c r="B351" s="7" t="s">
        <v>3719</v>
      </c>
      <c r="C351" s="7" t="s">
        <v>3017</v>
      </c>
      <c r="D351" s="13">
        <v>485.88</v>
      </c>
    </row>
    <row r="352" spans="1:4" ht="21" x14ac:dyDescent="0.35">
      <c r="A352" s="7" t="s">
        <v>3720</v>
      </c>
      <c r="B352" s="7" t="s">
        <v>3721</v>
      </c>
      <c r="C352" s="7" t="s">
        <v>3049</v>
      </c>
      <c r="D352" s="13">
        <v>458.02</v>
      </c>
    </row>
    <row r="353" spans="1:4" ht="21" x14ac:dyDescent="0.35">
      <c r="A353" s="7" t="s">
        <v>3722</v>
      </c>
      <c r="B353" s="7" t="s">
        <v>3723</v>
      </c>
      <c r="C353" s="7" t="s">
        <v>3017</v>
      </c>
      <c r="D353" s="13">
        <v>47.88</v>
      </c>
    </row>
    <row r="354" spans="1:4" ht="21" x14ac:dyDescent="0.35">
      <c r="A354" s="7" t="s">
        <v>3724</v>
      </c>
      <c r="B354" s="7" t="s">
        <v>3725</v>
      </c>
      <c r="C354" s="7" t="s">
        <v>3020</v>
      </c>
      <c r="D354" s="13">
        <v>47.02</v>
      </c>
    </row>
    <row r="355" spans="1:4" ht="21" x14ac:dyDescent="0.35">
      <c r="A355" s="7" t="s">
        <v>3726</v>
      </c>
      <c r="B355" s="7" t="s">
        <v>3727</v>
      </c>
      <c r="C355" s="7" t="s">
        <v>3020</v>
      </c>
      <c r="D355" s="13">
        <v>298.64</v>
      </c>
    </row>
    <row r="356" spans="1:4" ht="21" x14ac:dyDescent="0.35">
      <c r="A356" s="7" t="s">
        <v>3728</v>
      </c>
      <c r="B356" s="7" t="s">
        <v>3729</v>
      </c>
      <c r="C356" s="7" t="s">
        <v>3029</v>
      </c>
      <c r="D356" s="13">
        <v>340.43</v>
      </c>
    </row>
    <row r="357" spans="1:4" ht="21" x14ac:dyDescent="0.35">
      <c r="A357" s="7" t="s">
        <v>3730</v>
      </c>
      <c r="B357" s="7" t="s">
        <v>3731</v>
      </c>
      <c r="C357" s="7" t="s">
        <v>3017</v>
      </c>
      <c r="D357" s="13">
        <v>177.09</v>
      </c>
    </row>
    <row r="358" spans="1:4" ht="21" x14ac:dyDescent="0.35">
      <c r="A358" s="7" t="s">
        <v>3732</v>
      </c>
      <c r="B358" s="7" t="s">
        <v>3733</v>
      </c>
      <c r="C358" s="7" t="s">
        <v>3049</v>
      </c>
      <c r="D358" s="13">
        <v>131.62</v>
      </c>
    </row>
    <row r="359" spans="1:4" ht="21" x14ac:dyDescent="0.35">
      <c r="A359" s="7" t="s">
        <v>3734</v>
      </c>
      <c r="B359" s="7" t="s">
        <v>3735</v>
      </c>
      <c r="C359" s="7" t="s">
        <v>3036</v>
      </c>
      <c r="D359" s="13">
        <v>242.48</v>
      </c>
    </row>
    <row r="360" spans="1:4" ht="21" x14ac:dyDescent="0.35">
      <c r="A360" s="7" t="s">
        <v>3736</v>
      </c>
      <c r="B360" s="7" t="s">
        <v>3737</v>
      </c>
      <c r="C360" s="7" t="s">
        <v>3020</v>
      </c>
      <c r="D360" s="13">
        <v>320.31</v>
      </c>
    </row>
    <row r="361" spans="1:4" ht="21" x14ac:dyDescent="0.35">
      <c r="A361" s="7" t="s">
        <v>3738</v>
      </c>
      <c r="B361" s="7" t="s">
        <v>3739</v>
      </c>
      <c r="C361" s="7" t="s">
        <v>3049</v>
      </c>
      <c r="D361" s="13">
        <v>496.34</v>
      </c>
    </row>
    <row r="362" spans="1:4" ht="21" x14ac:dyDescent="0.35">
      <c r="A362" s="7" t="s">
        <v>3740</v>
      </c>
      <c r="B362" s="7" t="s">
        <v>3741</v>
      </c>
      <c r="C362" s="7" t="s">
        <v>3036</v>
      </c>
      <c r="D362" s="13">
        <v>149.83000000000001</v>
      </c>
    </row>
    <row r="363" spans="1:4" ht="21" x14ac:dyDescent="0.35">
      <c r="A363" s="7" t="s">
        <v>3742</v>
      </c>
      <c r="B363" s="7" t="s">
        <v>3743</v>
      </c>
      <c r="C363" s="7" t="s">
        <v>3036</v>
      </c>
      <c r="D363" s="13">
        <v>235.87</v>
      </c>
    </row>
    <row r="364" spans="1:4" ht="21" x14ac:dyDescent="0.35">
      <c r="A364" s="7" t="s">
        <v>3744</v>
      </c>
      <c r="B364" s="7" t="s">
        <v>3745</v>
      </c>
      <c r="C364" s="7" t="s">
        <v>3036</v>
      </c>
      <c r="D364" s="13">
        <v>124.41</v>
      </c>
    </row>
    <row r="365" spans="1:4" ht="21" x14ac:dyDescent="0.35">
      <c r="A365" s="7" t="s">
        <v>3746</v>
      </c>
      <c r="B365" s="7" t="s">
        <v>3747</v>
      </c>
      <c r="C365" s="7" t="s">
        <v>3036</v>
      </c>
      <c r="D365" s="13">
        <v>425.62</v>
      </c>
    </row>
    <row r="366" spans="1:4" ht="21" x14ac:dyDescent="0.35">
      <c r="A366" s="7" t="s">
        <v>3748</v>
      </c>
      <c r="B366" s="7" t="s">
        <v>3749</v>
      </c>
      <c r="C366" s="7" t="s">
        <v>3017</v>
      </c>
      <c r="D366" s="13">
        <v>18.690000000000001</v>
      </c>
    </row>
    <row r="367" spans="1:4" ht="21" x14ac:dyDescent="0.35">
      <c r="A367" s="7" t="s">
        <v>3750</v>
      </c>
      <c r="B367" s="7" t="s">
        <v>3751</v>
      </c>
      <c r="C367" s="7" t="s">
        <v>3029</v>
      </c>
      <c r="D367" s="13">
        <v>321.54000000000002</v>
      </c>
    </row>
    <row r="368" spans="1:4" ht="21" x14ac:dyDescent="0.35">
      <c r="A368" s="7" t="s">
        <v>3752</v>
      </c>
      <c r="B368" s="7" t="s">
        <v>3753</v>
      </c>
      <c r="C368" s="7" t="s">
        <v>3029</v>
      </c>
      <c r="D368" s="13">
        <v>64.599999999999994</v>
      </c>
    </row>
    <row r="369" spans="1:4" ht="21" x14ac:dyDescent="0.35">
      <c r="A369" s="7" t="s">
        <v>3754</v>
      </c>
      <c r="B369" s="7" t="s">
        <v>3755</v>
      </c>
      <c r="C369" s="7" t="s">
        <v>3020</v>
      </c>
      <c r="D369" s="13">
        <v>469.99</v>
      </c>
    </row>
    <row r="370" spans="1:4" ht="21" x14ac:dyDescent="0.35">
      <c r="A370" s="7" t="s">
        <v>3756</v>
      </c>
      <c r="B370" s="7" t="s">
        <v>3757</v>
      </c>
      <c r="C370" s="7" t="s">
        <v>3020</v>
      </c>
      <c r="D370" s="13">
        <v>330.56</v>
      </c>
    </row>
    <row r="371" spans="1:4" ht="21" x14ac:dyDescent="0.35">
      <c r="A371" s="7" t="s">
        <v>3758</v>
      </c>
      <c r="B371" s="7" t="s">
        <v>3759</v>
      </c>
      <c r="C371" s="7" t="s">
        <v>3017</v>
      </c>
      <c r="D371" s="13">
        <v>205.26</v>
      </c>
    </row>
    <row r="372" spans="1:4" ht="21" x14ac:dyDescent="0.35">
      <c r="A372" s="7" t="s">
        <v>3760</v>
      </c>
      <c r="B372" s="7" t="s">
        <v>3761</v>
      </c>
      <c r="C372" s="7" t="s">
        <v>3049</v>
      </c>
      <c r="D372" s="13">
        <v>160.24</v>
      </c>
    </row>
    <row r="373" spans="1:4" ht="21" x14ac:dyDescent="0.35">
      <c r="A373" s="7" t="s">
        <v>3762</v>
      </c>
      <c r="B373" s="7" t="s">
        <v>3763</v>
      </c>
      <c r="C373" s="7" t="s">
        <v>3017</v>
      </c>
      <c r="D373" s="13">
        <v>204.68</v>
      </c>
    </row>
    <row r="374" spans="1:4" ht="21" x14ac:dyDescent="0.35">
      <c r="A374" s="7" t="s">
        <v>3764</v>
      </c>
      <c r="B374" s="7" t="s">
        <v>3765</v>
      </c>
      <c r="C374" s="7" t="s">
        <v>3029</v>
      </c>
      <c r="D374" s="13">
        <v>333.99</v>
      </c>
    </row>
    <row r="375" spans="1:4" ht="21" x14ac:dyDescent="0.35">
      <c r="A375" s="7" t="s">
        <v>3766</v>
      </c>
      <c r="B375" s="7" t="s">
        <v>3767</v>
      </c>
      <c r="C375" s="7" t="s">
        <v>3020</v>
      </c>
      <c r="D375" s="13">
        <v>362.19</v>
      </c>
    </row>
    <row r="376" spans="1:4" ht="21" x14ac:dyDescent="0.35">
      <c r="A376" s="7" t="s">
        <v>3768</v>
      </c>
      <c r="B376" s="7" t="s">
        <v>3769</v>
      </c>
      <c r="C376" s="7" t="s">
        <v>3036</v>
      </c>
      <c r="D376" s="13">
        <v>349.08</v>
      </c>
    </row>
    <row r="377" spans="1:4" ht="21" x14ac:dyDescent="0.35">
      <c r="A377" s="7" t="s">
        <v>3770</v>
      </c>
      <c r="B377" s="7" t="s">
        <v>3771</v>
      </c>
      <c r="C377" s="7" t="s">
        <v>3029</v>
      </c>
      <c r="D377" s="13">
        <v>279.13</v>
      </c>
    </row>
    <row r="378" spans="1:4" ht="21" x14ac:dyDescent="0.35">
      <c r="A378" s="7" t="s">
        <v>3772</v>
      </c>
      <c r="B378" s="7" t="s">
        <v>3773</v>
      </c>
      <c r="C378" s="7" t="s">
        <v>3049</v>
      </c>
      <c r="D378" s="13">
        <v>402.63</v>
      </c>
    </row>
    <row r="379" spans="1:4" ht="21" x14ac:dyDescent="0.35">
      <c r="A379" s="7" t="s">
        <v>3774</v>
      </c>
      <c r="B379" s="7" t="s">
        <v>3775</v>
      </c>
      <c r="C379" s="7" t="s">
        <v>3049</v>
      </c>
      <c r="D379" s="13">
        <v>63.8</v>
      </c>
    </row>
    <row r="380" spans="1:4" ht="21" x14ac:dyDescent="0.35">
      <c r="A380" s="7" t="s">
        <v>3776</v>
      </c>
      <c r="B380" s="7" t="s">
        <v>3777</v>
      </c>
      <c r="C380" s="7" t="s">
        <v>3017</v>
      </c>
      <c r="D380" s="13">
        <v>183.93</v>
      </c>
    </row>
    <row r="381" spans="1:4" ht="21" x14ac:dyDescent="0.35">
      <c r="A381" s="7" t="s">
        <v>3778</v>
      </c>
      <c r="B381" s="7" t="s">
        <v>3779</v>
      </c>
      <c r="C381" s="7" t="s">
        <v>3020</v>
      </c>
      <c r="D381" s="13">
        <v>168.03</v>
      </c>
    </row>
    <row r="382" spans="1:4" ht="21" x14ac:dyDescent="0.35">
      <c r="A382" s="7" t="s">
        <v>3780</v>
      </c>
      <c r="B382" s="7" t="s">
        <v>3781</v>
      </c>
      <c r="C382" s="7" t="s">
        <v>3029</v>
      </c>
      <c r="D382" s="13">
        <v>15.49</v>
      </c>
    </row>
    <row r="383" spans="1:4" ht="21" x14ac:dyDescent="0.35">
      <c r="A383" s="7" t="s">
        <v>3782</v>
      </c>
      <c r="B383" s="7" t="s">
        <v>3783</v>
      </c>
      <c r="C383" s="7" t="s">
        <v>3029</v>
      </c>
      <c r="D383" s="13">
        <v>8.67</v>
      </c>
    </row>
    <row r="384" spans="1:4" ht="21" x14ac:dyDescent="0.35">
      <c r="A384" s="7" t="s">
        <v>3784</v>
      </c>
      <c r="B384" s="7" t="s">
        <v>3785</v>
      </c>
      <c r="C384" s="7" t="s">
        <v>3017</v>
      </c>
      <c r="D384" s="13">
        <v>177.98</v>
      </c>
    </row>
    <row r="385" spans="1:4" ht="21" x14ac:dyDescent="0.35">
      <c r="A385" s="7" t="s">
        <v>3786</v>
      </c>
      <c r="B385" s="7" t="s">
        <v>3787</v>
      </c>
      <c r="C385" s="7" t="s">
        <v>3036</v>
      </c>
      <c r="D385" s="13">
        <v>297.32</v>
      </c>
    </row>
    <row r="386" spans="1:4" ht="21" x14ac:dyDescent="0.35">
      <c r="A386" s="7" t="s">
        <v>3788</v>
      </c>
      <c r="B386" s="7" t="s">
        <v>3789</v>
      </c>
      <c r="C386" s="7" t="s">
        <v>3017</v>
      </c>
      <c r="D386" s="13">
        <v>114.37</v>
      </c>
    </row>
    <row r="387" spans="1:4" ht="21" x14ac:dyDescent="0.35">
      <c r="A387" s="7" t="s">
        <v>3790</v>
      </c>
      <c r="B387" s="7" t="s">
        <v>3791</v>
      </c>
      <c r="C387" s="7" t="s">
        <v>3017</v>
      </c>
      <c r="D387" s="13">
        <v>479.74</v>
      </c>
    </row>
    <row r="388" spans="1:4" ht="21" x14ac:dyDescent="0.35">
      <c r="A388" s="7" t="s">
        <v>3792</v>
      </c>
      <c r="B388" s="7" t="s">
        <v>3793</v>
      </c>
      <c r="C388" s="7" t="s">
        <v>3020</v>
      </c>
      <c r="D388" s="13">
        <v>149.5</v>
      </c>
    </row>
    <row r="389" spans="1:4" ht="21" x14ac:dyDescent="0.35">
      <c r="A389" s="7" t="s">
        <v>3794</v>
      </c>
      <c r="B389" s="7" t="s">
        <v>3795</v>
      </c>
      <c r="C389" s="7" t="s">
        <v>3049</v>
      </c>
      <c r="D389" s="13">
        <v>167.04</v>
      </c>
    </row>
    <row r="390" spans="1:4" ht="21" x14ac:dyDescent="0.35">
      <c r="A390" s="7" t="s">
        <v>3796</v>
      </c>
      <c r="B390" s="7" t="s">
        <v>3797</v>
      </c>
      <c r="C390" s="7" t="s">
        <v>3017</v>
      </c>
      <c r="D390" s="13">
        <v>292.8</v>
      </c>
    </row>
    <row r="391" spans="1:4" ht="21" x14ac:dyDescent="0.35">
      <c r="A391" s="7" t="s">
        <v>3798</v>
      </c>
      <c r="B391" s="7" t="s">
        <v>3799</v>
      </c>
      <c r="C391" s="7" t="s">
        <v>3017</v>
      </c>
      <c r="D391" s="13">
        <v>37.54</v>
      </c>
    </row>
    <row r="392" spans="1:4" ht="21" x14ac:dyDescent="0.35">
      <c r="A392" s="7" t="s">
        <v>3800</v>
      </c>
      <c r="B392" s="7" t="s">
        <v>3801</v>
      </c>
      <c r="C392" s="7" t="s">
        <v>3029</v>
      </c>
      <c r="D392" s="13">
        <v>302.58</v>
      </c>
    </row>
    <row r="393" spans="1:4" ht="21" x14ac:dyDescent="0.35">
      <c r="A393" s="7" t="s">
        <v>3802</v>
      </c>
      <c r="B393" s="7" t="s">
        <v>3803</v>
      </c>
      <c r="C393" s="7" t="s">
        <v>3029</v>
      </c>
      <c r="D393" s="13">
        <v>316.67</v>
      </c>
    </row>
    <row r="394" spans="1:4" ht="21" x14ac:dyDescent="0.35">
      <c r="A394" s="7" t="s">
        <v>3804</v>
      </c>
      <c r="B394" s="7" t="s">
        <v>3805</v>
      </c>
      <c r="C394" s="7" t="s">
        <v>3049</v>
      </c>
      <c r="D394" s="13">
        <v>478.11</v>
      </c>
    </row>
    <row r="395" spans="1:4" ht="21" x14ac:dyDescent="0.35">
      <c r="A395" s="7" t="s">
        <v>3806</v>
      </c>
      <c r="B395" s="7" t="s">
        <v>3807</v>
      </c>
      <c r="C395" s="7" t="s">
        <v>3036</v>
      </c>
      <c r="D395" s="13">
        <v>146.80000000000001</v>
      </c>
    </row>
    <row r="396" spans="1:4" ht="21" x14ac:dyDescent="0.35">
      <c r="A396" s="7" t="s">
        <v>3808</v>
      </c>
      <c r="B396" s="7" t="s">
        <v>3809</v>
      </c>
      <c r="C396" s="7" t="s">
        <v>3049</v>
      </c>
      <c r="D396" s="13">
        <v>220.19</v>
      </c>
    </row>
    <row r="397" spans="1:4" ht="21" x14ac:dyDescent="0.35">
      <c r="A397" s="7" t="s">
        <v>3810</v>
      </c>
      <c r="B397" s="7" t="s">
        <v>3811</v>
      </c>
      <c r="C397" s="7" t="s">
        <v>3020</v>
      </c>
      <c r="D397" s="13">
        <v>379.82</v>
      </c>
    </row>
    <row r="398" spans="1:4" ht="21" x14ac:dyDescent="0.35">
      <c r="A398" s="7" t="s">
        <v>3812</v>
      </c>
      <c r="B398" s="7" t="s">
        <v>3813</v>
      </c>
      <c r="C398" s="7" t="s">
        <v>3036</v>
      </c>
      <c r="D398" s="13">
        <v>449.14</v>
      </c>
    </row>
    <row r="399" spans="1:4" ht="21" x14ac:dyDescent="0.35">
      <c r="A399" s="7" t="s">
        <v>3814</v>
      </c>
      <c r="B399" s="7" t="s">
        <v>3815</v>
      </c>
      <c r="C399" s="7" t="s">
        <v>3036</v>
      </c>
      <c r="D399" s="13">
        <v>477.59</v>
      </c>
    </row>
    <row r="400" spans="1:4" ht="21" x14ac:dyDescent="0.35">
      <c r="A400" s="7" t="s">
        <v>3816</v>
      </c>
      <c r="B400" s="7" t="s">
        <v>3817</v>
      </c>
      <c r="C400" s="7" t="s">
        <v>3020</v>
      </c>
      <c r="D400" s="13">
        <v>232.01</v>
      </c>
    </row>
    <row r="401" spans="1:4" ht="21" x14ac:dyDescent="0.35">
      <c r="A401" s="7" t="s">
        <v>3818</v>
      </c>
      <c r="B401" s="7" t="s">
        <v>3819</v>
      </c>
      <c r="C401" s="7" t="s">
        <v>3036</v>
      </c>
      <c r="D401" s="13">
        <v>218.07</v>
      </c>
    </row>
    <row r="402" spans="1:4" ht="21" x14ac:dyDescent="0.35">
      <c r="A402" s="7" t="s">
        <v>3820</v>
      </c>
      <c r="B402" s="7" t="s">
        <v>3821</v>
      </c>
      <c r="C402" s="7" t="s">
        <v>3017</v>
      </c>
      <c r="D402" s="13">
        <v>86.02</v>
      </c>
    </row>
    <row r="403" spans="1:4" ht="21" x14ac:dyDescent="0.35">
      <c r="A403" s="7" t="s">
        <v>3822</v>
      </c>
      <c r="B403" s="7" t="s">
        <v>3823</v>
      </c>
      <c r="C403" s="7" t="s">
        <v>3017</v>
      </c>
      <c r="D403" s="13">
        <v>342.36</v>
      </c>
    </row>
    <row r="404" spans="1:4" ht="21" x14ac:dyDescent="0.35">
      <c r="A404" s="7" t="s">
        <v>3824</v>
      </c>
      <c r="B404" s="7" t="s">
        <v>3825</v>
      </c>
      <c r="C404" s="7" t="s">
        <v>3020</v>
      </c>
      <c r="D404" s="13">
        <v>162.13999999999999</v>
      </c>
    </row>
    <row r="405" spans="1:4" ht="21" x14ac:dyDescent="0.35">
      <c r="A405" s="7" t="s">
        <v>3826</v>
      </c>
      <c r="B405" s="7" t="s">
        <v>3827</v>
      </c>
      <c r="C405" s="7" t="s">
        <v>3029</v>
      </c>
      <c r="D405" s="13">
        <v>174.98</v>
      </c>
    </row>
    <row r="406" spans="1:4" ht="21" x14ac:dyDescent="0.35">
      <c r="A406" s="7" t="s">
        <v>3828</v>
      </c>
      <c r="B406" s="7" t="s">
        <v>3829</v>
      </c>
      <c r="C406" s="7" t="s">
        <v>3029</v>
      </c>
      <c r="D406" s="13">
        <v>439.09</v>
      </c>
    </row>
    <row r="407" spans="1:4" ht="21" x14ac:dyDescent="0.35">
      <c r="A407" s="7" t="s">
        <v>3830</v>
      </c>
      <c r="B407" s="7" t="s">
        <v>3831</v>
      </c>
      <c r="C407" s="7" t="s">
        <v>3029</v>
      </c>
      <c r="D407" s="13">
        <v>173.13</v>
      </c>
    </row>
    <row r="408" spans="1:4" ht="21" x14ac:dyDescent="0.35">
      <c r="A408" s="7" t="s">
        <v>3832</v>
      </c>
      <c r="B408" s="7" t="s">
        <v>3833</v>
      </c>
      <c r="C408" s="7" t="s">
        <v>3036</v>
      </c>
      <c r="D408" s="13">
        <v>184.81</v>
      </c>
    </row>
    <row r="409" spans="1:4" ht="21" x14ac:dyDescent="0.35">
      <c r="A409" s="7" t="s">
        <v>3834</v>
      </c>
      <c r="B409" s="7" t="s">
        <v>3835</v>
      </c>
      <c r="C409" s="7" t="s">
        <v>3017</v>
      </c>
      <c r="D409" s="13">
        <v>88.95</v>
      </c>
    </row>
    <row r="410" spans="1:4" ht="21" x14ac:dyDescent="0.35">
      <c r="A410" s="7" t="s">
        <v>3836</v>
      </c>
      <c r="B410" s="7" t="s">
        <v>3837</v>
      </c>
      <c r="C410" s="7" t="s">
        <v>3020</v>
      </c>
      <c r="D410" s="13">
        <v>46.55</v>
      </c>
    </row>
    <row r="411" spans="1:4" ht="21" x14ac:dyDescent="0.35">
      <c r="A411" s="7" t="s">
        <v>3838</v>
      </c>
      <c r="B411" s="7" t="s">
        <v>3839</v>
      </c>
      <c r="C411" s="7" t="s">
        <v>3049</v>
      </c>
      <c r="D411" s="13">
        <v>375.9</v>
      </c>
    </row>
    <row r="412" spans="1:4" ht="21" x14ac:dyDescent="0.35">
      <c r="A412" s="7" t="s">
        <v>3840</v>
      </c>
      <c r="B412" s="7" t="s">
        <v>3841</v>
      </c>
      <c r="C412" s="7" t="s">
        <v>3036</v>
      </c>
      <c r="D412" s="13">
        <v>325.14</v>
      </c>
    </row>
    <row r="413" spans="1:4" ht="21" x14ac:dyDescent="0.35">
      <c r="A413" s="7" t="s">
        <v>3842</v>
      </c>
      <c r="B413" s="7" t="s">
        <v>3843</v>
      </c>
      <c r="C413" s="7" t="s">
        <v>3049</v>
      </c>
      <c r="D413" s="13">
        <v>244.51</v>
      </c>
    </row>
    <row r="414" spans="1:4" ht="21" x14ac:dyDescent="0.35">
      <c r="A414" s="7" t="s">
        <v>3844</v>
      </c>
      <c r="B414" s="7" t="s">
        <v>3845</v>
      </c>
      <c r="C414" s="7" t="s">
        <v>3029</v>
      </c>
      <c r="D414" s="13">
        <v>411.55</v>
      </c>
    </row>
    <row r="415" spans="1:4" ht="21" x14ac:dyDescent="0.35">
      <c r="A415" s="7" t="s">
        <v>3846</v>
      </c>
      <c r="B415" s="7" t="s">
        <v>3847</v>
      </c>
      <c r="C415" s="7" t="s">
        <v>3049</v>
      </c>
      <c r="D415" s="13">
        <v>53.02</v>
      </c>
    </row>
    <row r="416" spans="1:4" ht="21" x14ac:dyDescent="0.35">
      <c r="A416" s="7" t="s">
        <v>3848</v>
      </c>
      <c r="B416" s="7" t="s">
        <v>3849</v>
      </c>
      <c r="C416" s="7" t="s">
        <v>3049</v>
      </c>
      <c r="D416" s="13">
        <v>49.77</v>
      </c>
    </row>
    <row r="417" spans="1:4" ht="21" x14ac:dyDescent="0.35">
      <c r="A417" s="7" t="s">
        <v>3850</v>
      </c>
      <c r="B417" s="7" t="s">
        <v>3851</v>
      </c>
      <c r="C417" s="7" t="s">
        <v>3020</v>
      </c>
      <c r="D417" s="13">
        <v>447.74</v>
      </c>
    </row>
    <row r="418" spans="1:4" ht="21" x14ac:dyDescent="0.35">
      <c r="A418" s="7" t="s">
        <v>3852</v>
      </c>
      <c r="B418" s="7" t="s">
        <v>3853</v>
      </c>
      <c r="C418" s="7" t="s">
        <v>3017</v>
      </c>
      <c r="D418" s="13">
        <v>443.05</v>
      </c>
    </row>
    <row r="419" spans="1:4" ht="21" x14ac:dyDescent="0.35">
      <c r="A419" s="7" t="s">
        <v>3854</v>
      </c>
      <c r="B419" s="7" t="s">
        <v>3855</v>
      </c>
      <c r="C419" s="7" t="s">
        <v>3020</v>
      </c>
      <c r="D419" s="13">
        <v>106.33</v>
      </c>
    </row>
    <row r="420" spans="1:4" ht="21" x14ac:dyDescent="0.35">
      <c r="A420" s="7" t="s">
        <v>3856</v>
      </c>
      <c r="B420" s="7" t="s">
        <v>3857</v>
      </c>
      <c r="C420" s="7" t="s">
        <v>3029</v>
      </c>
      <c r="D420" s="13">
        <v>34.869999999999997</v>
      </c>
    </row>
    <row r="421" spans="1:4" ht="21" x14ac:dyDescent="0.35">
      <c r="A421" s="7" t="s">
        <v>3858</v>
      </c>
      <c r="B421" s="7" t="s">
        <v>3859</v>
      </c>
      <c r="C421" s="7" t="s">
        <v>3036</v>
      </c>
      <c r="D421" s="13">
        <v>440.45</v>
      </c>
    </row>
    <row r="422" spans="1:4" ht="21" x14ac:dyDescent="0.35">
      <c r="A422" s="7" t="s">
        <v>3860</v>
      </c>
      <c r="B422" s="7" t="s">
        <v>3861</v>
      </c>
      <c r="C422" s="7" t="s">
        <v>3049</v>
      </c>
      <c r="D422" s="13">
        <v>476.53</v>
      </c>
    </row>
    <row r="423" spans="1:4" ht="21" x14ac:dyDescent="0.35">
      <c r="A423" s="7" t="s">
        <v>3862</v>
      </c>
      <c r="B423" s="7" t="s">
        <v>3863</v>
      </c>
      <c r="C423" s="7" t="s">
        <v>3029</v>
      </c>
      <c r="D423" s="13">
        <v>342</v>
      </c>
    </row>
    <row r="424" spans="1:4" ht="21" x14ac:dyDescent="0.35">
      <c r="A424" s="7" t="s">
        <v>3864</v>
      </c>
      <c r="B424" s="7" t="s">
        <v>3865</v>
      </c>
      <c r="C424" s="7" t="s">
        <v>3036</v>
      </c>
      <c r="D424" s="13">
        <v>471.41</v>
      </c>
    </row>
    <row r="425" spans="1:4" ht="21" x14ac:dyDescent="0.35">
      <c r="A425" s="7" t="s">
        <v>3866</v>
      </c>
      <c r="B425" s="7" t="s">
        <v>3867</v>
      </c>
      <c r="C425" s="7" t="s">
        <v>3029</v>
      </c>
      <c r="D425" s="13">
        <v>196.05</v>
      </c>
    </row>
    <row r="426" spans="1:4" ht="21" x14ac:dyDescent="0.35">
      <c r="A426" s="7" t="s">
        <v>3868</v>
      </c>
      <c r="B426" s="7" t="s">
        <v>3869</v>
      </c>
      <c r="C426" s="7" t="s">
        <v>3020</v>
      </c>
      <c r="D426" s="13">
        <v>312.02</v>
      </c>
    </row>
    <row r="427" spans="1:4" ht="21" x14ac:dyDescent="0.35">
      <c r="A427" s="7" t="s">
        <v>3870</v>
      </c>
      <c r="B427" s="7" t="s">
        <v>3871</v>
      </c>
      <c r="C427" s="7" t="s">
        <v>3017</v>
      </c>
      <c r="D427" s="13">
        <v>114.92</v>
      </c>
    </row>
    <row r="428" spans="1:4" ht="21" x14ac:dyDescent="0.35">
      <c r="A428" s="7" t="s">
        <v>3872</v>
      </c>
      <c r="B428" s="7" t="s">
        <v>3873</v>
      </c>
      <c r="C428" s="7" t="s">
        <v>3020</v>
      </c>
      <c r="D428" s="13">
        <v>187.98</v>
      </c>
    </row>
    <row r="429" spans="1:4" ht="21" x14ac:dyDescent="0.35">
      <c r="A429" s="7" t="s">
        <v>3874</v>
      </c>
      <c r="B429" s="7" t="s">
        <v>3875</v>
      </c>
      <c r="C429" s="7" t="s">
        <v>3020</v>
      </c>
      <c r="D429" s="13">
        <v>103.51</v>
      </c>
    </row>
    <row r="430" spans="1:4" ht="21" x14ac:dyDescent="0.35">
      <c r="A430" s="7" t="s">
        <v>3876</v>
      </c>
      <c r="B430" s="7" t="s">
        <v>3877</v>
      </c>
      <c r="C430" s="7" t="s">
        <v>3049</v>
      </c>
      <c r="D430" s="13">
        <v>269.12</v>
      </c>
    </row>
    <row r="431" spans="1:4" ht="21" x14ac:dyDescent="0.35">
      <c r="A431" s="7" t="s">
        <v>3878</v>
      </c>
      <c r="B431" s="7" t="s">
        <v>3879</v>
      </c>
      <c r="C431" s="7" t="s">
        <v>3020</v>
      </c>
      <c r="D431" s="13">
        <v>499.01</v>
      </c>
    </row>
    <row r="432" spans="1:4" ht="21" x14ac:dyDescent="0.35">
      <c r="A432" s="7" t="s">
        <v>3880</v>
      </c>
      <c r="B432" s="7" t="s">
        <v>3881</v>
      </c>
      <c r="C432" s="7" t="s">
        <v>3049</v>
      </c>
      <c r="D432" s="13">
        <v>389.87</v>
      </c>
    </row>
    <row r="433" spans="1:4" ht="21" x14ac:dyDescent="0.35">
      <c r="A433" s="7" t="s">
        <v>3882</v>
      </c>
      <c r="B433" s="7" t="s">
        <v>3883</v>
      </c>
      <c r="C433" s="7" t="s">
        <v>3020</v>
      </c>
      <c r="D433" s="13">
        <v>198.8</v>
      </c>
    </row>
    <row r="434" spans="1:4" ht="21" x14ac:dyDescent="0.35">
      <c r="A434" s="7" t="s">
        <v>3884</v>
      </c>
      <c r="B434" s="7" t="s">
        <v>3885</v>
      </c>
      <c r="C434" s="7" t="s">
        <v>3049</v>
      </c>
      <c r="D434" s="13">
        <v>314.3</v>
      </c>
    </row>
    <row r="435" spans="1:4" ht="21" x14ac:dyDescent="0.35">
      <c r="A435" s="7" t="s">
        <v>3886</v>
      </c>
      <c r="B435" s="7" t="s">
        <v>3887</v>
      </c>
      <c r="C435" s="7" t="s">
        <v>3029</v>
      </c>
      <c r="D435" s="13">
        <v>388.37</v>
      </c>
    </row>
    <row r="436" spans="1:4" ht="21" x14ac:dyDescent="0.35">
      <c r="A436" s="7" t="s">
        <v>3888</v>
      </c>
      <c r="B436" s="7" t="s">
        <v>3889</v>
      </c>
      <c r="C436" s="7" t="s">
        <v>3020</v>
      </c>
      <c r="D436" s="13">
        <v>26.63</v>
      </c>
    </row>
    <row r="437" spans="1:4" ht="21" x14ac:dyDescent="0.35">
      <c r="A437" s="7" t="s">
        <v>3890</v>
      </c>
      <c r="B437" s="7" t="s">
        <v>3891</v>
      </c>
      <c r="C437" s="7" t="s">
        <v>3020</v>
      </c>
      <c r="D437" s="13">
        <v>404.43</v>
      </c>
    </row>
    <row r="438" spans="1:4" ht="21" x14ac:dyDescent="0.35">
      <c r="A438" s="7" t="s">
        <v>3892</v>
      </c>
      <c r="B438" s="7" t="s">
        <v>3893</v>
      </c>
      <c r="C438" s="7" t="s">
        <v>3020</v>
      </c>
      <c r="D438" s="13">
        <v>71.09</v>
      </c>
    </row>
    <row r="439" spans="1:4" ht="21" x14ac:dyDescent="0.35">
      <c r="A439" s="7" t="s">
        <v>3894</v>
      </c>
      <c r="B439" s="7" t="s">
        <v>3895</v>
      </c>
      <c r="C439" s="7" t="s">
        <v>3020</v>
      </c>
      <c r="D439" s="13">
        <v>449.94</v>
      </c>
    </row>
    <row r="440" spans="1:4" ht="21" x14ac:dyDescent="0.35">
      <c r="A440" s="7" t="s">
        <v>3896</v>
      </c>
      <c r="B440" s="7" t="s">
        <v>3897</v>
      </c>
      <c r="C440" s="7" t="s">
        <v>3020</v>
      </c>
      <c r="D440" s="13">
        <v>6.8</v>
      </c>
    </row>
    <row r="441" spans="1:4" ht="21" x14ac:dyDescent="0.35">
      <c r="A441" s="7" t="s">
        <v>3898</v>
      </c>
      <c r="B441" s="7" t="s">
        <v>3899</v>
      </c>
      <c r="C441" s="7" t="s">
        <v>3020</v>
      </c>
      <c r="D441" s="13">
        <v>109.6</v>
      </c>
    </row>
    <row r="442" spans="1:4" ht="21" x14ac:dyDescent="0.35">
      <c r="A442" s="7" t="s">
        <v>3900</v>
      </c>
      <c r="B442" s="7" t="s">
        <v>3901</v>
      </c>
      <c r="C442" s="7" t="s">
        <v>3036</v>
      </c>
      <c r="D442" s="13">
        <v>83.79</v>
      </c>
    </row>
    <row r="443" spans="1:4" ht="21" x14ac:dyDescent="0.35">
      <c r="A443" s="7" t="s">
        <v>3902</v>
      </c>
      <c r="B443" s="7" t="s">
        <v>3903</v>
      </c>
      <c r="C443" s="7" t="s">
        <v>3049</v>
      </c>
      <c r="D443" s="13">
        <v>48.2</v>
      </c>
    </row>
    <row r="444" spans="1:4" ht="21" x14ac:dyDescent="0.35">
      <c r="A444" s="7" t="s">
        <v>3904</v>
      </c>
      <c r="B444" s="7" t="s">
        <v>3905</v>
      </c>
      <c r="C444" s="7" t="s">
        <v>3029</v>
      </c>
      <c r="D444" s="13">
        <v>144.87</v>
      </c>
    </row>
    <row r="445" spans="1:4" ht="21" x14ac:dyDescent="0.35">
      <c r="A445" s="7" t="s">
        <v>3906</v>
      </c>
      <c r="B445" s="7" t="s">
        <v>3907</v>
      </c>
      <c r="C445" s="7" t="s">
        <v>3036</v>
      </c>
      <c r="D445" s="13">
        <v>230.56</v>
      </c>
    </row>
    <row r="446" spans="1:4" ht="21" x14ac:dyDescent="0.35">
      <c r="A446" s="7" t="s">
        <v>3908</v>
      </c>
      <c r="B446" s="7" t="s">
        <v>3909</v>
      </c>
      <c r="C446" s="7" t="s">
        <v>3036</v>
      </c>
      <c r="D446" s="13">
        <v>392.12</v>
      </c>
    </row>
    <row r="447" spans="1:4" ht="21" x14ac:dyDescent="0.35">
      <c r="A447" s="7" t="s">
        <v>3910</v>
      </c>
      <c r="B447" s="7" t="s">
        <v>3911</v>
      </c>
      <c r="C447" s="7" t="s">
        <v>3036</v>
      </c>
      <c r="D447" s="13">
        <v>92.46</v>
      </c>
    </row>
    <row r="448" spans="1:4" ht="21" x14ac:dyDescent="0.35">
      <c r="A448" s="7" t="s">
        <v>3912</v>
      </c>
      <c r="B448" s="7" t="s">
        <v>3913</v>
      </c>
      <c r="C448" s="7" t="s">
        <v>3017</v>
      </c>
      <c r="D448" s="13">
        <v>197.61</v>
      </c>
    </row>
    <row r="449" spans="1:4" ht="21" x14ac:dyDescent="0.35">
      <c r="A449" s="7" t="s">
        <v>3914</v>
      </c>
      <c r="B449" s="7" t="s">
        <v>3915</v>
      </c>
      <c r="C449" s="7" t="s">
        <v>3017</v>
      </c>
      <c r="D449" s="13">
        <v>172.2</v>
      </c>
    </row>
    <row r="450" spans="1:4" ht="21" x14ac:dyDescent="0.35">
      <c r="A450" s="7" t="s">
        <v>3916</v>
      </c>
      <c r="B450" s="7" t="s">
        <v>3917</v>
      </c>
      <c r="C450" s="7" t="s">
        <v>3036</v>
      </c>
      <c r="D450" s="13">
        <v>53.69</v>
      </c>
    </row>
    <row r="451" spans="1:4" ht="21" x14ac:dyDescent="0.35">
      <c r="A451" s="7" t="s">
        <v>3918</v>
      </c>
      <c r="B451" s="7" t="s">
        <v>3919</v>
      </c>
      <c r="C451" s="7" t="s">
        <v>3049</v>
      </c>
      <c r="D451" s="13">
        <v>181.78</v>
      </c>
    </row>
    <row r="452" spans="1:4" ht="21" x14ac:dyDescent="0.35">
      <c r="A452" s="7" t="s">
        <v>3920</v>
      </c>
      <c r="B452" s="7" t="s">
        <v>3921</v>
      </c>
      <c r="C452" s="7" t="s">
        <v>3036</v>
      </c>
      <c r="D452" s="13">
        <v>399.91</v>
      </c>
    </row>
    <row r="453" spans="1:4" ht="21" x14ac:dyDescent="0.35">
      <c r="A453" s="7" t="s">
        <v>3922</v>
      </c>
      <c r="B453" s="7" t="s">
        <v>3923</v>
      </c>
      <c r="C453" s="7" t="s">
        <v>3036</v>
      </c>
      <c r="D453" s="13">
        <v>462.53</v>
      </c>
    </row>
    <row r="454" spans="1:4" ht="21" x14ac:dyDescent="0.35">
      <c r="A454" s="7" t="s">
        <v>3924</v>
      </c>
      <c r="B454" s="7" t="s">
        <v>3925</v>
      </c>
      <c r="C454" s="7" t="s">
        <v>3036</v>
      </c>
      <c r="D454" s="13">
        <v>428.79</v>
      </c>
    </row>
    <row r="455" spans="1:4" ht="21" x14ac:dyDescent="0.35">
      <c r="A455" s="7" t="s">
        <v>3926</v>
      </c>
      <c r="B455" s="7" t="s">
        <v>3927</v>
      </c>
      <c r="C455" s="7" t="s">
        <v>3020</v>
      </c>
      <c r="D455" s="13">
        <v>288.83999999999997</v>
      </c>
    </row>
    <row r="456" spans="1:4" ht="21" x14ac:dyDescent="0.35">
      <c r="A456" s="7" t="s">
        <v>3928</v>
      </c>
      <c r="B456" s="7" t="s">
        <v>3929</v>
      </c>
      <c r="C456" s="7" t="s">
        <v>3017</v>
      </c>
      <c r="D456" s="13">
        <v>370.9</v>
      </c>
    </row>
    <row r="457" spans="1:4" ht="21" x14ac:dyDescent="0.35">
      <c r="A457" s="7" t="s">
        <v>3930</v>
      </c>
      <c r="B457" s="7" t="s">
        <v>3931</v>
      </c>
      <c r="C457" s="7" t="s">
        <v>3036</v>
      </c>
      <c r="D457" s="13">
        <v>255.76</v>
      </c>
    </row>
    <row r="458" spans="1:4" ht="21" x14ac:dyDescent="0.35">
      <c r="A458" s="7" t="s">
        <v>3932</v>
      </c>
      <c r="B458" s="7" t="s">
        <v>3933</v>
      </c>
      <c r="C458" s="7" t="s">
        <v>3036</v>
      </c>
      <c r="D458" s="13">
        <v>181.49</v>
      </c>
    </row>
    <row r="459" spans="1:4" ht="21" x14ac:dyDescent="0.35">
      <c r="A459" s="7" t="s">
        <v>3934</v>
      </c>
      <c r="B459" s="7" t="s">
        <v>3935</v>
      </c>
      <c r="C459" s="7" t="s">
        <v>3029</v>
      </c>
      <c r="D459" s="13">
        <v>103.21</v>
      </c>
    </row>
    <row r="460" spans="1:4" ht="21" x14ac:dyDescent="0.35">
      <c r="A460" s="7" t="s">
        <v>3936</v>
      </c>
      <c r="B460" s="7" t="s">
        <v>3937</v>
      </c>
      <c r="C460" s="7" t="s">
        <v>3049</v>
      </c>
      <c r="D460" s="13">
        <v>496.34</v>
      </c>
    </row>
    <row r="461" spans="1:4" ht="21" x14ac:dyDescent="0.35">
      <c r="A461" s="7" t="s">
        <v>3938</v>
      </c>
      <c r="B461" s="7" t="s">
        <v>3939</v>
      </c>
      <c r="C461" s="7" t="s">
        <v>3020</v>
      </c>
      <c r="D461" s="13">
        <v>278.83</v>
      </c>
    </row>
    <row r="462" spans="1:4" ht="21" x14ac:dyDescent="0.35">
      <c r="A462" s="7" t="s">
        <v>3940</v>
      </c>
      <c r="B462" s="7" t="s">
        <v>3941</v>
      </c>
      <c r="C462" s="7" t="s">
        <v>3029</v>
      </c>
      <c r="D462" s="13">
        <v>371.97</v>
      </c>
    </row>
    <row r="463" spans="1:4" ht="21" x14ac:dyDescent="0.35">
      <c r="A463" s="7" t="s">
        <v>3942</v>
      </c>
      <c r="B463" s="7" t="s">
        <v>3943</v>
      </c>
      <c r="C463" s="7" t="s">
        <v>3036</v>
      </c>
      <c r="D463" s="13">
        <v>146.15</v>
      </c>
    </row>
    <row r="464" spans="1:4" ht="21" x14ac:dyDescent="0.35">
      <c r="A464" s="7" t="s">
        <v>3944</v>
      </c>
      <c r="B464" s="7" t="s">
        <v>3945</v>
      </c>
      <c r="C464" s="7" t="s">
        <v>3020</v>
      </c>
      <c r="D464" s="13">
        <v>404.9</v>
      </c>
    </row>
    <row r="465" spans="1:4" ht="21" x14ac:dyDescent="0.35">
      <c r="A465" s="7" t="s">
        <v>3946</v>
      </c>
      <c r="B465" s="7" t="s">
        <v>3947</v>
      </c>
      <c r="C465" s="7" t="s">
        <v>3036</v>
      </c>
      <c r="D465" s="13">
        <v>290.42</v>
      </c>
    </row>
    <row r="466" spans="1:4" ht="21" x14ac:dyDescent="0.35">
      <c r="A466" s="7" t="s">
        <v>3948</v>
      </c>
      <c r="B466" s="7" t="s">
        <v>3949</v>
      </c>
      <c r="C466" s="7" t="s">
        <v>3036</v>
      </c>
      <c r="D466" s="13">
        <v>82.99</v>
      </c>
    </row>
    <row r="467" spans="1:4" ht="21" x14ac:dyDescent="0.35">
      <c r="A467" s="7" t="s">
        <v>3950</v>
      </c>
      <c r="B467" s="7" t="s">
        <v>3951</v>
      </c>
      <c r="C467" s="7" t="s">
        <v>3020</v>
      </c>
      <c r="D467" s="13">
        <v>201.93</v>
      </c>
    </row>
    <row r="468" spans="1:4" ht="21" x14ac:dyDescent="0.35">
      <c r="A468" s="7" t="s">
        <v>3952</v>
      </c>
      <c r="B468" s="7" t="s">
        <v>3953</v>
      </c>
      <c r="C468" s="7" t="s">
        <v>3029</v>
      </c>
      <c r="D468" s="13">
        <v>279.95999999999998</v>
      </c>
    </row>
    <row r="469" spans="1:4" ht="21" x14ac:dyDescent="0.35">
      <c r="A469" s="7" t="s">
        <v>3954</v>
      </c>
      <c r="B469" s="7" t="s">
        <v>3955</v>
      </c>
      <c r="C469" s="7" t="s">
        <v>3017</v>
      </c>
      <c r="D469" s="13">
        <v>356.21</v>
      </c>
    </row>
    <row r="470" spans="1:4" ht="21" x14ac:dyDescent="0.35">
      <c r="A470" s="7" t="s">
        <v>3956</v>
      </c>
      <c r="B470" s="7" t="s">
        <v>3957</v>
      </c>
      <c r="C470" s="7" t="s">
        <v>3020</v>
      </c>
      <c r="D470" s="13">
        <v>477.63</v>
      </c>
    </row>
    <row r="471" spans="1:4" ht="21" x14ac:dyDescent="0.35">
      <c r="A471" s="7" t="s">
        <v>3958</v>
      </c>
      <c r="B471" s="7" t="s">
        <v>3959</v>
      </c>
      <c r="C471" s="7" t="s">
        <v>3036</v>
      </c>
      <c r="D471" s="13">
        <v>127.36</v>
      </c>
    </row>
    <row r="472" spans="1:4" ht="21" x14ac:dyDescent="0.35">
      <c r="A472" s="7" t="s">
        <v>3960</v>
      </c>
      <c r="B472" s="7" t="s">
        <v>3961</v>
      </c>
      <c r="C472" s="7" t="s">
        <v>3017</v>
      </c>
      <c r="D472" s="13">
        <v>126.7</v>
      </c>
    </row>
    <row r="473" spans="1:4" ht="21" x14ac:dyDescent="0.35">
      <c r="A473" s="7" t="s">
        <v>3962</v>
      </c>
      <c r="B473" s="7" t="s">
        <v>3963</v>
      </c>
      <c r="C473" s="7" t="s">
        <v>3036</v>
      </c>
      <c r="D473" s="13">
        <v>431.87</v>
      </c>
    </row>
    <row r="474" spans="1:4" ht="21" x14ac:dyDescent="0.35">
      <c r="A474" s="7" t="s">
        <v>3964</v>
      </c>
      <c r="B474" s="7" t="s">
        <v>3965</v>
      </c>
      <c r="C474" s="7" t="s">
        <v>3017</v>
      </c>
      <c r="D474" s="13">
        <v>463.1</v>
      </c>
    </row>
    <row r="475" spans="1:4" ht="21" x14ac:dyDescent="0.35">
      <c r="A475" s="7" t="s">
        <v>3966</v>
      </c>
      <c r="B475" s="7" t="s">
        <v>3967</v>
      </c>
      <c r="C475" s="7" t="s">
        <v>3036</v>
      </c>
      <c r="D475" s="13">
        <v>456.62</v>
      </c>
    </row>
    <row r="476" spans="1:4" ht="21" x14ac:dyDescent="0.35">
      <c r="A476" s="7" t="s">
        <v>3968</v>
      </c>
      <c r="B476" s="7" t="s">
        <v>3969</v>
      </c>
      <c r="C476" s="7" t="s">
        <v>3029</v>
      </c>
      <c r="D476" s="13">
        <v>221.89</v>
      </c>
    </row>
    <row r="477" spans="1:4" ht="21" x14ac:dyDescent="0.35">
      <c r="A477" s="7" t="s">
        <v>3970</v>
      </c>
      <c r="B477" s="7" t="s">
        <v>3971</v>
      </c>
      <c r="C477" s="7" t="s">
        <v>3029</v>
      </c>
      <c r="D477" s="13">
        <v>81.8</v>
      </c>
    </row>
    <row r="478" spans="1:4" ht="21" x14ac:dyDescent="0.35">
      <c r="A478" s="7" t="s">
        <v>3972</v>
      </c>
      <c r="B478" s="7" t="s">
        <v>3973</v>
      </c>
      <c r="C478" s="7" t="s">
        <v>3017</v>
      </c>
      <c r="D478" s="13">
        <v>267.58999999999997</v>
      </c>
    </row>
    <row r="479" spans="1:4" ht="21" x14ac:dyDescent="0.35">
      <c r="A479" s="7" t="s">
        <v>3974</v>
      </c>
      <c r="B479" s="7" t="s">
        <v>3975</v>
      </c>
      <c r="C479" s="7" t="s">
        <v>3036</v>
      </c>
      <c r="D479" s="13">
        <v>446.75</v>
      </c>
    </row>
    <row r="480" spans="1:4" ht="21" x14ac:dyDescent="0.35">
      <c r="A480" s="7" t="s">
        <v>3976</v>
      </c>
      <c r="B480" s="7" t="s">
        <v>3977</v>
      </c>
      <c r="C480" s="7" t="s">
        <v>3029</v>
      </c>
      <c r="D480" s="13">
        <v>231.98</v>
      </c>
    </row>
    <row r="481" spans="1:4" ht="21" x14ac:dyDescent="0.35">
      <c r="A481" s="7" t="s">
        <v>3978</v>
      </c>
      <c r="B481" s="7" t="s">
        <v>3979</v>
      </c>
      <c r="C481" s="7" t="s">
        <v>3017</v>
      </c>
      <c r="D481" s="13">
        <v>249.98</v>
      </c>
    </row>
    <row r="482" spans="1:4" ht="21" x14ac:dyDescent="0.35">
      <c r="A482" s="7" t="s">
        <v>3980</v>
      </c>
      <c r="B482" s="7" t="s">
        <v>3981</v>
      </c>
      <c r="C482" s="7" t="s">
        <v>3017</v>
      </c>
      <c r="D482" s="13">
        <v>273.72000000000003</v>
      </c>
    </row>
    <row r="483" spans="1:4" ht="21" x14ac:dyDescent="0.35">
      <c r="A483" s="7" t="s">
        <v>3982</v>
      </c>
      <c r="B483" s="7" t="s">
        <v>3983</v>
      </c>
      <c r="C483" s="7" t="s">
        <v>3017</v>
      </c>
      <c r="D483" s="13">
        <v>313.66000000000003</v>
      </c>
    </row>
    <row r="484" spans="1:4" ht="21" x14ac:dyDescent="0.35">
      <c r="A484" s="7" t="s">
        <v>3984</v>
      </c>
      <c r="B484" s="7" t="s">
        <v>3985</v>
      </c>
      <c r="C484" s="7" t="s">
        <v>3049</v>
      </c>
      <c r="D484" s="13">
        <v>284.79000000000002</v>
      </c>
    </row>
    <row r="485" spans="1:4" ht="21" x14ac:dyDescent="0.35">
      <c r="A485" s="7" t="s">
        <v>3986</v>
      </c>
      <c r="B485" s="7" t="s">
        <v>3987</v>
      </c>
      <c r="C485" s="7" t="s">
        <v>3029</v>
      </c>
      <c r="D485" s="13">
        <v>17.989999999999998</v>
      </c>
    </row>
    <row r="486" spans="1:4" ht="21" x14ac:dyDescent="0.35">
      <c r="A486" s="7" t="s">
        <v>3988</v>
      </c>
      <c r="B486" s="7" t="s">
        <v>3989</v>
      </c>
      <c r="C486" s="7" t="s">
        <v>3036</v>
      </c>
      <c r="D486" s="13">
        <v>290.06</v>
      </c>
    </row>
    <row r="487" spans="1:4" ht="21" x14ac:dyDescent="0.35">
      <c r="A487" s="7" t="s">
        <v>3990</v>
      </c>
      <c r="B487" s="7" t="s">
        <v>3991</v>
      </c>
      <c r="C487" s="7" t="s">
        <v>3049</v>
      </c>
      <c r="D487" s="13">
        <v>368.74</v>
      </c>
    </row>
    <row r="488" spans="1:4" ht="21" x14ac:dyDescent="0.35">
      <c r="A488" s="7" t="s">
        <v>3992</v>
      </c>
      <c r="B488" s="7" t="s">
        <v>3993</v>
      </c>
      <c r="C488" s="7" t="s">
        <v>3029</v>
      </c>
      <c r="D488" s="13">
        <v>191.91</v>
      </c>
    </row>
    <row r="489" spans="1:4" ht="21" x14ac:dyDescent="0.35">
      <c r="A489" s="7" t="s">
        <v>3994</v>
      </c>
      <c r="B489" s="7" t="s">
        <v>3995</v>
      </c>
      <c r="C489" s="7" t="s">
        <v>3049</v>
      </c>
      <c r="D489" s="13">
        <v>401.33</v>
      </c>
    </row>
    <row r="490" spans="1:4" ht="21" x14ac:dyDescent="0.35">
      <c r="A490" s="7" t="s">
        <v>3996</v>
      </c>
      <c r="B490" s="7" t="s">
        <v>3997</v>
      </c>
      <c r="C490" s="7" t="s">
        <v>3036</v>
      </c>
      <c r="D490" s="13">
        <v>408.1</v>
      </c>
    </row>
    <row r="491" spans="1:4" ht="21" x14ac:dyDescent="0.35">
      <c r="A491" s="7" t="s">
        <v>3998</v>
      </c>
      <c r="B491" s="7" t="s">
        <v>3999</v>
      </c>
      <c r="C491" s="7" t="s">
        <v>3020</v>
      </c>
      <c r="D491" s="13">
        <v>129.93</v>
      </c>
    </row>
    <row r="492" spans="1:4" ht="21" x14ac:dyDescent="0.35">
      <c r="A492" s="7" t="s">
        <v>4000</v>
      </c>
      <c r="B492" s="7" t="s">
        <v>4001</v>
      </c>
      <c r="C492" s="7" t="s">
        <v>3020</v>
      </c>
      <c r="D492" s="13">
        <v>497.99</v>
      </c>
    </row>
    <row r="493" spans="1:4" ht="21" x14ac:dyDescent="0.35">
      <c r="A493" s="7" t="s">
        <v>4002</v>
      </c>
      <c r="B493" s="7" t="s">
        <v>4003</v>
      </c>
      <c r="C493" s="7" t="s">
        <v>3049</v>
      </c>
      <c r="D493" s="13">
        <v>390.12</v>
      </c>
    </row>
    <row r="494" spans="1:4" ht="21" x14ac:dyDescent="0.35">
      <c r="A494" s="7" t="s">
        <v>4004</v>
      </c>
      <c r="B494" s="7" t="s">
        <v>4005</v>
      </c>
      <c r="C494" s="7" t="s">
        <v>3020</v>
      </c>
      <c r="D494" s="13">
        <v>430.69</v>
      </c>
    </row>
    <row r="495" spans="1:4" ht="21" x14ac:dyDescent="0.35">
      <c r="A495" s="7" t="s">
        <v>4006</v>
      </c>
      <c r="B495" s="7" t="s">
        <v>4007</v>
      </c>
      <c r="C495" s="7" t="s">
        <v>3017</v>
      </c>
      <c r="D495" s="13">
        <v>116.33</v>
      </c>
    </row>
    <row r="496" spans="1:4" ht="21" x14ac:dyDescent="0.35">
      <c r="A496" s="7" t="s">
        <v>4008</v>
      </c>
      <c r="B496" s="7" t="s">
        <v>4009</v>
      </c>
      <c r="C496" s="7" t="s">
        <v>3017</v>
      </c>
      <c r="D496" s="13">
        <v>413.82</v>
      </c>
    </row>
    <row r="497" spans="1:4" ht="21" x14ac:dyDescent="0.35">
      <c r="A497" s="7" t="s">
        <v>4010</v>
      </c>
      <c r="B497" s="7" t="s">
        <v>4011</v>
      </c>
      <c r="C497" s="7" t="s">
        <v>3017</v>
      </c>
      <c r="D497" s="13">
        <v>233.39</v>
      </c>
    </row>
    <row r="498" spans="1:4" ht="21" x14ac:dyDescent="0.35">
      <c r="A498" s="7" t="s">
        <v>4012</v>
      </c>
      <c r="B498" s="7" t="s">
        <v>4013</v>
      </c>
      <c r="C498" s="7" t="s">
        <v>3049</v>
      </c>
      <c r="D498" s="13">
        <v>414.31</v>
      </c>
    </row>
    <row r="499" spans="1:4" ht="21" x14ac:dyDescent="0.35">
      <c r="A499" s="7" t="s">
        <v>4014</v>
      </c>
      <c r="B499" s="7" t="s">
        <v>4015</v>
      </c>
      <c r="C499" s="7" t="s">
        <v>3029</v>
      </c>
      <c r="D499" s="13">
        <v>244.96</v>
      </c>
    </row>
    <row r="500" spans="1:4" ht="21" x14ac:dyDescent="0.35">
      <c r="A500" s="7" t="s">
        <v>4016</v>
      </c>
      <c r="B500" s="7" t="s">
        <v>4017</v>
      </c>
      <c r="C500" s="7" t="s">
        <v>3020</v>
      </c>
      <c r="D500" s="13">
        <v>254.31</v>
      </c>
    </row>
    <row r="501" spans="1:4" ht="21" x14ac:dyDescent="0.35">
      <c r="A501" s="7" t="s">
        <v>4018</v>
      </c>
      <c r="B501" s="7" t="s">
        <v>4019</v>
      </c>
      <c r="C501" s="7" t="s">
        <v>3036</v>
      </c>
      <c r="D501" s="13">
        <v>22.78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3001"/>
  <sheetViews>
    <sheetView topLeftCell="E10" workbookViewId="0">
      <selection activeCell="H2" sqref="H2:H3001"/>
    </sheetView>
  </sheetViews>
  <sheetFormatPr defaultColWidth="10.5703125" defaultRowHeight="21" x14ac:dyDescent="0.35"/>
  <cols>
    <col min="1" max="1" width="14.7109375" style="4" bestFit="1" customWidth="1"/>
    <col min="2" max="2" width="17.7109375" style="7" customWidth="1"/>
    <col min="3" max="3" width="15.42578125" style="7" customWidth="1"/>
    <col min="4" max="4" width="13.85546875" style="5" customWidth="1"/>
    <col min="5" max="5" width="27.28515625" style="7" bestFit="1" customWidth="1"/>
    <col min="6" max="6" width="24.7109375" style="7" bestFit="1" customWidth="1"/>
    <col min="7" max="7" width="21.140625" style="7" bestFit="1" customWidth="1"/>
    <col min="8" max="8" width="22.5703125" style="7" bestFit="1" customWidth="1"/>
    <col min="9" max="9" width="19.28515625" style="11" bestFit="1" customWidth="1"/>
    <col min="10" max="10" width="19.42578125" style="4" bestFit="1" customWidth="1"/>
    <col min="11" max="16384" width="10.5703125" style="4"/>
  </cols>
  <sheetData>
    <row r="1" spans="1:10" x14ac:dyDescent="0.35">
      <c r="A1" s="3" t="s">
        <v>4020</v>
      </c>
      <c r="B1" s="6" t="s">
        <v>0</v>
      </c>
      <c r="C1" s="6" t="s">
        <v>3011</v>
      </c>
      <c r="D1" s="8" t="s">
        <v>4021</v>
      </c>
      <c r="E1" s="6" t="s">
        <v>7022</v>
      </c>
      <c r="F1" s="6" t="s">
        <v>2</v>
      </c>
      <c r="G1" s="6" t="s">
        <v>7023</v>
      </c>
      <c r="H1" s="6" t="s">
        <v>3013</v>
      </c>
      <c r="I1" s="10" t="s">
        <v>7024</v>
      </c>
      <c r="J1" s="3" t="s">
        <v>7025</v>
      </c>
    </row>
    <row r="2" spans="1:10" x14ac:dyDescent="0.35">
      <c r="A2" s="4" t="s">
        <v>4022</v>
      </c>
      <c r="B2" s="7" t="s">
        <v>2117</v>
      </c>
      <c r="C2" s="7" t="s">
        <v>3234</v>
      </c>
      <c r="D2" s="5">
        <v>10</v>
      </c>
      <c r="E2" s="7" t="str">
        <f>_xlfn.XLOOKUP(B2,Customers!A2:A1001,Customers!B2:B1001,"Customer Not Found",0)</f>
        <v>Customer_703</v>
      </c>
      <c r="F2" s="7" t="str">
        <f>_xlfn.XLOOKUP(Orders!B2,Customers!A2:A1001,Customers!C2:C1001,"Country not Found",0)</f>
        <v>Kenya</v>
      </c>
      <c r="G2" s="7" t="str">
        <f>_xlfn.XLOOKUP(C2,Products!A2:A501,Products!B2:B501,"Product Missing",0)</f>
        <v>Product_108</v>
      </c>
      <c r="H2" s="7" t="str">
        <f>_xlfn.XLOOKUP(C2,Products!A2:A501,Products!C2:C501,"Category Missing",0)</f>
        <v>Electronics</v>
      </c>
      <c r="I2" s="11">
        <f>_xlfn.XLOOKUP(Orders!C2,Products!A2:A501,Products!D2:D501,"Price Missing",0)</f>
        <v>360.09</v>
      </c>
      <c r="J2" s="19">
        <f>IFERROR(I2*D2,0)</f>
        <v>3600.8999999999996</v>
      </c>
    </row>
    <row r="3" spans="1:10" x14ac:dyDescent="0.35">
      <c r="A3" s="4" t="s">
        <v>4023</v>
      </c>
      <c r="B3" s="7" t="s">
        <v>536</v>
      </c>
      <c r="C3" s="7" t="s">
        <v>3526</v>
      </c>
      <c r="D3" s="5">
        <v>10</v>
      </c>
      <c r="E3" s="7" t="str">
        <f>_xlfn.XLOOKUP(B3,Customers!A3:A1002,Customers!B3:B1002,"Customer Not Found",0)</f>
        <v>Customer_176</v>
      </c>
      <c r="F3" s="7" t="str">
        <f>_xlfn.XLOOKUP(Orders!B3,Customers!A3:A1002,Customers!C3:C1002,"Country not Found",0)</f>
        <v>USA</v>
      </c>
      <c r="G3" s="7" t="str">
        <f>_xlfn.XLOOKUP(C3,Products!A3:A502,Products!B3:B502,"Product Missing",0)</f>
        <v>Product_254</v>
      </c>
      <c r="H3" s="7" t="str">
        <f>_xlfn.XLOOKUP(C3,Products!A3:A502,Products!C3:C502,"Category Missing",0)</f>
        <v>Home</v>
      </c>
      <c r="I3" s="11">
        <f>_xlfn.XLOOKUP(Orders!C3,Products!A3:A502,Products!D3:D502,"Price Missing",0)</f>
        <v>366</v>
      </c>
      <c r="J3" s="19">
        <f t="shared" ref="J3:J66" si="0">IFERROR(I3*D3,0)</f>
        <v>3660</v>
      </c>
    </row>
    <row r="4" spans="1:10" x14ac:dyDescent="0.35">
      <c r="A4" s="4" t="s">
        <v>4024</v>
      </c>
      <c r="B4" s="7" t="s">
        <v>2021</v>
      </c>
      <c r="C4" s="7" t="s">
        <v>3552</v>
      </c>
      <c r="D4" s="5">
        <v>3</v>
      </c>
      <c r="E4" s="7" t="str">
        <f>_xlfn.XLOOKUP(B4,Customers!A4:A1003,Customers!B4:B1003,"Customer Not Found",0)</f>
        <v>Customer_671</v>
      </c>
      <c r="F4" s="7" t="str">
        <f>_xlfn.XLOOKUP(Orders!B4,Customers!A4:A1003,Customers!C4:C1003,"Country not Found",0)</f>
        <v>USA</v>
      </c>
      <c r="G4" s="7" t="str">
        <f>_xlfn.XLOOKUP(C4,Products!A4:A503,Products!B4:B503,"Product Missing",0)</f>
        <v>Product_267</v>
      </c>
      <c r="H4" s="7" t="str">
        <f>_xlfn.XLOOKUP(C4,Products!A4:A503,Products!C4:C503,"Category Missing",0)</f>
        <v>Clothing</v>
      </c>
      <c r="I4" s="11">
        <f>_xlfn.XLOOKUP(Orders!C4,Products!A4:A503,Products!D4:D503,"Price Missing",0)</f>
        <v>430.53</v>
      </c>
      <c r="J4" s="19">
        <f t="shared" si="0"/>
        <v>1291.5899999999999</v>
      </c>
    </row>
    <row r="5" spans="1:10" x14ac:dyDescent="0.35">
      <c r="A5" s="4" t="s">
        <v>4025</v>
      </c>
      <c r="B5" s="7" t="s">
        <v>2924</v>
      </c>
      <c r="C5" s="7" t="s">
        <v>3344</v>
      </c>
      <c r="D5" s="5">
        <v>7</v>
      </c>
      <c r="E5" s="7" t="str">
        <f>_xlfn.XLOOKUP(B5,Customers!A5:A1004,Customers!B5:B1004,"Customer Not Found",0)</f>
        <v>Customer_972</v>
      </c>
      <c r="F5" s="7" t="str">
        <f>_xlfn.XLOOKUP(Orders!B5,Customers!A5:A1004,Customers!C5:C1004,"Country not Found",0)</f>
        <v>South Africa</v>
      </c>
      <c r="G5" s="7" t="str">
        <f>_xlfn.XLOOKUP(C5,Products!A5:A504,Products!B5:B504,"Product Missing",0)</f>
        <v>Product_163</v>
      </c>
      <c r="H5" s="7" t="str">
        <f>_xlfn.XLOOKUP(C5,Products!A5:A504,Products!C5:C504,"Category Missing",0)</f>
        <v>Food</v>
      </c>
      <c r="I5" s="11">
        <f>_xlfn.XLOOKUP(Orders!C5,Products!A5:A504,Products!D5:D504,"Price Missing",0)</f>
        <v>206.83</v>
      </c>
      <c r="J5" s="19">
        <f t="shared" si="0"/>
        <v>1447.8100000000002</v>
      </c>
    </row>
    <row r="6" spans="1:10" x14ac:dyDescent="0.35">
      <c r="A6" s="4" t="s">
        <v>4026</v>
      </c>
      <c r="B6" s="7" t="s">
        <v>467</v>
      </c>
      <c r="C6" s="7" t="s">
        <v>3290</v>
      </c>
      <c r="D6" s="5">
        <v>4</v>
      </c>
      <c r="E6" s="7" t="str">
        <f>_xlfn.XLOOKUP(B6,Customers!A6:A1005,Customers!B6:B1005,"Customer Not Found",0)</f>
        <v>Customer_153</v>
      </c>
      <c r="F6" s="7" t="str">
        <f>_xlfn.XLOOKUP(Orders!B6,Customers!A6:A1005,Customers!C6:C1005,"Country not Found",0)</f>
        <v>UK</v>
      </c>
      <c r="G6" s="7" t="str">
        <f>_xlfn.XLOOKUP(C6,Products!A6:A505,Products!B6:B505,"Product Missing",0)</f>
        <v>Product_136</v>
      </c>
      <c r="H6" s="7" t="str">
        <f>_xlfn.XLOOKUP(C6,Products!A6:A505,Products!C6:C505,"Category Missing",0)</f>
        <v>Sports</v>
      </c>
      <c r="I6" s="11">
        <f>_xlfn.XLOOKUP(Orders!C6,Products!A6:A505,Products!D6:D505,"Price Missing",0)</f>
        <v>124.48</v>
      </c>
      <c r="J6" s="19">
        <f t="shared" si="0"/>
        <v>497.92</v>
      </c>
    </row>
    <row r="7" spans="1:10" x14ac:dyDescent="0.35">
      <c r="A7" s="4" t="s">
        <v>4027</v>
      </c>
      <c r="B7" s="7" t="s">
        <v>1007</v>
      </c>
      <c r="C7" s="7" t="s">
        <v>3220</v>
      </c>
      <c r="D7" s="5">
        <v>1</v>
      </c>
      <c r="E7" s="7" t="str">
        <f>_xlfn.XLOOKUP(B7,Customers!A7:A1006,Customers!B7:B1006,"Customer Not Found",0)</f>
        <v>Customer_333</v>
      </c>
      <c r="F7" s="7" t="str">
        <f>_xlfn.XLOOKUP(Orders!B7,Customers!A7:A1006,Customers!C7:C1006,"Country not Found",0)</f>
        <v>South Africa</v>
      </c>
      <c r="G7" s="7" t="str">
        <f>_xlfn.XLOOKUP(C7,Products!A7:A506,Products!B7:B506,"Product Missing",0)</f>
        <v>Product_101</v>
      </c>
      <c r="H7" s="7" t="str">
        <f>_xlfn.XLOOKUP(C7,Products!A7:A506,Products!C7:C506,"Category Missing",0)</f>
        <v>Clothing</v>
      </c>
      <c r="I7" s="11">
        <f>_xlfn.XLOOKUP(Orders!C7,Products!A7:A506,Products!D7:D506,"Price Missing",0)</f>
        <v>14</v>
      </c>
      <c r="J7" s="19">
        <f t="shared" si="0"/>
        <v>14</v>
      </c>
    </row>
    <row r="8" spans="1:10" x14ac:dyDescent="0.35">
      <c r="A8" s="4" t="s">
        <v>4028</v>
      </c>
      <c r="B8" s="7" t="s">
        <v>1988</v>
      </c>
      <c r="C8" s="7" t="s">
        <v>3724</v>
      </c>
      <c r="D8" s="5">
        <v>8</v>
      </c>
      <c r="E8" s="7" t="str">
        <f>_xlfn.XLOOKUP(B8,Customers!A8:A1007,Customers!B8:B1007,"Customer Not Found",0)</f>
        <v>Customer_660</v>
      </c>
      <c r="F8" s="7" t="str">
        <f>_xlfn.XLOOKUP(Orders!B8,Customers!A8:A1007,Customers!C8:C1007,"Country not Found",0)</f>
        <v>USA</v>
      </c>
      <c r="G8" s="7" t="str">
        <f>_xlfn.XLOOKUP(C8,Products!A8:A507,Products!B8:B507,"Product Missing",0)</f>
        <v>Product_353</v>
      </c>
      <c r="H8" s="7" t="str">
        <f>_xlfn.XLOOKUP(C8,Products!A8:A507,Products!C8:C507,"Category Missing",0)</f>
        <v>Home</v>
      </c>
      <c r="I8" s="11">
        <f>_xlfn.XLOOKUP(Orders!C8,Products!A8:A507,Products!D8:D507,"Price Missing",0)</f>
        <v>47.02</v>
      </c>
      <c r="J8" s="19">
        <f t="shared" si="0"/>
        <v>376.16</v>
      </c>
    </row>
    <row r="9" spans="1:10" x14ac:dyDescent="0.35">
      <c r="A9" s="4" t="s">
        <v>4029</v>
      </c>
      <c r="B9" s="7" t="s">
        <v>2294</v>
      </c>
      <c r="C9" s="7" t="s">
        <v>3704</v>
      </c>
      <c r="D9" s="5">
        <v>5</v>
      </c>
      <c r="E9" s="7" t="str">
        <f>_xlfn.XLOOKUP(B9,Customers!A9:A1008,Customers!B9:B1008,"Customer Not Found",0)</f>
        <v>Customer_762</v>
      </c>
      <c r="F9" s="7" t="str">
        <f>_xlfn.XLOOKUP(Orders!B9,Customers!A9:A1008,Customers!C9:C1008,"Country not Found",0)</f>
        <v>Nigeria</v>
      </c>
      <c r="G9" s="7" t="str">
        <f>_xlfn.XLOOKUP(C9,Products!A9:A508,Products!B9:B508,"Product Missing",0)</f>
        <v>Product_343</v>
      </c>
      <c r="H9" s="7" t="str">
        <f>_xlfn.XLOOKUP(C9,Products!A9:A508,Products!C9:C508,"Category Missing",0)</f>
        <v>Food</v>
      </c>
      <c r="I9" s="11">
        <f>_xlfn.XLOOKUP(Orders!C9,Products!A9:A508,Products!D9:D508,"Price Missing",0)</f>
        <v>487.11</v>
      </c>
      <c r="J9" s="19">
        <f t="shared" si="0"/>
        <v>2435.5500000000002</v>
      </c>
    </row>
    <row r="10" spans="1:10" x14ac:dyDescent="0.35">
      <c r="A10" s="4" t="s">
        <v>4030</v>
      </c>
      <c r="B10" s="7" t="s">
        <v>113</v>
      </c>
      <c r="C10" s="7" t="s">
        <v>3640</v>
      </c>
      <c r="D10" s="5">
        <v>5</v>
      </c>
      <c r="E10" s="7" t="str">
        <f>_xlfn.XLOOKUP(B10,Customers!A10:A1009,Customers!B10:B1009,"Customer Not Found",0)</f>
        <v>Customer_35</v>
      </c>
      <c r="F10" s="7" t="str">
        <f>_xlfn.XLOOKUP(Orders!B10,Customers!A10:A1009,Customers!C10:C1009,"Country not Found",0)</f>
        <v>Nigeria</v>
      </c>
      <c r="G10" s="7" t="str">
        <f>_xlfn.XLOOKUP(C10,Products!A10:A509,Products!B10:B509,"Product Missing",0)</f>
        <v>Product_311</v>
      </c>
      <c r="H10" s="7" t="str">
        <f>_xlfn.XLOOKUP(C10,Products!A10:A509,Products!C10:C509,"Category Missing",0)</f>
        <v>Electronics</v>
      </c>
      <c r="I10" s="11">
        <f>_xlfn.XLOOKUP(Orders!C10,Products!A10:A509,Products!D10:D509,"Price Missing",0)</f>
        <v>348.17</v>
      </c>
      <c r="J10" s="19">
        <f t="shared" si="0"/>
        <v>1740.8500000000001</v>
      </c>
    </row>
    <row r="11" spans="1:10" x14ac:dyDescent="0.35">
      <c r="A11" s="4" t="s">
        <v>4031</v>
      </c>
      <c r="B11" s="7" t="s">
        <v>1445</v>
      </c>
      <c r="C11" s="7" t="s">
        <v>3742</v>
      </c>
      <c r="D11" s="5">
        <v>8</v>
      </c>
      <c r="E11" s="7" t="str">
        <f>_xlfn.XLOOKUP(B11,Customers!A11:A1010,Customers!B11:B1010,"Customer Not Found",0)</f>
        <v>Customer_479</v>
      </c>
      <c r="F11" s="7" t="str">
        <f>_xlfn.XLOOKUP(Orders!B11,Customers!A11:A1010,Customers!C11:C1010,"Country not Found",0)</f>
        <v>USA</v>
      </c>
      <c r="G11" s="7" t="str">
        <f>_xlfn.XLOOKUP(C11,Products!A11:A510,Products!B11:B510,"Product Missing",0)</f>
        <v>Product_362</v>
      </c>
      <c r="H11" s="7" t="str">
        <f>_xlfn.XLOOKUP(C11,Products!A11:A510,Products!C11:C510,"Category Missing",0)</f>
        <v>Food</v>
      </c>
      <c r="I11" s="11">
        <f>_xlfn.XLOOKUP(Orders!C11,Products!A11:A510,Products!D11:D510,"Price Missing",0)</f>
        <v>235.87</v>
      </c>
      <c r="J11" s="19">
        <f t="shared" si="0"/>
        <v>1886.96</v>
      </c>
    </row>
    <row r="12" spans="1:10" x14ac:dyDescent="0.35">
      <c r="A12" s="4" t="s">
        <v>4032</v>
      </c>
      <c r="B12" s="7" t="s">
        <v>983</v>
      </c>
      <c r="C12" s="7" t="s">
        <v>3356</v>
      </c>
      <c r="D12" s="5">
        <v>5</v>
      </c>
      <c r="E12" s="7" t="str">
        <f>_xlfn.XLOOKUP(B12,Customers!A12:A1011,Customers!B12:B1011,"Customer Not Found",0)</f>
        <v>Customer_325</v>
      </c>
      <c r="F12" s="7" t="str">
        <f>_xlfn.XLOOKUP(Orders!B12,Customers!A12:A1011,Customers!C12:C1011,"Country not Found",0)</f>
        <v>Canada</v>
      </c>
      <c r="G12" s="7" t="str">
        <f>_xlfn.XLOOKUP(C12,Products!A12:A511,Products!B12:B511,"Product Missing",0)</f>
        <v>Product_169</v>
      </c>
      <c r="H12" s="7" t="str">
        <f>_xlfn.XLOOKUP(C12,Products!A12:A511,Products!C12:C511,"Category Missing",0)</f>
        <v>Food</v>
      </c>
      <c r="I12" s="11">
        <f>_xlfn.XLOOKUP(Orders!C12,Products!A12:A511,Products!D12:D511,"Price Missing",0)</f>
        <v>279.2</v>
      </c>
      <c r="J12" s="19">
        <f t="shared" si="0"/>
        <v>1396</v>
      </c>
    </row>
    <row r="13" spans="1:10" x14ac:dyDescent="0.35">
      <c r="A13" s="4" t="s">
        <v>4033</v>
      </c>
      <c r="B13" s="7" t="s">
        <v>1409</v>
      </c>
      <c r="C13" s="7" t="s">
        <v>3596</v>
      </c>
      <c r="D13" s="5">
        <v>4</v>
      </c>
      <c r="E13" s="7" t="str">
        <f>_xlfn.XLOOKUP(B13,Customers!A13:A1012,Customers!B13:B1012,"Customer Not Found",0)</f>
        <v>Customer_467</v>
      </c>
      <c r="F13" s="7" t="str">
        <f>_xlfn.XLOOKUP(Orders!B13,Customers!A13:A1012,Customers!C13:C1012,"Country not Found",0)</f>
        <v>Ghana</v>
      </c>
      <c r="G13" s="7" t="str">
        <f>_xlfn.XLOOKUP(C13,Products!A13:A512,Products!B13:B512,"Product Missing",0)</f>
        <v>Product_289</v>
      </c>
      <c r="H13" s="7" t="str">
        <f>_xlfn.XLOOKUP(C13,Products!A13:A512,Products!C13:C512,"Category Missing",0)</f>
        <v>Electronics</v>
      </c>
      <c r="I13" s="11">
        <f>_xlfn.XLOOKUP(Orders!C13,Products!A13:A512,Products!D13:D512,"Price Missing",0)</f>
        <v>362.84</v>
      </c>
      <c r="J13" s="19">
        <f t="shared" si="0"/>
        <v>1451.36</v>
      </c>
    </row>
    <row r="14" spans="1:10" x14ac:dyDescent="0.35">
      <c r="A14" s="4" t="s">
        <v>4034</v>
      </c>
      <c r="B14" s="7" t="s">
        <v>1625</v>
      </c>
      <c r="C14" s="7" t="s">
        <v>3744</v>
      </c>
      <c r="D14" s="5">
        <v>1</v>
      </c>
      <c r="E14" s="7" t="str">
        <f>_xlfn.XLOOKUP(B14,Customers!A14:A1013,Customers!B14:B1013,"Customer Not Found",0)</f>
        <v>Customer_539</v>
      </c>
      <c r="F14" s="7" t="str">
        <f>_xlfn.XLOOKUP(Orders!B14,Customers!A14:A1013,Customers!C14:C1013,"Country not Found",0)</f>
        <v>Ghana</v>
      </c>
      <c r="G14" s="7" t="str">
        <f>_xlfn.XLOOKUP(C14,Products!A14:A513,Products!B14:B513,"Product Missing",0)</f>
        <v>Product_363</v>
      </c>
      <c r="H14" s="7" t="str">
        <f>_xlfn.XLOOKUP(C14,Products!A14:A513,Products!C14:C513,"Category Missing",0)</f>
        <v>Food</v>
      </c>
      <c r="I14" s="11">
        <f>_xlfn.XLOOKUP(Orders!C14,Products!A14:A513,Products!D14:D513,"Price Missing",0)</f>
        <v>124.41</v>
      </c>
      <c r="J14" s="19">
        <f t="shared" si="0"/>
        <v>124.41</v>
      </c>
    </row>
    <row r="15" spans="1:10" x14ac:dyDescent="0.35">
      <c r="A15" s="4" t="s">
        <v>4035</v>
      </c>
      <c r="B15" s="7" t="s">
        <v>2294</v>
      </c>
      <c r="C15" s="7" t="s">
        <v>3748</v>
      </c>
      <c r="D15" s="5">
        <v>3</v>
      </c>
      <c r="E15" s="7" t="str">
        <f>_xlfn.XLOOKUP(B15,Customers!A15:A1014,Customers!B15:B1014,"Customer Not Found",0)</f>
        <v>Customer_762</v>
      </c>
      <c r="F15" s="7" t="str">
        <f>_xlfn.XLOOKUP(Orders!B15,Customers!A15:A1014,Customers!C15:C1014,"Country not Found",0)</f>
        <v>Nigeria</v>
      </c>
      <c r="G15" s="7" t="str">
        <f>_xlfn.XLOOKUP(C15,Products!A15:A514,Products!B15:B514,"Product Missing",0)</f>
        <v>Product_365</v>
      </c>
      <c r="H15" s="7" t="str">
        <f>_xlfn.XLOOKUP(C15,Products!A15:A514,Products!C15:C514,"Category Missing",0)</f>
        <v>Clothing</v>
      </c>
      <c r="I15" s="11">
        <f>_xlfn.XLOOKUP(Orders!C15,Products!A15:A514,Products!D15:D514,"Price Missing",0)</f>
        <v>18.690000000000001</v>
      </c>
      <c r="J15" s="19">
        <f t="shared" si="0"/>
        <v>56.070000000000007</v>
      </c>
    </row>
    <row r="16" spans="1:10" x14ac:dyDescent="0.35">
      <c r="A16" s="4" t="s">
        <v>4036</v>
      </c>
      <c r="B16" s="7" t="s">
        <v>2207</v>
      </c>
      <c r="C16" s="7" t="s">
        <v>3274</v>
      </c>
      <c r="D16" s="5">
        <v>9</v>
      </c>
      <c r="E16" s="7" t="str">
        <f>_xlfn.XLOOKUP(B16,Customers!A16:A1015,Customers!B16:B1015,"Customer Not Found",0)</f>
        <v>Customer_733</v>
      </c>
      <c r="F16" s="7" t="str">
        <f>_xlfn.XLOOKUP(Orders!B16,Customers!A16:A1015,Customers!C16:C1015,"Country not Found",0)</f>
        <v>South Africa</v>
      </c>
      <c r="G16" s="7" t="str">
        <f>_xlfn.XLOOKUP(C16,Products!A16:A515,Products!B16:B515,"Product Missing",0)</f>
        <v>Product_128</v>
      </c>
      <c r="H16" s="7" t="str">
        <f>_xlfn.XLOOKUP(C16,Products!A16:A515,Products!C16:C515,"Category Missing",0)</f>
        <v>Home</v>
      </c>
      <c r="I16" s="11">
        <f>_xlfn.XLOOKUP(Orders!C16,Products!A16:A515,Products!D16:D515,"Price Missing",0)</f>
        <v>10.47</v>
      </c>
      <c r="J16" s="19">
        <f t="shared" si="0"/>
        <v>94.23</v>
      </c>
    </row>
    <row r="17" spans="1:10" x14ac:dyDescent="0.35">
      <c r="A17" s="4" t="s">
        <v>4037</v>
      </c>
      <c r="B17" s="7" t="s">
        <v>986</v>
      </c>
      <c r="C17" s="7" t="s">
        <v>3184</v>
      </c>
      <c r="D17" s="5">
        <v>6</v>
      </c>
      <c r="E17" s="7" t="str">
        <f>_xlfn.XLOOKUP(B17,Customers!A17:A1016,Customers!B17:B1016,"Customer Not Found",0)</f>
        <v>Customer_326</v>
      </c>
      <c r="F17" s="7" t="str">
        <f>_xlfn.XLOOKUP(Orders!B17,Customers!A17:A1016,Customers!C17:C1016,"Country not Found",0)</f>
        <v>South Africa</v>
      </c>
      <c r="G17" s="7" t="str">
        <f>_xlfn.XLOOKUP(C17,Products!A17:A516,Products!B17:B516,"Product Missing",0)</f>
        <v>Product_83</v>
      </c>
      <c r="H17" s="7" t="str">
        <f>_xlfn.XLOOKUP(C17,Products!A17:A516,Products!C17:C516,"Category Missing",0)</f>
        <v>Electronics</v>
      </c>
      <c r="I17" s="11">
        <f>_xlfn.XLOOKUP(Orders!C17,Products!A17:A516,Products!D17:D516,"Price Missing",0)</f>
        <v>453.79</v>
      </c>
      <c r="J17" s="19">
        <f t="shared" si="0"/>
        <v>2722.7400000000002</v>
      </c>
    </row>
    <row r="18" spans="1:10" x14ac:dyDescent="0.35">
      <c r="A18" s="4" t="s">
        <v>4038</v>
      </c>
      <c r="B18" s="7" t="s">
        <v>1652</v>
      </c>
      <c r="C18" s="7" t="s">
        <v>3352</v>
      </c>
      <c r="D18" s="5">
        <v>6</v>
      </c>
      <c r="E18" s="7" t="str">
        <f>_xlfn.XLOOKUP(B18,Customers!A18:A1017,Customers!B18:B1017,"Customer Not Found",0)</f>
        <v>Customer_548</v>
      </c>
      <c r="F18" s="7" t="str">
        <f>_xlfn.XLOOKUP(Orders!B18,Customers!A18:A1017,Customers!C18:C1017,"Country not Found",0)</f>
        <v>UK</v>
      </c>
      <c r="G18" s="7" t="str">
        <f>_xlfn.XLOOKUP(C18,Products!A18:A517,Products!B18:B517,"Product Missing",0)</f>
        <v>Product_167</v>
      </c>
      <c r="H18" s="7" t="str">
        <f>_xlfn.XLOOKUP(C18,Products!A18:A517,Products!C18:C517,"Category Missing",0)</f>
        <v>Clothing</v>
      </c>
      <c r="I18" s="11">
        <f>_xlfn.XLOOKUP(Orders!C18,Products!A18:A517,Products!D18:D517,"Price Missing",0)</f>
        <v>467.95</v>
      </c>
      <c r="J18" s="19">
        <f t="shared" si="0"/>
        <v>2807.7</v>
      </c>
    </row>
    <row r="19" spans="1:10" x14ac:dyDescent="0.35">
      <c r="A19" s="4" t="s">
        <v>4039</v>
      </c>
      <c r="B19" s="7" t="s">
        <v>716</v>
      </c>
      <c r="C19" s="7" t="s">
        <v>3698</v>
      </c>
      <c r="D19" s="5">
        <v>2</v>
      </c>
      <c r="E19" s="7" t="str">
        <f>_xlfn.XLOOKUP(B19,Customers!A19:A1018,Customers!B19:B1018,"Customer Not Found",0)</f>
        <v>Customer_236</v>
      </c>
      <c r="F19" s="7" t="str">
        <f>_xlfn.XLOOKUP(Orders!B19,Customers!A19:A1018,Customers!C19:C1018,"Country not Found",0)</f>
        <v>USA</v>
      </c>
      <c r="G19" s="7" t="str">
        <f>_xlfn.XLOOKUP(C19,Products!A19:A518,Products!B19:B518,"Product Missing",0)</f>
        <v>Product_340</v>
      </c>
      <c r="H19" s="7" t="str">
        <f>_xlfn.XLOOKUP(C19,Products!A19:A518,Products!C19:C518,"Category Missing",0)</f>
        <v>Clothing</v>
      </c>
      <c r="I19" s="11">
        <f>_xlfn.XLOOKUP(Orders!C19,Products!A19:A518,Products!D19:D518,"Price Missing",0)</f>
        <v>124.34</v>
      </c>
      <c r="J19" s="19">
        <f t="shared" si="0"/>
        <v>248.68</v>
      </c>
    </row>
    <row r="20" spans="1:10" x14ac:dyDescent="0.35">
      <c r="A20" s="4" t="s">
        <v>4040</v>
      </c>
      <c r="B20" s="7" t="s">
        <v>1652</v>
      </c>
      <c r="C20" s="7" t="s">
        <v>3420</v>
      </c>
      <c r="D20" s="5">
        <v>2</v>
      </c>
      <c r="E20" s="7" t="str">
        <f>_xlfn.XLOOKUP(B20,Customers!A20:A1019,Customers!B20:B1019,"Customer Not Found",0)</f>
        <v>Customer_548</v>
      </c>
      <c r="F20" s="7" t="str">
        <f>_xlfn.XLOOKUP(Orders!B20,Customers!A20:A1019,Customers!C20:C1019,"Country not Found",0)</f>
        <v>UK</v>
      </c>
      <c r="G20" s="7" t="str">
        <f>_xlfn.XLOOKUP(C20,Products!A20:A519,Products!B20:B519,"Product Missing",0)</f>
        <v>Product_201</v>
      </c>
      <c r="H20" s="7" t="str">
        <f>_xlfn.XLOOKUP(C20,Products!A20:A519,Products!C20:C519,"Category Missing",0)</f>
        <v>Home</v>
      </c>
      <c r="I20" s="11">
        <f>_xlfn.XLOOKUP(Orders!C20,Products!A20:A519,Products!D20:D519,"Price Missing",0)</f>
        <v>370.97</v>
      </c>
      <c r="J20" s="19">
        <f t="shared" si="0"/>
        <v>741.94</v>
      </c>
    </row>
    <row r="21" spans="1:10" x14ac:dyDescent="0.35">
      <c r="A21" s="4" t="s">
        <v>4041</v>
      </c>
      <c r="B21" s="7" t="s">
        <v>1187</v>
      </c>
      <c r="C21" s="7" t="s">
        <v>3694</v>
      </c>
      <c r="D21" s="5">
        <v>9</v>
      </c>
      <c r="E21" s="7" t="str">
        <f>_xlfn.XLOOKUP(B21,Customers!A21:A1020,Customers!B21:B1020,"Customer Not Found",0)</f>
        <v>Customer_393</v>
      </c>
      <c r="F21" s="7" t="str">
        <f>_xlfn.XLOOKUP(Orders!B21,Customers!A21:A1020,Customers!C21:C1020,"Country not Found",0)</f>
        <v>Ghana</v>
      </c>
      <c r="G21" s="7" t="str">
        <f>_xlfn.XLOOKUP(C21,Products!A21:A520,Products!B21:B520,"Product Missing",0)</f>
        <v>Product_338</v>
      </c>
      <c r="H21" s="7" t="str">
        <f>_xlfn.XLOOKUP(C21,Products!A21:A520,Products!C21:C520,"Category Missing",0)</f>
        <v>Home</v>
      </c>
      <c r="I21" s="11">
        <f>_xlfn.XLOOKUP(Orders!C21,Products!A21:A520,Products!D21:D520,"Price Missing",0)</f>
        <v>491.06</v>
      </c>
      <c r="J21" s="19">
        <f t="shared" si="0"/>
        <v>4419.54</v>
      </c>
    </row>
    <row r="22" spans="1:10" x14ac:dyDescent="0.35">
      <c r="A22" s="4" t="s">
        <v>4042</v>
      </c>
      <c r="B22" s="7" t="s">
        <v>1922</v>
      </c>
      <c r="C22" s="7" t="s">
        <v>3458</v>
      </c>
      <c r="D22" s="5">
        <v>3</v>
      </c>
      <c r="E22" s="7" t="str">
        <f>_xlfn.XLOOKUP(B22,Customers!A22:A1021,Customers!B22:B1021,"Customer Not Found",0)</f>
        <v>Customer_638</v>
      </c>
      <c r="F22" s="7" t="str">
        <f>_xlfn.XLOOKUP(Orders!B22,Customers!A22:A1021,Customers!C22:C1021,"Country not Found",0)</f>
        <v>USA</v>
      </c>
      <c r="G22" s="7" t="str">
        <f>_xlfn.XLOOKUP(C22,Products!A22:A521,Products!B22:B521,"Product Missing",0)</f>
        <v>Product_220</v>
      </c>
      <c r="H22" s="7" t="str">
        <f>_xlfn.XLOOKUP(C22,Products!A22:A521,Products!C22:C521,"Category Missing",0)</f>
        <v>Sports</v>
      </c>
      <c r="I22" s="11">
        <f>_xlfn.XLOOKUP(Orders!C22,Products!A22:A521,Products!D22:D521,"Price Missing",0)</f>
        <v>82.11</v>
      </c>
      <c r="J22" s="19">
        <f t="shared" si="0"/>
        <v>246.32999999999998</v>
      </c>
    </row>
    <row r="23" spans="1:10" x14ac:dyDescent="0.35">
      <c r="A23" s="4" t="s">
        <v>4043</v>
      </c>
      <c r="B23" s="7" t="s">
        <v>2717</v>
      </c>
      <c r="C23" s="7" t="s">
        <v>3902</v>
      </c>
      <c r="D23" s="5">
        <v>9</v>
      </c>
      <c r="E23" s="7" t="str">
        <f>_xlfn.XLOOKUP(B23,Customers!A23:A1022,Customers!B23:B1022,"Customer Not Found",0)</f>
        <v>Customer_903</v>
      </c>
      <c r="F23" s="7" t="str">
        <f>_xlfn.XLOOKUP(Orders!B23,Customers!A23:A1022,Customers!C23:C1022,"Country not Found",0)</f>
        <v>Canada</v>
      </c>
      <c r="G23" s="7" t="str">
        <f>_xlfn.XLOOKUP(C23,Products!A23:A522,Products!B23:B522,"Product Missing",0)</f>
        <v>Product_442</v>
      </c>
      <c r="H23" s="7" t="str">
        <f>_xlfn.XLOOKUP(C23,Products!A23:A522,Products!C23:C522,"Category Missing",0)</f>
        <v>Sports</v>
      </c>
      <c r="I23" s="11">
        <f>_xlfn.XLOOKUP(Orders!C23,Products!A23:A522,Products!D23:D522,"Price Missing",0)</f>
        <v>48.2</v>
      </c>
      <c r="J23" s="19">
        <f t="shared" si="0"/>
        <v>433.8</v>
      </c>
    </row>
    <row r="24" spans="1:10" x14ac:dyDescent="0.35">
      <c r="A24" s="4" t="s">
        <v>4044</v>
      </c>
      <c r="B24" s="7" t="s">
        <v>2069</v>
      </c>
      <c r="C24" s="7" t="s">
        <v>3666</v>
      </c>
      <c r="D24" s="5">
        <v>8</v>
      </c>
      <c r="E24" s="7" t="str">
        <f>_xlfn.XLOOKUP(B24,Customers!A24:A1023,Customers!B24:B1023,"Customer Not Found",0)</f>
        <v>Customer_687</v>
      </c>
      <c r="F24" s="7" t="str">
        <f>_xlfn.XLOOKUP(Orders!B24,Customers!A24:A1023,Customers!C24:C1023,"Country not Found",0)</f>
        <v>South Africa</v>
      </c>
      <c r="G24" s="7" t="str">
        <f>_xlfn.XLOOKUP(C24,Products!A24:A523,Products!B24:B523,"Product Missing",0)</f>
        <v>Product_324</v>
      </c>
      <c r="H24" s="7" t="str">
        <f>_xlfn.XLOOKUP(C24,Products!A24:A523,Products!C24:C523,"Category Missing",0)</f>
        <v>Home</v>
      </c>
      <c r="I24" s="11">
        <f>_xlfn.XLOOKUP(Orders!C24,Products!A24:A523,Products!D24:D523,"Price Missing",0)</f>
        <v>230.35</v>
      </c>
      <c r="J24" s="19">
        <f t="shared" si="0"/>
        <v>1842.8</v>
      </c>
    </row>
    <row r="25" spans="1:10" x14ac:dyDescent="0.35">
      <c r="A25" s="4" t="s">
        <v>4045</v>
      </c>
      <c r="B25" s="7" t="s">
        <v>1790</v>
      </c>
      <c r="C25" s="7" t="s">
        <v>3338</v>
      </c>
      <c r="D25" s="5">
        <v>10</v>
      </c>
      <c r="E25" s="7" t="str">
        <f>_xlfn.XLOOKUP(B25,Customers!A25:A1024,Customers!B25:B1024,"Customer Not Found",0)</f>
        <v>Customer_594</v>
      </c>
      <c r="F25" s="7" t="str">
        <f>_xlfn.XLOOKUP(Orders!B25,Customers!A25:A1024,Customers!C25:C1024,"Country not Found",0)</f>
        <v>Canada</v>
      </c>
      <c r="G25" s="7" t="str">
        <f>_xlfn.XLOOKUP(C25,Products!A25:A524,Products!B25:B524,"Product Missing",0)</f>
        <v>Product_160</v>
      </c>
      <c r="H25" s="7" t="str">
        <f>_xlfn.XLOOKUP(C25,Products!A25:A524,Products!C25:C524,"Category Missing",0)</f>
        <v>Electronics</v>
      </c>
      <c r="I25" s="11">
        <f>_xlfn.XLOOKUP(Orders!C25,Products!A25:A524,Products!D25:D524,"Price Missing",0)</f>
        <v>319.02</v>
      </c>
      <c r="J25" s="19">
        <f t="shared" si="0"/>
        <v>3190.2</v>
      </c>
    </row>
    <row r="26" spans="1:10" x14ac:dyDescent="0.35">
      <c r="A26" s="4" t="s">
        <v>4046</v>
      </c>
      <c r="B26" s="7" t="s">
        <v>22</v>
      </c>
      <c r="C26" s="7" t="s">
        <v>3050</v>
      </c>
      <c r="D26" s="5">
        <v>3</v>
      </c>
      <c r="E26" s="7" t="str">
        <f>_xlfn.XLOOKUP(B26,Customers!A26:A1025,Customers!B26:B1025,"Customer Not Found",0)</f>
        <v>Customer Not Found</v>
      </c>
      <c r="F26" s="7" t="str">
        <f>_xlfn.XLOOKUP(Orders!B26,Customers!A26:A1025,Customers!C26:C1025,"Country not Found",0)</f>
        <v>Country not Found</v>
      </c>
      <c r="G26" s="7" t="str">
        <f>_xlfn.XLOOKUP(C26,Products!A26:A525,Products!B26:B525,"Product Missing",0)</f>
        <v>Product Missing</v>
      </c>
      <c r="H26" s="7" t="str">
        <f>_xlfn.XLOOKUP(C26,Products!A26:A525,Products!C26:C525,"Category Missing",0)</f>
        <v>Category Missing</v>
      </c>
      <c r="I26" s="11" t="str">
        <f>_xlfn.XLOOKUP(Orders!C26,Products!A26:A525,Products!D26:D525,"Price Missing",0)</f>
        <v>Price Missing</v>
      </c>
      <c r="J26" s="19">
        <f t="shared" si="0"/>
        <v>0</v>
      </c>
    </row>
    <row r="27" spans="1:10" x14ac:dyDescent="0.35">
      <c r="A27" s="4" t="s">
        <v>4047</v>
      </c>
      <c r="B27" s="7" t="s">
        <v>1814</v>
      </c>
      <c r="C27" s="7" t="s">
        <v>3266</v>
      </c>
      <c r="D27" s="5">
        <v>9</v>
      </c>
      <c r="E27" s="7" t="str">
        <f>_xlfn.XLOOKUP(B27,Customers!A27:A1026,Customers!B27:B1026,"Customer Not Found",0)</f>
        <v>Customer_602</v>
      </c>
      <c r="F27" s="7" t="str">
        <f>_xlfn.XLOOKUP(Orders!B27,Customers!A27:A1026,Customers!C27:C1026,"Country not Found",0)</f>
        <v>UK</v>
      </c>
      <c r="G27" s="7" t="str">
        <f>_xlfn.XLOOKUP(C27,Products!A27:A526,Products!B27:B526,"Product Missing",0)</f>
        <v>Product_124</v>
      </c>
      <c r="H27" s="7" t="str">
        <f>_xlfn.XLOOKUP(C27,Products!A27:A526,Products!C27:C526,"Category Missing",0)</f>
        <v>Clothing</v>
      </c>
      <c r="I27" s="11">
        <f>_xlfn.XLOOKUP(Orders!C27,Products!A27:A526,Products!D27:D526,"Price Missing",0)</f>
        <v>443.5</v>
      </c>
      <c r="J27" s="19">
        <f t="shared" si="0"/>
        <v>3991.5</v>
      </c>
    </row>
    <row r="28" spans="1:10" x14ac:dyDescent="0.35">
      <c r="A28" s="4" t="s">
        <v>4048</v>
      </c>
      <c r="B28" s="7" t="s">
        <v>1748</v>
      </c>
      <c r="C28" s="7" t="s">
        <v>3434</v>
      </c>
      <c r="D28" s="5">
        <v>2</v>
      </c>
      <c r="E28" s="7" t="str">
        <f>_xlfn.XLOOKUP(B28,Customers!A28:A1027,Customers!B28:B1027,"Customer Not Found",0)</f>
        <v>Customer_580</v>
      </c>
      <c r="F28" s="7" t="str">
        <f>_xlfn.XLOOKUP(Orders!B28,Customers!A28:A1027,Customers!C28:C1027,"Country not Found",0)</f>
        <v>UK</v>
      </c>
      <c r="G28" s="7" t="str">
        <f>_xlfn.XLOOKUP(C28,Products!A28:A527,Products!B28:B527,"Product Missing",0)</f>
        <v>Product_208</v>
      </c>
      <c r="H28" s="7" t="str">
        <f>_xlfn.XLOOKUP(C28,Products!A28:A527,Products!C28:C527,"Category Missing",0)</f>
        <v>Electronics</v>
      </c>
      <c r="I28" s="11">
        <f>_xlfn.XLOOKUP(Orders!C28,Products!A28:A527,Products!D28:D527,"Price Missing",0)</f>
        <v>497.15</v>
      </c>
      <c r="J28" s="19">
        <f t="shared" si="0"/>
        <v>994.3</v>
      </c>
    </row>
    <row r="29" spans="1:10" x14ac:dyDescent="0.35">
      <c r="A29" s="4" t="s">
        <v>4049</v>
      </c>
      <c r="B29" s="7" t="s">
        <v>2573</v>
      </c>
      <c r="C29" s="7" t="s">
        <v>3154</v>
      </c>
      <c r="D29" s="5">
        <v>3</v>
      </c>
      <c r="E29" s="7" t="str">
        <f>_xlfn.XLOOKUP(B29,Customers!A29:A1028,Customers!B29:B1028,"Customer Not Found",0)</f>
        <v>Customer_855</v>
      </c>
      <c r="F29" s="7" t="str">
        <f>_xlfn.XLOOKUP(Orders!B29,Customers!A29:A1028,Customers!C29:C1028,"Country not Found",0)</f>
        <v>Nigeria</v>
      </c>
      <c r="G29" s="7" t="str">
        <f>_xlfn.XLOOKUP(C29,Products!A29:A528,Products!B29:B528,"Product Missing",0)</f>
        <v>Product_68</v>
      </c>
      <c r="H29" s="7" t="str">
        <f>_xlfn.XLOOKUP(C29,Products!A29:A528,Products!C29:C528,"Category Missing",0)</f>
        <v>Electronics</v>
      </c>
      <c r="I29" s="11">
        <f>_xlfn.XLOOKUP(Orders!C29,Products!A29:A528,Products!D29:D528,"Price Missing",0)</f>
        <v>292.60000000000002</v>
      </c>
      <c r="J29" s="19">
        <f t="shared" si="0"/>
        <v>877.80000000000007</v>
      </c>
    </row>
    <row r="30" spans="1:10" x14ac:dyDescent="0.35">
      <c r="A30" s="4" t="s">
        <v>4050</v>
      </c>
      <c r="B30" s="7" t="s">
        <v>263</v>
      </c>
      <c r="C30" s="7" t="s">
        <v>3862</v>
      </c>
      <c r="D30" s="5">
        <v>6</v>
      </c>
      <c r="E30" s="7" t="str">
        <f>_xlfn.XLOOKUP(B30,Customers!A30:A1029,Customers!B30:B1029,"Customer Not Found",0)</f>
        <v>Customer_85</v>
      </c>
      <c r="F30" s="7" t="str">
        <f>_xlfn.XLOOKUP(Orders!B30,Customers!A30:A1029,Customers!C30:C1029,"Country not Found",0)</f>
        <v>Nigeria</v>
      </c>
      <c r="G30" s="7" t="str">
        <f>_xlfn.XLOOKUP(C30,Products!A30:A529,Products!B30:B529,"Product Missing",0)</f>
        <v>Product_422</v>
      </c>
      <c r="H30" s="7" t="str">
        <f>_xlfn.XLOOKUP(C30,Products!A30:A529,Products!C30:C529,"Category Missing",0)</f>
        <v>Electronics</v>
      </c>
      <c r="I30" s="11">
        <f>_xlfn.XLOOKUP(Orders!C30,Products!A30:A529,Products!D30:D529,"Price Missing",0)</f>
        <v>342</v>
      </c>
      <c r="J30" s="19">
        <f t="shared" si="0"/>
        <v>2052</v>
      </c>
    </row>
    <row r="31" spans="1:10" x14ac:dyDescent="0.35">
      <c r="A31" s="4" t="s">
        <v>4051</v>
      </c>
      <c r="B31" s="7" t="s">
        <v>2792</v>
      </c>
      <c r="C31" s="7" t="s">
        <v>3342</v>
      </c>
      <c r="D31" s="5">
        <v>9</v>
      </c>
      <c r="E31" s="7" t="str">
        <f>_xlfn.XLOOKUP(B31,Customers!A31:A1030,Customers!B31:B1030,"Customer Not Found",0)</f>
        <v>Customer_928</v>
      </c>
      <c r="F31" s="7" t="str">
        <f>_xlfn.XLOOKUP(Orders!B31,Customers!A31:A1030,Customers!C31:C1030,"Country not Found",0)</f>
        <v>UK</v>
      </c>
      <c r="G31" s="7" t="str">
        <f>_xlfn.XLOOKUP(C31,Products!A31:A530,Products!B31:B530,"Product Missing",0)</f>
        <v>Product_162</v>
      </c>
      <c r="H31" s="7" t="str">
        <f>_xlfn.XLOOKUP(C31,Products!A31:A530,Products!C31:C530,"Category Missing",0)</f>
        <v>Food</v>
      </c>
      <c r="I31" s="11">
        <f>_xlfn.XLOOKUP(Orders!C31,Products!A31:A530,Products!D31:D530,"Price Missing",0)</f>
        <v>252.66</v>
      </c>
      <c r="J31" s="19">
        <f t="shared" si="0"/>
        <v>2273.94</v>
      </c>
    </row>
    <row r="32" spans="1:10" x14ac:dyDescent="0.35">
      <c r="A32" s="4" t="s">
        <v>4052</v>
      </c>
      <c r="B32" s="7" t="s">
        <v>1175</v>
      </c>
      <c r="C32" s="7" t="s">
        <v>3922</v>
      </c>
      <c r="D32" s="5">
        <v>4</v>
      </c>
      <c r="E32" s="7" t="str">
        <f>_xlfn.XLOOKUP(B32,Customers!A32:A1031,Customers!B32:B1031,"Customer Not Found",0)</f>
        <v>Customer_389</v>
      </c>
      <c r="F32" s="7" t="str">
        <f>_xlfn.XLOOKUP(Orders!B32,Customers!A32:A1031,Customers!C32:C1031,"Country not Found",0)</f>
        <v>Kenya</v>
      </c>
      <c r="G32" s="7" t="str">
        <f>_xlfn.XLOOKUP(C32,Products!A32:A531,Products!B32:B531,"Product Missing",0)</f>
        <v>Product_452</v>
      </c>
      <c r="H32" s="7" t="str">
        <f>_xlfn.XLOOKUP(C32,Products!A32:A531,Products!C32:C531,"Category Missing",0)</f>
        <v>Food</v>
      </c>
      <c r="I32" s="11">
        <f>_xlfn.XLOOKUP(Orders!C32,Products!A32:A531,Products!D32:D531,"Price Missing",0)</f>
        <v>462.53</v>
      </c>
      <c r="J32" s="19">
        <f t="shared" si="0"/>
        <v>1850.12</v>
      </c>
    </row>
    <row r="33" spans="1:10" x14ac:dyDescent="0.35">
      <c r="A33" s="4" t="s">
        <v>4053</v>
      </c>
      <c r="B33" s="7" t="s">
        <v>2066</v>
      </c>
      <c r="C33" s="7" t="s">
        <v>3372</v>
      </c>
      <c r="D33" s="5">
        <v>9</v>
      </c>
      <c r="E33" s="7" t="str">
        <f>_xlfn.XLOOKUP(B33,Customers!A33:A1032,Customers!B33:B1032,"Customer Not Found",0)</f>
        <v>Customer_686</v>
      </c>
      <c r="F33" s="7" t="str">
        <f>_xlfn.XLOOKUP(Orders!B33,Customers!A33:A1032,Customers!C33:C1032,"Country not Found",0)</f>
        <v>UK</v>
      </c>
      <c r="G33" s="7" t="str">
        <f>_xlfn.XLOOKUP(C33,Products!A33:A532,Products!B33:B532,"Product Missing",0)</f>
        <v>Product_177</v>
      </c>
      <c r="H33" s="7" t="str">
        <f>_xlfn.XLOOKUP(C33,Products!A33:A532,Products!C33:C532,"Category Missing",0)</f>
        <v>Clothing</v>
      </c>
      <c r="I33" s="11">
        <f>_xlfn.XLOOKUP(Orders!C33,Products!A33:A532,Products!D33:D532,"Price Missing",0)</f>
        <v>80.099999999999994</v>
      </c>
      <c r="J33" s="19">
        <f t="shared" si="0"/>
        <v>720.9</v>
      </c>
    </row>
    <row r="34" spans="1:10" x14ac:dyDescent="0.35">
      <c r="A34" s="4" t="s">
        <v>4054</v>
      </c>
      <c r="B34" s="7" t="s">
        <v>1655</v>
      </c>
      <c r="C34" s="7" t="s">
        <v>3942</v>
      </c>
      <c r="D34" s="5">
        <v>7</v>
      </c>
      <c r="E34" s="7" t="str">
        <f>_xlfn.XLOOKUP(B34,Customers!A34:A1033,Customers!B34:B1033,"Customer Not Found",0)</f>
        <v>Customer_549</v>
      </c>
      <c r="F34" s="7" t="str">
        <f>_xlfn.XLOOKUP(Orders!B34,Customers!A34:A1033,Customers!C34:C1033,"Country not Found",0)</f>
        <v>Nigeria</v>
      </c>
      <c r="G34" s="7" t="str">
        <f>_xlfn.XLOOKUP(C34,Products!A34:A533,Products!B34:B533,"Product Missing",0)</f>
        <v>Product_462</v>
      </c>
      <c r="H34" s="7" t="str">
        <f>_xlfn.XLOOKUP(C34,Products!A34:A533,Products!C34:C533,"Category Missing",0)</f>
        <v>Food</v>
      </c>
      <c r="I34" s="11">
        <f>_xlfn.XLOOKUP(Orders!C34,Products!A34:A533,Products!D34:D533,"Price Missing",0)</f>
        <v>146.15</v>
      </c>
      <c r="J34" s="19">
        <f t="shared" si="0"/>
        <v>1023.0500000000001</v>
      </c>
    </row>
    <row r="35" spans="1:10" x14ac:dyDescent="0.35">
      <c r="A35" s="4" t="s">
        <v>4055</v>
      </c>
      <c r="B35" s="7" t="s">
        <v>1622</v>
      </c>
      <c r="C35" s="7" t="s">
        <v>3250</v>
      </c>
      <c r="D35" s="5">
        <v>9</v>
      </c>
      <c r="E35" s="7" t="str">
        <f>_xlfn.XLOOKUP(B35,Customers!A35:A1034,Customers!B35:B1034,"Customer Not Found",0)</f>
        <v>Customer_538</v>
      </c>
      <c r="F35" s="7" t="str">
        <f>_xlfn.XLOOKUP(Orders!B35,Customers!A35:A1034,Customers!C35:C1034,"Country not Found",0)</f>
        <v>Kenya</v>
      </c>
      <c r="G35" s="7" t="str">
        <f>_xlfn.XLOOKUP(C35,Products!A35:A534,Products!B35:B534,"Product Missing",0)</f>
        <v>Product_116</v>
      </c>
      <c r="H35" s="7" t="str">
        <f>_xlfn.XLOOKUP(C35,Products!A35:A534,Products!C35:C534,"Category Missing",0)</f>
        <v>Electronics</v>
      </c>
      <c r="I35" s="11">
        <f>_xlfn.XLOOKUP(Orders!C35,Products!A35:A534,Products!D35:D534,"Price Missing",0)</f>
        <v>128.93</v>
      </c>
      <c r="J35" s="19">
        <f t="shared" si="0"/>
        <v>1160.3700000000001</v>
      </c>
    </row>
    <row r="36" spans="1:10" x14ac:dyDescent="0.35">
      <c r="A36" s="4" t="s">
        <v>4056</v>
      </c>
      <c r="B36" s="7" t="s">
        <v>2312</v>
      </c>
      <c r="C36" s="7" t="s">
        <v>3820</v>
      </c>
      <c r="D36" s="5">
        <v>8</v>
      </c>
      <c r="E36" s="7" t="str">
        <f>_xlfn.XLOOKUP(B36,Customers!A36:A1035,Customers!B36:B1035,"Customer Not Found",0)</f>
        <v>Customer_768</v>
      </c>
      <c r="F36" s="7" t="str">
        <f>_xlfn.XLOOKUP(Orders!B36,Customers!A36:A1035,Customers!C36:C1035,"Country not Found",0)</f>
        <v>USA</v>
      </c>
      <c r="G36" s="7" t="str">
        <f>_xlfn.XLOOKUP(C36,Products!A36:A535,Products!B36:B535,"Product Missing",0)</f>
        <v>Product_401</v>
      </c>
      <c r="H36" s="7" t="str">
        <f>_xlfn.XLOOKUP(C36,Products!A36:A535,Products!C36:C535,"Category Missing",0)</f>
        <v>Clothing</v>
      </c>
      <c r="I36" s="11">
        <f>_xlfn.XLOOKUP(Orders!C36,Products!A36:A535,Products!D36:D535,"Price Missing",0)</f>
        <v>86.02</v>
      </c>
      <c r="J36" s="19">
        <f t="shared" si="0"/>
        <v>688.16</v>
      </c>
    </row>
    <row r="37" spans="1:10" x14ac:dyDescent="0.35">
      <c r="A37" s="4" t="s">
        <v>4057</v>
      </c>
      <c r="B37" s="7" t="s">
        <v>1430</v>
      </c>
      <c r="C37" s="7" t="s">
        <v>3250</v>
      </c>
      <c r="D37" s="5">
        <v>3</v>
      </c>
      <c r="E37" s="7" t="str">
        <f>_xlfn.XLOOKUP(B37,Customers!A37:A1036,Customers!B37:B1036,"Customer Not Found",0)</f>
        <v>Customer_474</v>
      </c>
      <c r="F37" s="7" t="str">
        <f>_xlfn.XLOOKUP(Orders!B37,Customers!A37:A1036,Customers!C37:C1036,"Country not Found",0)</f>
        <v>USA</v>
      </c>
      <c r="G37" s="7" t="str">
        <f>_xlfn.XLOOKUP(C37,Products!A37:A536,Products!B37:B536,"Product Missing",0)</f>
        <v>Product_116</v>
      </c>
      <c r="H37" s="7" t="str">
        <f>_xlfn.XLOOKUP(C37,Products!A37:A536,Products!C37:C536,"Category Missing",0)</f>
        <v>Electronics</v>
      </c>
      <c r="I37" s="11">
        <f>_xlfn.XLOOKUP(Orders!C37,Products!A37:A536,Products!D37:D536,"Price Missing",0)</f>
        <v>128.93</v>
      </c>
      <c r="J37" s="19">
        <f t="shared" si="0"/>
        <v>386.79</v>
      </c>
    </row>
    <row r="38" spans="1:10" x14ac:dyDescent="0.35">
      <c r="A38" s="4" t="s">
        <v>4058</v>
      </c>
      <c r="B38" s="7" t="s">
        <v>1316</v>
      </c>
      <c r="C38" s="7" t="s">
        <v>3722</v>
      </c>
      <c r="D38" s="5">
        <v>5</v>
      </c>
      <c r="E38" s="7" t="str">
        <f>_xlfn.XLOOKUP(B38,Customers!A38:A1037,Customers!B38:B1037,"Customer Not Found",0)</f>
        <v>Customer_436</v>
      </c>
      <c r="F38" s="7" t="str">
        <f>_xlfn.XLOOKUP(Orders!B38,Customers!A38:A1037,Customers!C38:C1037,"Country not Found",0)</f>
        <v>Ghana</v>
      </c>
      <c r="G38" s="7" t="str">
        <f>_xlfn.XLOOKUP(C38,Products!A38:A537,Products!B38:B537,"Product Missing",0)</f>
        <v>Product_352</v>
      </c>
      <c r="H38" s="7" t="str">
        <f>_xlfn.XLOOKUP(C38,Products!A38:A537,Products!C38:C537,"Category Missing",0)</f>
        <v>Clothing</v>
      </c>
      <c r="I38" s="11">
        <f>_xlfn.XLOOKUP(Orders!C38,Products!A38:A537,Products!D38:D537,"Price Missing",0)</f>
        <v>47.88</v>
      </c>
      <c r="J38" s="19">
        <f t="shared" si="0"/>
        <v>239.4</v>
      </c>
    </row>
    <row r="39" spans="1:10" x14ac:dyDescent="0.35">
      <c r="A39" s="4" t="s">
        <v>4059</v>
      </c>
      <c r="B39" s="7" t="s">
        <v>1832</v>
      </c>
      <c r="C39" s="7" t="s">
        <v>3614</v>
      </c>
      <c r="D39" s="5">
        <v>5</v>
      </c>
      <c r="E39" s="7" t="str">
        <f>_xlfn.XLOOKUP(B39,Customers!A39:A1038,Customers!B39:B1038,"Customer Not Found",0)</f>
        <v>Customer_608</v>
      </c>
      <c r="F39" s="7" t="str">
        <f>_xlfn.XLOOKUP(Orders!B39,Customers!A39:A1038,Customers!C39:C1038,"Country not Found",0)</f>
        <v>Ghana</v>
      </c>
      <c r="G39" s="7" t="str">
        <f>_xlfn.XLOOKUP(C39,Products!A39:A538,Products!B39:B538,"Product Missing",0)</f>
        <v>Product_298</v>
      </c>
      <c r="H39" s="7" t="str">
        <f>_xlfn.XLOOKUP(C39,Products!A39:A538,Products!C39:C538,"Category Missing",0)</f>
        <v>Home</v>
      </c>
      <c r="I39" s="11">
        <f>_xlfn.XLOOKUP(Orders!C39,Products!A39:A538,Products!D39:D538,"Price Missing",0)</f>
        <v>412.48</v>
      </c>
      <c r="J39" s="19">
        <f t="shared" si="0"/>
        <v>2062.4</v>
      </c>
    </row>
    <row r="40" spans="1:10" x14ac:dyDescent="0.35">
      <c r="A40" s="4" t="s">
        <v>4060</v>
      </c>
      <c r="B40" s="7" t="s">
        <v>1235</v>
      </c>
      <c r="C40" s="7" t="s">
        <v>3072</v>
      </c>
      <c r="D40" s="5">
        <v>1</v>
      </c>
      <c r="E40" s="7" t="str">
        <f>_xlfn.XLOOKUP(B40,Customers!A40:A1039,Customers!B40:B1039,"Customer Not Found",0)</f>
        <v>Customer_409</v>
      </c>
      <c r="F40" s="7" t="str">
        <f>_xlfn.XLOOKUP(Orders!B40,Customers!A40:A1039,Customers!C40:C1039,"Country not Found",0)</f>
        <v>Nigeria</v>
      </c>
      <c r="G40" s="7" t="str">
        <f>_xlfn.XLOOKUP(C40,Products!A40:A539,Products!B40:B539,"Product Missing",0)</f>
        <v>Product Missing</v>
      </c>
      <c r="H40" s="7" t="str">
        <f>_xlfn.XLOOKUP(C40,Products!A40:A539,Products!C40:C539,"Category Missing",0)</f>
        <v>Category Missing</v>
      </c>
      <c r="I40" s="11" t="str">
        <f>_xlfn.XLOOKUP(Orders!C40,Products!A40:A539,Products!D40:D539,"Price Missing",0)</f>
        <v>Price Missing</v>
      </c>
      <c r="J40" s="19">
        <f t="shared" si="0"/>
        <v>0</v>
      </c>
    </row>
    <row r="41" spans="1:10" x14ac:dyDescent="0.35">
      <c r="A41" s="4" t="s">
        <v>4061</v>
      </c>
      <c r="B41" s="7" t="s">
        <v>419</v>
      </c>
      <c r="C41" s="7" t="s">
        <v>3300</v>
      </c>
      <c r="D41" s="5">
        <v>2</v>
      </c>
      <c r="E41" s="7" t="str">
        <f>_xlfn.XLOOKUP(B41,Customers!A41:A1040,Customers!B41:B1040,"Customer Not Found",0)</f>
        <v>Customer_137</v>
      </c>
      <c r="F41" s="7" t="str">
        <f>_xlfn.XLOOKUP(Orders!B41,Customers!A41:A1040,Customers!C41:C1040,"Country not Found",0)</f>
        <v>Ghana</v>
      </c>
      <c r="G41" s="7" t="str">
        <f>_xlfn.XLOOKUP(C41,Products!A41:A540,Products!B41:B540,"Product Missing",0)</f>
        <v>Product_141</v>
      </c>
      <c r="H41" s="7" t="str">
        <f>_xlfn.XLOOKUP(C41,Products!A41:A540,Products!C41:C540,"Category Missing",0)</f>
        <v>Sports</v>
      </c>
      <c r="I41" s="11">
        <f>_xlfn.XLOOKUP(Orders!C41,Products!A41:A540,Products!D41:D540,"Price Missing",0)</f>
        <v>446.76</v>
      </c>
      <c r="J41" s="19">
        <f t="shared" si="0"/>
        <v>893.52</v>
      </c>
    </row>
    <row r="42" spans="1:10" x14ac:dyDescent="0.35">
      <c r="A42" s="4" t="s">
        <v>4062</v>
      </c>
      <c r="B42" s="7" t="s">
        <v>2279</v>
      </c>
      <c r="C42" s="7" t="s">
        <v>3130</v>
      </c>
      <c r="D42" s="5">
        <v>7</v>
      </c>
      <c r="E42" s="7" t="str">
        <f>_xlfn.XLOOKUP(B42,Customers!A42:A1041,Customers!B42:B1041,"Customer Not Found",0)</f>
        <v>Customer_757</v>
      </c>
      <c r="F42" s="7" t="str">
        <f>_xlfn.XLOOKUP(Orders!B42,Customers!A42:A1041,Customers!C42:C1041,"Country not Found",0)</f>
        <v>South Africa</v>
      </c>
      <c r="G42" s="7" t="str">
        <f>_xlfn.XLOOKUP(C42,Products!A42:A541,Products!B42:B541,"Product Missing",0)</f>
        <v>Product_56</v>
      </c>
      <c r="H42" s="7" t="str">
        <f>_xlfn.XLOOKUP(C42,Products!A42:A541,Products!C42:C541,"Category Missing",0)</f>
        <v>Food</v>
      </c>
      <c r="I42" s="11">
        <f>_xlfn.XLOOKUP(Orders!C42,Products!A42:A541,Products!D42:D541,"Price Missing",0)</f>
        <v>223.21</v>
      </c>
      <c r="J42" s="19">
        <f t="shared" si="0"/>
        <v>1562.47</v>
      </c>
    </row>
    <row r="43" spans="1:10" x14ac:dyDescent="0.35">
      <c r="A43" s="4" t="s">
        <v>4063</v>
      </c>
      <c r="B43" s="7" t="s">
        <v>740</v>
      </c>
      <c r="C43" s="7" t="s">
        <v>3498</v>
      </c>
      <c r="D43" s="5">
        <v>5</v>
      </c>
      <c r="E43" s="7" t="str">
        <f>_xlfn.XLOOKUP(B43,Customers!A43:A1042,Customers!B43:B1042,"Customer Not Found",0)</f>
        <v>Customer_244</v>
      </c>
      <c r="F43" s="7" t="str">
        <f>_xlfn.XLOOKUP(Orders!B43,Customers!A43:A1042,Customers!C43:C1042,"Country not Found",0)</f>
        <v>UK</v>
      </c>
      <c r="G43" s="7" t="str">
        <f>_xlfn.XLOOKUP(C43,Products!A43:A542,Products!B43:B542,"Product Missing",0)</f>
        <v>Product_240</v>
      </c>
      <c r="H43" s="7" t="str">
        <f>_xlfn.XLOOKUP(C43,Products!A43:A542,Products!C43:C542,"Category Missing",0)</f>
        <v>Electronics</v>
      </c>
      <c r="I43" s="11">
        <f>_xlfn.XLOOKUP(Orders!C43,Products!A43:A542,Products!D43:D542,"Price Missing",0)</f>
        <v>224.72</v>
      </c>
      <c r="J43" s="19">
        <f t="shared" si="0"/>
        <v>1123.5999999999999</v>
      </c>
    </row>
    <row r="44" spans="1:10" x14ac:dyDescent="0.35">
      <c r="A44" s="4" t="s">
        <v>4064</v>
      </c>
      <c r="B44" s="7" t="s">
        <v>1421</v>
      </c>
      <c r="C44" s="7" t="s">
        <v>3672</v>
      </c>
      <c r="D44" s="5">
        <v>2</v>
      </c>
      <c r="E44" s="7" t="str">
        <f>_xlfn.XLOOKUP(B44,Customers!A44:A1043,Customers!B44:B1043,"Customer Not Found",0)</f>
        <v>Customer_471</v>
      </c>
      <c r="F44" s="7" t="str">
        <f>_xlfn.XLOOKUP(Orders!B44,Customers!A44:A1043,Customers!C44:C1043,"Country not Found",0)</f>
        <v>UK</v>
      </c>
      <c r="G44" s="7" t="str">
        <f>_xlfn.XLOOKUP(C44,Products!A44:A543,Products!B44:B543,"Product Missing",0)</f>
        <v>Product_327</v>
      </c>
      <c r="H44" s="7" t="str">
        <f>_xlfn.XLOOKUP(C44,Products!A44:A543,Products!C44:C543,"Category Missing",0)</f>
        <v>Clothing</v>
      </c>
      <c r="I44" s="11">
        <f>_xlfn.XLOOKUP(Orders!C44,Products!A44:A543,Products!D44:D543,"Price Missing",0)</f>
        <v>286.63</v>
      </c>
      <c r="J44" s="19">
        <f t="shared" si="0"/>
        <v>573.26</v>
      </c>
    </row>
    <row r="45" spans="1:10" x14ac:dyDescent="0.35">
      <c r="A45" s="4" t="s">
        <v>4065</v>
      </c>
      <c r="B45" s="7" t="s">
        <v>1547</v>
      </c>
      <c r="C45" s="7" t="s">
        <v>3186</v>
      </c>
      <c r="D45" s="5">
        <v>9</v>
      </c>
      <c r="E45" s="7" t="str">
        <f>_xlfn.XLOOKUP(B45,Customers!A45:A1044,Customers!B45:B1044,"Customer Not Found",0)</f>
        <v>Customer_513</v>
      </c>
      <c r="F45" s="7" t="str">
        <f>_xlfn.XLOOKUP(Orders!B45,Customers!A45:A1044,Customers!C45:C1044,"Country not Found",0)</f>
        <v>UK</v>
      </c>
      <c r="G45" s="7" t="str">
        <f>_xlfn.XLOOKUP(C45,Products!A45:A544,Products!B45:B544,"Product Missing",0)</f>
        <v>Product_84</v>
      </c>
      <c r="H45" s="7" t="str">
        <f>_xlfn.XLOOKUP(C45,Products!A45:A544,Products!C45:C544,"Category Missing",0)</f>
        <v>Electronics</v>
      </c>
      <c r="I45" s="11">
        <f>_xlfn.XLOOKUP(Orders!C45,Products!A45:A544,Products!D45:D544,"Price Missing",0)</f>
        <v>380.08</v>
      </c>
      <c r="J45" s="19">
        <f t="shared" si="0"/>
        <v>3420.72</v>
      </c>
    </row>
    <row r="46" spans="1:10" x14ac:dyDescent="0.35">
      <c r="A46" s="4" t="s">
        <v>4066</v>
      </c>
      <c r="B46" s="7" t="s">
        <v>1832</v>
      </c>
      <c r="C46" s="7" t="s">
        <v>3502</v>
      </c>
      <c r="D46" s="5">
        <v>7</v>
      </c>
      <c r="E46" s="7" t="str">
        <f>_xlfn.XLOOKUP(B46,Customers!A46:A1045,Customers!B46:B1045,"Customer Not Found",0)</f>
        <v>Customer_608</v>
      </c>
      <c r="F46" s="7" t="str">
        <f>_xlfn.XLOOKUP(Orders!B46,Customers!A46:A1045,Customers!C46:C1045,"Country not Found",0)</f>
        <v>Ghana</v>
      </c>
      <c r="G46" s="7" t="str">
        <f>_xlfn.XLOOKUP(C46,Products!A46:A545,Products!B46:B545,"Product Missing",0)</f>
        <v>Product_242</v>
      </c>
      <c r="H46" s="7" t="str">
        <f>_xlfn.XLOOKUP(C46,Products!A46:A545,Products!C46:C545,"Category Missing",0)</f>
        <v>Electronics</v>
      </c>
      <c r="I46" s="11">
        <f>_xlfn.XLOOKUP(Orders!C46,Products!A46:A545,Products!D46:D545,"Price Missing",0)</f>
        <v>268.45</v>
      </c>
      <c r="J46" s="19">
        <f t="shared" si="0"/>
        <v>1879.1499999999999</v>
      </c>
    </row>
    <row r="47" spans="1:10" x14ac:dyDescent="0.35">
      <c r="A47" s="4" t="s">
        <v>4067</v>
      </c>
      <c r="B47" s="7" t="s">
        <v>182</v>
      </c>
      <c r="C47" s="7" t="s">
        <v>3136</v>
      </c>
      <c r="D47" s="5">
        <v>3</v>
      </c>
      <c r="E47" s="7" t="str">
        <f>_xlfn.XLOOKUP(B47,Customers!A47:A1046,Customers!B47:B1046,"Customer Not Found",0)</f>
        <v>Customer_58</v>
      </c>
      <c r="F47" s="7" t="str">
        <f>_xlfn.XLOOKUP(Orders!B47,Customers!A47:A1046,Customers!C47:C1046,"Country not Found",0)</f>
        <v>Nigeria</v>
      </c>
      <c r="G47" s="7" t="str">
        <f>_xlfn.XLOOKUP(C47,Products!A47:A546,Products!B47:B546,"Product Missing",0)</f>
        <v>Product_59</v>
      </c>
      <c r="H47" s="7" t="str">
        <f>_xlfn.XLOOKUP(C47,Products!A47:A546,Products!C47:C546,"Category Missing",0)</f>
        <v>Electronics</v>
      </c>
      <c r="I47" s="11">
        <f>_xlfn.XLOOKUP(Orders!C47,Products!A47:A546,Products!D47:D546,"Price Missing",0)</f>
        <v>399.42</v>
      </c>
      <c r="J47" s="19">
        <f t="shared" si="0"/>
        <v>1198.26</v>
      </c>
    </row>
    <row r="48" spans="1:10" x14ac:dyDescent="0.35">
      <c r="A48" s="4" t="s">
        <v>4068</v>
      </c>
      <c r="B48" s="7" t="s">
        <v>248</v>
      </c>
      <c r="C48" s="7" t="s">
        <v>3076</v>
      </c>
      <c r="D48" s="5">
        <v>4</v>
      </c>
      <c r="E48" s="7" t="str">
        <f>_xlfn.XLOOKUP(B48,Customers!A48:A1047,Customers!B48:B1047,"Customer Not Found",0)</f>
        <v>Customer_80</v>
      </c>
      <c r="F48" s="7" t="str">
        <f>_xlfn.XLOOKUP(Orders!B48,Customers!A48:A1047,Customers!C48:C1047,"Country not Found",0)</f>
        <v>South Africa</v>
      </c>
      <c r="G48" s="7" t="str">
        <f>_xlfn.XLOOKUP(C48,Products!A48:A547,Products!B48:B547,"Product Missing",0)</f>
        <v>Product Missing</v>
      </c>
      <c r="H48" s="7" t="str">
        <f>_xlfn.XLOOKUP(C48,Products!A48:A547,Products!C48:C547,"Category Missing",0)</f>
        <v>Category Missing</v>
      </c>
      <c r="I48" s="11" t="str">
        <f>_xlfn.XLOOKUP(Orders!C48,Products!A48:A547,Products!D48:D547,"Price Missing",0)</f>
        <v>Price Missing</v>
      </c>
      <c r="J48" s="19">
        <f t="shared" si="0"/>
        <v>0</v>
      </c>
    </row>
    <row r="49" spans="1:10" x14ac:dyDescent="0.35">
      <c r="A49" s="4" t="s">
        <v>4069</v>
      </c>
      <c r="B49" s="7" t="s">
        <v>1904</v>
      </c>
      <c r="C49" s="7" t="s">
        <v>3850</v>
      </c>
      <c r="D49" s="5">
        <v>8</v>
      </c>
      <c r="E49" s="7" t="str">
        <f>_xlfn.XLOOKUP(B49,Customers!A49:A1048,Customers!B49:B1048,"Customer Not Found",0)</f>
        <v>Customer_632</v>
      </c>
      <c r="F49" s="7" t="str">
        <f>_xlfn.XLOOKUP(Orders!B49,Customers!A49:A1048,Customers!C49:C1048,"Country not Found",0)</f>
        <v>Nigeria</v>
      </c>
      <c r="G49" s="7" t="str">
        <f>_xlfn.XLOOKUP(C49,Products!A49:A548,Products!B49:B548,"Product Missing",0)</f>
        <v>Product_416</v>
      </c>
      <c r="H49" s="7" t="str">
        <f>_xlfn.XLOOKUP(C49,Products!A49:A548,Products!C49:C548,"Category Missing",0)</f>
        <v>Home</v>
      </c>
      <c r="I49" s="11">
        <f>_xlfn.XLOOKUP(Orders!C49,Products!A49:A548,Products!D49:D548,"Price Missing",0)</f>
        <v>447.74</v>
      </c>
      <c r="J49" s="19">
        <f t="shared" si="0"/>
        <v>3581.92</v>
      </c>
    </row>
    <row r="50" spans="1:10" x14ac:dyDescent="0.35">
      <c r="A50" s="4" t="s">
        <v>4070</v>
      </c>
      <c r="B50" s="7" t="s">
        <v>1247</v>
      </c>
      <c r="C50" s="7" t="s">
        <v>3062</v>
      </c>
      <c r="D50" s="5">
        <v>5</v>
      </c>
      <c r="E50" s="7" t="str">
        <f>_xlfn.XLOOKUP(B50,Customers!A50:A1049,Customers!B50:B1049,"Customer Not Found",0)</f>
        <v>Customer_413</v>
      </c>
      <c r="F50" s="7" t="str">
        <f>_xlfn.XLOOKUP(Orders!B50,Customers!A50:A1049,Customers!C50:C1049,"Country not Found",0)</f>
        <v>South Africa</v>
      </c>
      <c r="G50" s="7" t="str">
        <f>_xlfn.XLOOKUP(C50,Products!A50:A549,Products!B50:B549,"Product Missing",0)</f>
        <v>Product Missing</v>
      </c>
      <c r="H50" s="7" t="str">
        <f>_xlfn.XLOOKUP(C50,Products!A50:A549,Products!C50:C549,"Category Missing",0)</f>
        <v>Category Missing</v>
      </c>
      <c r="I50" s="11" t="str">
        <f>_xlfn.XLOOKUP(Orders!C50,Products!A50:A549,Products!D50:D549,"Price Missing",0)</f>
        <v>Price Missing</v>
      </c>
      <c r="J50" s="19">
        <f t="shared" si="0"/>
        <v>0</v>
      </c>
    </row>
    <row r="51" spans="1:10" x14ac:dyDescent="0.35">
      <c r="A51" s="4" t="s">
        <v>4071</v>
      </c>
      <c r="B51" s="7" t="s">
        <v>2744</v>
      </c>
      <c r="C51" s="7" t="s">
        <v>3396</v>
      </c>
      <c r="D51" s="5">
        <v>8</v>
      </c>
      <c r="E51" s="7" t="str">
        <f>_xlfn.XLOOKUP(B51,Customers!A51:A1050,Customers!B51:B1050,"Customer Not Found",0)</f>
        <v>Customer_912</v>
      </c>
      <c r="F51" s="7" t="str">
        <f>_xlfn.XLOOKUP(Orders!B51,Customers!A51:A1050,Customers!C51:C1050,"Country not Found",0)</f>
        <v>Nigeria</v>
      </c>
      <c r="G51" s="7" t="str">
        <f>_xlfn.XLOOKUP(C51,Products!A51:A550,Products!B51:B550,"Product Missing",0)</f>
        <v>Product_189</v>
      </c>
      <c r="H51" s="7" t="str">
        <f>_xlfn.XLOOKUP(C51,Products!A51:A550,Products!C51:C550,"Category Missing",0)</f>
        <v>Electronics</v>
      </c>
      <c r="I51" s="11">
        <f>_xlfn.XLOOKUP(Orders!C51,Products!A51:A550,Products!D51:D550,"Price Missing",0)</f>
        <v>486.73</v>
      </c>
      <c r="J51" s="19">
        <f t="shared" si="0"/>
        <v>3893.84</v>
      </c>
    </row>
    <row r="52" spans="1:10" x14ac:dyDescent="0.35">
      <c r="A52" s="4" t="s">
        <v>4072</v>
      </c>
      <c r="B52" s="7" t="s">
        <v>2774</v>
      </c>
      <c r="C52" s="7" t="s">
        <v>3734</v>
      </c>
      <c r="D52" s="5">
        <v>8</v>
      </c>
      <c r="E52" s="7" t="str">
        <f>_xlfn.XLOOKUP(B52,Customers!A52:A1051,Customers!B52:B1051,"Customer Not Found",0)</f>
        <v>Customer_922</v>
      </c>
      <c r="F52" s="7" t="str">
        <f>_xlfn.XLOOKUP(Orders!B52,Customers!A52:A1051,Customers!C52:C1051,"Country not Found",0)</f>
        <v>Canada</v>
      </c>
      <c r="G52" s="7" t="str">
        <f>_xlfn.XLOOKUP(C52,Products!A52:A551,Products!B52:B551,"Product Missing",0)</f>
        <v>Product_358</v>
      </c>
      <c r="H52" s="7" t="str">
        <f>_xlfn.XLOOKUP(C52,Products!A52:A551,Products!C52:C551,"Category Missing",0)</f>
        <v>Food</v>
      </c>
      <c r="I52" s="11">
        <f>_xlfn.XLOOKUP(Orders!C52,Products!A52:A551,Products!D52:D551,"Price Missing",0)</f>
        <v>242.48</v>
      </c>
      <c r="J52" s="19">
        <f t="shared" si="0"/>
        <v>1939.84</v>
      </c>
    </row>
    <row r="53" spans="1:10" x14ac:dyDescent="0.35">
      <c r="A53" s="4" t="s">
        <v>4073</v>
      </c>
      <c r="B53" s="7" t="s">
        <v>1328</v>
      </c>
      <c r="C53" s="7" t="s">
        <v>3354</v>
      </c>
      <c r="D53" s="5">
        <v>9</v>
      </c>
      <c r="E53" s="7" t="str">
        <f>_xlfn.XLOOKUP(B53,Customers!A53:A1052,Customers!B53:B1052,"Customer Not Found",0)</f>
        <v>Customer_440</v>
      </c>
      <c r="F53" s="7" t="str">
        <f>_xlfn.XLOOKUP(Orders!B53,Customers!A53:A1052,Customers!C53:C1052,"Country not Found",0)</f>
        <v>South Africa</v>
      </c>
      <c r="G53" s="7" t="str">
        <f>_xlfn.XLOOKUP(C53,Products!A53:A552,Products!B53:B552,"Product Missing",0)</f>
        <v>Product_168</v>
      </c>
      <c r="H53" s="7" t="str">
        <f>_xlfn.XLOOKUP(C53,Products!A53:A552,Products!C53:C552,"Category Missing",0)</f>
        <v>Sports</v>
      </c>
      <c r="I53" s="11">
        <f>_xlfn.XLOOKUP(Orders!C53,Products!A53:A552,Products!D53:D552,"Price Missing",0)</f>
        <v>31.09</v>
      </c>
      <c r="J53" s="19">
        <f t="shared" si="0"/>
        <v>279.81</v>
      </c>
    </row>
    <row r="54" spans="1:10" x14ac:dyDescent="0.35">
      <c r="A54" s="4" t="s">
        <v>4074</v>
      </c>
      <c r="B54" s="7" t="s">
        <v>2915</v>
      </c>
      <c r="C54" s="7" t="s">
        <v>3570</v>
      </c>
      <c r="D54" s="5">
        <v>6</v>
      </c>
      <c r="E54" s="7" t="str">
        <f>_xlfn.XLOOKUP(B54,Customers!A54:A1053,Customers!B54:B1053,"Customer Not Found",0)</f>
        <v>Customer_969</v>
      </c>
      <c r="F54" s="7" t="str">
        <f>_xlfn.XLOOKUP(Orders!B54,Customers!A54:A1053,Customers!C54:C1053,"Country not Found",0)</f>
        <v>Canada</v>
      </c>
      <c r="G54" s="7" t="str">
        <f>_xlfn.XLOOKUP(C54,Products!A54:A553,Products!B54:B553,"Product Missing",0)</f>
        <v>Product_276</v>
      </c>
      <c r="H54" s="7" t="str">
        <f>_xlfn.XLOOKUP(C54,Products!A54:A553,Products!C54:C553,"Category Missing",0)</f>
        <v>Home</v>
      </c>
      <c r="I54" s="11">
        <f>_xlfn.XLOOKUP(Orders!C54,Products!A54:A553,Products!D54:D553,"Price Missing",0)</f>
        <v>494.01</v>
      </c>
      <c r="J54" s="19">
        <f t="shared" si="0"/>
        <v>2964.06</v>
      </c>
    </row>
    <row r="55" spans="1:10" x14ac:dyDescent="0.35">
      <c r="A55" s="4" t="s">
        <v>4075</v>
      </c>
      <c r="B55" s="7" t="s">
        <v>1061</v>
      </c>
      <c r="C55" s="7" t="s">
        <v>3047</v>
      </c>
      <c r="D55" s="5">
        <v>3</v>
      </c>
      <c r="E55" s="7" t="str">
        <f>_xlfn.XLOOKUP(B55,Customers!A55:A1054,Customers!B55:B1054,"Customer Not Found",0)</f>
        <v>Customer_351</v>
      </c>
      <c r="F55" s="7" t="str">
        <f>_xlfn.XLOOKUP(Orders!B55,Customers!A55:A1054,Customers!C55:C1054,"Country not Found",0)</f>
        <v>USA</v>
      </c>
      <c r="G55" s="7" t="str">
        <f>_xlfn.XLOOKUP(C55,Products!A55:A554,Products!B55:B554,"Product Missing",0)</f>
        <v>Product Missing</v>
      </c>
      <c r="H55" s="7" t="str">
        <f>_xlfn.XLOOKUP(C55,Products!A55:A554,Products!C55:C554,"Category Missing",0)</f>
        <v>Category Missing</v>
      </c>
      <c r="I55" s="11" t="str">
        <f>_xlfn.XLOOKUP(Orders!C55,Products!A55:A554,Products!D55:D554,"Price Missing",0)</f>
        <v>Price Missing</v>
      </c>
      <c r="J55" s="19">
        <f t="shared" si="0"/>
        <v>0</v>
      </c>
    </row>
    <row r="56" spans="1:10" x14ac:dyDescent="0.35">
      <c r="A56" s="4" t="s">
        <v>4076</v>
      </c>
      <c r="B56" s="7" t="s">
        <v>2249</v>
      </c>
      <c r="C56" s="7" t="s">
        <v>3678</v>
      </c>
      <c r="D56" s="5">
        <v>9</v>
      </c>
      <c r="E56" s="7" t="str">
        <f>_xlfn.XLOOKUP(B56,Customers!A56:A1055,Customers!B56:B1055,"Customer Not Found",0)</f>
        <v>Customer_747</v>
      </c>
      <c r="F56" s="7" t="str">
        <f>_xlfn.XLOOKUP(Orders!B56,Customers!A56:A1055,Customers!C56:C1055,"Country not Found",0)</f>
        <v>Ghana</v>
      </c>
      <c r="G56" s="7" t="str">
        <f>_xlfn.XLOOKUP(C56,Products!A56:A555,Products!B56:B555,"Product Missing",0)</f>
        <v>Product_330</v>
      </c>
      <c r="H56" s="7" t="str">
        <f>_xlfn.XLOOKUP(C56,Products!A56:A555,Products!C56:C555,"Category Missing",0)</f>
        <v>Clothing</v>
      </c>
      <c r="I56" s="11">
        <f>_xlfn.XLOOKUP(Orders!C56,Products!A56:A555,Products!D56:D555,"Price Missing",0)</f>
        <v>18.88</v>
      </c>
      <c r="J56" s="19">
        <f t="shared" si="0"/>
        <v>169.92</v>
      </c>
    </row>
    <row r="57" spans="1:10" x14ac:dyDescent="0.35">
      <c r="A57" s="4" t="s">
        <v>4077</v>
      </c>
      <c r="B57" s="7" t="s">
        <v>1316</v>
      </c>
      <c r="C57" s="7" t="s">
        <v>3043</v>
      </c>
      <c r="D57" s="5">
        <v>5</v>
      </c>
      <c r="E57" s="7" t="str">
        <f>_xlfn.XLOOKUP(B57,Customers!A57:A1056,Customers!B57:B1056,"Customer Not Found",0)</f>
        <v>Customer_436</v>
      </c>
      <c r="F57" s="7" t="str">
        <f>_xlfn.XLOOKUP(Orders!B57,Customers!A57:A1056,Customers!C57:C1056,"Country not Found",0)</f>
        <v>Ghana</v>
      </c>
      <c r="G57" s="7" t="str">
        <f>_xlfn.XLOOKUP(C57,Products!A57:A556,Products!B57:B556,"Product Missing",0)</f>
        <v>Product Missing</v>
      </c>
      <c r="H57" s="7" t="str">
        <f>_xlfn.XLOOKUP(C57,Products!A57:A556,Products!C57:C556,"Category Missing",0)</f>
        <v>Category Missing</v>
      </c>
      <c r="I57" s="11" t="str">
        <f>_xlfn.XLOOKUP(Orders!C57,Products!A57:A556,Products!D57:D556,"Price Missing",0)</f>
        <v>Price Missing</v>
      </c>
      <c r="J57" s="19">
        <f t="shared" si="0"/>
        <v>0</v>
      </c>
    </row>
    <row r="58" spans="1:10" x14ac:dyDescent="0.35">
      <c r="A58" s="4" t="s">
        <v>4078</v>
      </c>
      <c r="B58" s="7" t="s">
        <v>854</v>
      </c>
      <c r="C58" s="7" t="s">
        <v>3936</v>
      </c>
      <c r="D58" s="5">
        <v>10</v>
      </c>
      <c r="E58" s="7" t="str">
        <f>_xlfn.XLOOKUP(B58,Customers!A58:A1057,Customers!B58:B1057,"Customer Not Found",0)</f>
        <v>Customer_282</v>
      </c>
      <c r="F58" s="7" t="str">
        <f>_xlfn.XLOOKUP(Orders!B58,Customers!A58:A1057,Customers!C58:C1057,"Country not Found",0)</f>
        <v>Ghana</v>
      </c>
      <c r="G58" s="7" t="str">
        <f>_xlfn.XLOOKUP(C58,Products!A58:A557,Products!B58:B557,"Product Missing",0)</f>
        <v>Product_459</v>
      </c>
      <c r="H58" s="7" t="str">
        <f>_xlfn.XLOOKUP(C58,Products!A58:A557,Products!C58:C557,"Category Missing",0)</f>
        <v>Sports</v>
      </c>
      <c r="I58" s="11">
        <f>_xlfn.XLOOKUP(Orders!C58,Products!A58:A557,Products!D58:D557,"Price Missing",0)</f>
        <v>496.34</v>
      </c>
      <c r="J58" s="19">
        <f t="shared" si="0"/>
        <v>4963.3999999999996</v>
      </c>
    </row>
    <row r="59" spans="1:10" x14ac:dyDescent="0.35">
      <c r="A59" s="4" t="s">
        <v>4079</v>
      </c>
      <c r="B59" s="7" t="s">
        <v>2756</v>
      </c>
      <c r="C59" s="7" t="s">
        <v>3404</v>
      </c>
      <c r="D59" s="5">
        <v>10</v>
      </c>
      <c r="E59" s="7" t="str">
        <f>_xlfn.XLOOKUP(B59,Customers!A59:A1058,Customers!B59:B1058,"Customer Not Found",0)</f>
        <v>Customer_916</v>
      </c>
      <c r="F59" s="7" t="str">
        <f>_xlfn.XLOOKUP(Orders!B59,Customers!A59:A1058,Customers!C59:C1058,"Country not Found",0)</f>
        <v>Nigeria</v>
      </c>
      <c r="G59" s="7" t="str">
        <f>_xlfn.XLOOKUP(C59,Products!A59:A558,Products!B59:B558,"Product Missing",0)</f>
        <v>Product_193</v>
      </c>
      <c r="H59" s="7" t="str">
        <f>_xlfn.XLOOKUP(C59,Products!A59:A558,Products!C59:C558,"Category Missing",0)</f>
        <v>Clothing</v>
      </c>
      <c r="I59" s="11">
        <f>_xlfn.XLOOKUP(Orders!C59,Products!A59:A558,Products!D59:D558,"Price Missing",0)</f>
        <v>392.99</v>
      </c>
      <c r="J59" s="19">
        <f t="shared" si="0"/>
        <v>3929.9</v>
      </c>
    </row>
    <row r="60" spans="1:10" x14ac:dyDescent="0.35">
      <c r="A60" s="4" t="s">
        <v>4080</v>
      </c>
      <c r="B60" s="7" t="s">
        <v>1493</v>
      </c>
      <c r="C60" s="7" t="s">
        <v>3666</v>
      </c>
      <c r="D60" s="5">
        <v>5</v>
      </c>
      <c r="E60" s="7" t="str">
        <f>_xlfn.XLOOKUP(B60,Customers!A60:A1059,Customers!B60:B1059,"Customer Not Found",0)</f>
        <v>Customer_495</v>
      </c>
      <c r="F60" s="7" t="str">
        <f>_xlfn.XLOOKUP(Orders!B60,Customers!A60:A1059,Customers!C60:C1059,"Country not Found",0)</f>
        <v>South Africa</v>
      </c>
      <c r="G60" s="7" t="str">
        <f>_xlfn.XLOOKUP(C60,Products!A60:A559,Products!B60:B559,"Product Missing",0)</f>
        <v>Product_324</v>
      </c>
      <c r="H60" s="7" t="str">
        <f>_xlfn.XLOOKUP(C60,Products!A60:A559,Products!C60:C559,"Category Missing",0)</f>
        <v>Home</v>
      </c>
      <c r="I60" s="11">
        <f>_xlfn.XLOOKUP(Orders!C60,Products!A60:A559,Products!D60:D559,"Price Missing",0)</f>
        <v>230.35</v>
      </c>
      <c r="J60" s="19">
        <f t="shared" si="0"/>
        <v>1151.75</v>
      </c>
    </row>
    <row r="61" spans="1:10" x14ac:dyDescent="0.35">
      <c r="A61" s="4" t="s">
        <v>4081</v>
      </c>
      <c r="B61" s="7" t="s">
        <v>1379</v>
      </c>
      <c r="C61" s="7" t="s">
        <v>3920</v>
      </c>
      <c r="D61" s="5">
        <v>4</v>
      </c>
      <c r="E61" s="7" t="str">
        <f>_xlfn.XLOOKUP(B61,Customers!A61:A1060,Customers!B61:B1060,"Customer Not Found",0)</f>
        <v>Customer_457</v>
      </c>
      <c r="F61" s="7" t="str">
        <f>_xlfn.XLOOKUP(Orders!B61,Customers!A61:A1060,Customers!C61:C1060,"Country not Found",0)</f>
        <v>Ghana</v>
      </c>
      <c r="G61" s="7" t="str">
        <f>_xlfn.XLOOKUP(C61,Products!A61:A560,Products!B61:B560,"Product Missing",0)</f>
        <v>Product_451</v>
      </c>
      <c r="H61" s="7" t="str">
        <f>_xlfn.XLOOKUP(C61,Products!A61:A560,Products!C61:C560,"Category Missing",0)</f>
        <v>Food</v>
      </c>
      <c r="I61" s="11">
        <f>_xlfn.XLOOKUP(Orders!C61,Products!A61:A560,Products!D61:D560,"Price Missing",0)</f>
        <v>399.91</v>
      </c>
      <c r="J61" s="19">
        <f t="shared" si="0"/>
        <v>1599.64</v>
      </c>
    </row>
    <row r="62" spans="1:10" x14ac:dyDescent="0.35">
      <c r="A62" s="4" t="s">
        <v>4082</v>
      </c>
      <c r="B62" s="7" t="s">
        <v>1304</v>
      </c>
      <c r="C62" s="7" t="s">
        <v>3436</v>
      </c>
      <c r="D62" s="5">
        <v>7</v>
      </c>
      <c r="E62" s="7" t="str">
        <f>_xlfn.XLOOKUP(B62,Customers!A62:A1061,Customers!B62:B1061,"Customer Not Found",0)</f>
        <v>Customer_432</v>
      </c>
      <c r="F62" s="7" t="str">
        <f>_xlfn.XLOOKUP(Orders!B62,Customers!A62:A1061,Customers!C62:C1061,"Country not Found",0)</f>
        <v>Canada</v>
      </c>
      <c r="G62" s="7" t="str">
        <f>_xlfn.XLOOKUP(C62,Products!A62:A561,Products!B62:B561,"Product Missing",0)</f>
        <v>Product_209</v>
      </c>
      <c r="H62" s="7" t="str">
        <f>_xlfn.XLOOKUP(C62,Products!A62:A561,Products!C62:C561,"Category Missing",0)</f>
        <v>Clothing</v>
      </c>
      <c r="I62" s="11">
        <f>_xlfn.XLOOKUP(Orders!C62,Products!A62:A561,Products!D62:D561,"Price Missing",0)</f>
        <v>452.71</v>
      </c>
      <c r="J62" s="19">
        <f t="shared" si="0"/>
        <v>3168.97</v>
      </c>
    </row>
    <row r="63" spans="1:10" x14ac:dyDescent="0.35">
      <c r="A63" s="4" t="s">
        <v>4083</v>
      </c>
      <c r="B63" s="7" t="s">
        <v>1256</v>
      </c>
      <c r="C63" s="7" t="s">
        <v>3850</v>
      </c>
      <c r="D63" s="5">
        <v>7</v>
      </c>
      <c r="E63" s="7" t="str">
        <f>_xlfn.XLOOKUP(B63,Customers!A63:A1062,Customers!B63:B1062,"Customer Not Found",0)</f>
        <v>Customer_416</v>
      </c>
      <c r="F63" s="7" t="str">
        <f>_xlfn.XLOOKUP(Orders!B63,Customers!A63:A1062,Customers!C63:C1062,"Country not Found",0)</f>
        <v>Ghana</v>
      </c>
      <c r="G63" s="7" t="str">
        <f>_xlfn.XLOOKUP(C63,Products!A63:A562,Products!B63:B562,"Product Missing",0)</f>
        <v>Product_416</v>
      </c>
      <c r="H63" s="7" t="str">
        <f>_xlfn.XLOOKUP(C63,Products!A63:A562,Products!C63:C562,"Category Missing",0)</f>
        <v>Home</v>
      </c>
      <c r="I63" s="11">
        <f>_xlfn.XLOOKUP(Orders!C63,Products!A63:A562,Products!D63:D562,"Price Missing",0)</f>
        <v>447.74</v>
      </c>
      <c r="J63" s="19">
        <f t="shared" si="0"/>
        <v>3134.1800000000003</v>
      </c>
    </row>
    <row r="64" spans="1:10" x14ac:dyDescent="0.35">
      <c r="A64" s="4" t="s">
        <v>4084</v>
      </c>
      <c r="B64" s="7" t="s">
        <v>2282</v>
      </c>
      <c r="C64" s="7" t="s">
        <v>3218</v>
      </c>
      <c r="D64" s="5">
        <v>10</v>
      </c>
      <c r="E64" s="7" t="str">
        <f>_xlfn.XLOOKUP(B64,Customers!A64:A1063,Customers!B64:B1063,"Customer Not Found",0)</f>
        <v>Customer_758</v>
      </c>
      <c r="F64" s="7" t="str">
        <f>_xlfn.XLOOKUP(Orders!B64,Customers!A64:A1063,Customers!C64:C1063,"Country not Found",0)</f>
        <v>UK</v>
      </c>
      <c r="G64" s="7" t="str">
        <f>_xlfn.XLOOKUP(C64,Products!A64:A563,Products!B64:B563,"Product Missing",0)</f>
        <v>Product_100</v>
      </c>
      <c r="H64" s="7" t="str">
        <f>_xlfn.XLOOKUP(C64,Products!A64:A563,Products!C64:C563,"Category Missing",0)</f>
        <v>Home</v>
      </c>
      <c r="I64" s="11">
        <f>_xlfn.XLOOKUP(Orders!C64,Products!A64:A563,Products!D64:D563,"Price Missing",0)</f>
        <v>182.77</v>
      </c>
      <c r="J64" s="19">
        <f t="shared" si="0"/>
        <v>1827.7</v>
      </c>
    </row>
    <row r="65" spans="1:10" x14ac:dyDescent="0.35">
      <c r="A65" s="4" t="s">
        <v>4085</v>
      </c>
      <c r="B65" s="7" t="s">
        <v>1529</v>
      </c>
      <c r="C65" s="7" t="s">
        <v>3914</v>
      </c>
      <c r="D65" s="5">
        <v>9</v>
      </c>
      <c r="E65" s="7" t="str">
        <f>_xlfn.XLOOKUP(B65,Customers!A65:A1064,Customers!B65:B1064,"Customer Not Found",0)</f>
        <v>Customer_507</v>
      </c>
      <c r="F65" s="7" t="str">
        <f>_xlfn.XLOOKUP(Orders!B65,Customers!A65:A1064,Customers!C65:C1064,"Country not Found",0)</f>
        <v>South Africa</v>
      </c>
      <c r="G65" s="7" t="str">
        <f>_xlfn.XLOOKUP(C65,Products!A65:A564,Products!B65:B564,"Product Missing",0)</f>
        <v>Product_448</v>
      </c>
      <c r="H65" s="7" t="str">
        <f>_xlfn.XLOOKUP(C65,Products!A65:A564,Products!C65:C564,"Category Missing",0)</f>
        <v>Clothing</v>
      </c>
      <c r="I65" s="11">
        <f>_xlfn.XLOOKUP(Orders!C65,Products!A65:A564,Products!D65:D564,"Price Missing",0)</f>
        <v>172.2</v>
      </c>
      <c r="J65" s="19">
        <f t="shared" si="0"/>
        <v>1549.8</v>
      </c>
    </row>
    <row r="66" spans="1:10" x14ac:dyDescent="0.35">
      <c r="A66" s="4" t="s">
        <v>4086</v>
      </c>
      <c r="B66" s="7" t="s">
        <v>2345</v>
      </c>
      <c r="C66" s="7" t="s">
        <v>3754</v>
      </c>
      <c r="D66" s="5">
        <v>2</v>
      </c>
      <c r="E66" s="7" t="str">
        <f>_xlfn.XLOOKUP(B66,Customers!A66:A1065,Customers!B66:B1065,"Customer Not Found",0)</f>
        <v>Customer_779</v>
      </c>
      <c r="F66" s="7" t="str">
        <f>_xlfn.XLOOKUP(Orders!B66,Customers!A66:A1065,Customers!C66:C1065,"Country not Found",0)</f>
        <v>USA</v>
      </c>
      <c r="G66" s="7" t="str">
        <f>_xlfn.XLOOKUP(C66,Products!A66:A565,Products!B66:B565,"Product Missing",0)</f>
        <v>Product_368</v>
      </c>
      <c r="H66" s="7" t="str">
        <f>_xlfn.XLOOKUP(C66,Products!A66:A565,Products!C66:C565,"Category Missing",0)</f>
        <v>Home</v>
      </c>
      <c r="I66" s="11">
        <f>_xlfn.XLOOKUP(Orders!C66,Products!A66:A565,Products!D66:D565,"Price Missing",0)</f>
        <v>469.99</v>
      </c>
      <c r="J66" s="19">
        <f t="shared" si="0"/>
        <v>939.98</v>
      </c>
    </row>
    <row r="67" spans="1:10" x14ac:dyDescent="0.35">
      <c r="A67" s="4" t="s">
        <v>4087</v>
      </c>
      <c r="B67" s="7" t="s">
        <v>1067</v>
      </c>
      <c r="C67" s="7" t="s">
        <v>3268</v>
      </c>
      <c r="D67" s="5">
        <v>9</v>
      </c>
      <c r="E67" s="7" t="str">
        <f>_xlfn.XLOOKUP(B67,Customers!A67:A1066,Customers!B67:B1066,"Customer Not Found",0)</f>
        <v>Customer_353</v>
      </c>
      <c r="F67" s="7" t="str">
        <f>_xlfn.XLOOKUP(Orders!B67,Customers!A67:A1066,Customers!C67:C1066,"Country not Found",0)</f>
        <v>Canada</v>
      </c>
      <c r="G67" s="7" t="str">
        <f>_xlfn.XLOOKUP(C67,Products!A67:A566,Products!B67:B566,"Product Missing",0)</f>
        <v>Product_125</v>
      </c>
      <c r="H67" s="7" t="str">
        <f>_xlfn.XLOOKUP(C67,Products!A67:A566,Products!C67:C566,"Category Missing",0)</f>
        <v>Electronics</v>
      </c>
      <c r="I67" s="11">
        <f>_xlfn.XLOOKUP(Orders!C67,Products!A67:A566,Products!D67:D566,"Price Missing",0)</f>
        <v>335.22</v>
      </c>
      <c r="J67" s="19">
        <f t="shared" ref="J67:J130" si="1">IFERROR(I67*D67,0)</f>
        <v>3016.9800000000005</v>
      </c>
    </row>
    <row r="68" spans="1:10" x14ac:dyDescent="0.35">
      <c r="A68" s="4" t="s">
        <v>4088</v>
      </c>
      <c r="B68" s="7" t="s">
        <v>2015</v>
      </c>
      <c r="C68" s="7" t="s">
        <v>3666</v>
      </c>
      <c r="D68" s="5">
        <v>5</v>
      </c>
      <c r="E68" s="7" t="str">
        <f>_xlfn.XLOOKUP(B68,Customers!A68:A1067,Customers!B68:B1067,"Customer Not Found",0)</f>
        <v>Customer_669</v>
      </c>
      <c r="F68" s="7" t="str">
        <f>_xlfn.XLOOKUP(Orders!B68,Customers!A68:A1067,Customers!C68:C1067,"Country not Found",0)</f>
        <v>Canada</v>
      </c>
      <c r="G68" s="7" t="str">
        <f>_xlfn.XLOOKUP(C68,Products!A68:A567,Products!B68:B567,"Product Missing",0)</f>
        <v>Product_324</v>
      </c>
      <c r="H68" s="7" t="str">
        <f>_xlfn.XLOOKUP(C68,Products!A68:A567,Products!C68:C567,"Category Missing",0)</f>
        <v>Home</v>
      </c>
      <c r="I68" s="11">
        <f>_xlfn.XLOOKUP(Orders!C68,Products!A68:A567,Products!D68:D567,"Price Missing",0)</f>
        <v>230.35</v>
      </c>
      <c r="J68" s="19">
        <f t="shared" si="1"/>
        <v>1151.75</v>
      </c>
    </row>
    <row r="69" spans="1:10" x14ac:dyDescent="0.35">
      <c r="A69" s="4" t="s">
        <v>4089</v>
      </c>
      <c r="B69" s="7" t="s">
        <v>983</v>
      </c>
      <c r="C69" s="7" t="s">
        <v>3644</v>
      </c>
      <c r="D69" s="5">
        <v>2</v>
      </c>
      <c r="E69" s="7" t="str">
        <f>_xlfn.XLOOKUP(B69,Customers!A69:A1068,Customers!B69:B1068,"Customer Not Found",0)</f>
        <v>Customer_325</v>
      </c>
      <c r="F69" s="7" t="str">
        <f>_xlfn.XLOOKUP(Orders!B69,Customers!A69:A1068,Customers!C69:C1068,"Country not Found",0)</f>
        <v>Canada</v>
      </c>
      <c r="G69" s="7" t="str">
        <f>_xlfn.XLOOKUP(C69,Products!A69:A568,Products!B69:B568,"Product Missing",0)</f>
        <v>Product_313</v>
      </c>
      <c r="H69" s="7" t="str">
        <f>_xlfn.XLOOKUP(C69,Products!A69:A568,Products!C69:C568,"Category Missing",0)</f>
        <v>Food</v>
      </c>
      <c r="I69" s="11">
        <f>_xlfn.XLOOKUP(Orders!C69,Products!A69:A568,Products!D69:D568,"Price Missing",0)</f>
        <v>163.4</v>
      </c>
      <c r="J69" s="19">
        <f t="shared" si="1"/>
        <v>326.8</v>
      </c>
    </row>
    <row r="70" spans="1:10" x14ac:dyDescent="0.35">
      <c r="A70" s="4" t="s">
        <v>4090</v>
      </c>
      <c r="B70" s="7" t="s">
        <v>1604</v>
      </c>
      <c r="C70" s="7" t="s">
        <v>3948</v>
      </c>
      <c r="D70" s="5">
        <v>6</v>
      </c>
      <c r="E70" s="7" t="str">
        <f>_xlfn.XLOOKUP(B70,Customers!A70:A1069,Customers!B70:B1069,"Customer Not Found",0)</f>
        <v>Customer_532</v>
      </c>
      <c r="F70" s="7" t="str">
        <f>_xlfn.XLOOKUP(Orders!B70,Customers!A70:A1069,Customers!C70:C1069,"Country not Found",0)</f>
        <v>UK</v>
      </c>
      <c r="G70" s="7" t="str">
        <f>_xlfn.XLOOKUP(C70,Products!A70:A569,Products!B70:B569,"Product Missing",0)</f>
        <v>Product_465</v>
      </c>
      <c r="H70" s="7" t="str">
        <f>_xlfn.XLOOKUP(C70,Products!A70:A569,Products!C70:C569,"Category Missing",0)</f>
        <v>Food</v>
      </c>
      <c r="I70" s="11">
        <f>_xlfn.XLOOKUP(Orders!C70,Products!A70:A569,Products!D70:D569,"Price Missing",0)</f>
        <v>82.99</v>
      </c>
      <c r="J70" s="19">
        <f t="shared" si="1"/>
        <v>497.93999999999994</v>
      </c>
    </row>
    <row r="71" spans="1:10" x14ac:dyDescent="0.35">
      <c r="A71" s="4" t="s">
        <v>4091</v>
      </c>
      <c r="B71" s="7" t="s">
        <v>2354</v>
      </c>
      <c r="C71" s="7" t="s">
        <v>3362</v>
      </c>
      <c r="D71" s="5">
        <v>2</v>
      </c>
      <c r="E71" s="7" t="str">
        <f>_xlfn.XLOOKUP(B71,Customers!A71:A1070,Customers!B71:B1070,"Customer Not Found",0)</f>
        <v>Customer_782</v>
      </c>
      <c r="F71" s="7" t="str">
        <f>_xlfn.XLOOKUP(Orders!B71,Customers!A71:A1070,Customers!C71:C1070,"Country not Found",0)</f>
        <v>USA</v>
      </c>
      <c r="G71" s="7" t="str">
        <f>_xlfn.XLOOKUP(C71,Products!A71:A570,Products!B71:B570,"Product Missing",0)</f>
        <v>Product_172</v>
      </c>
      <c r="H71" s="7" t="str">
        <f>_xlfn.XLOOKUP(C71,Products!A71:A570,Products!C71:C570,"Category Missing",0)</f>
        <v>Sports</v>
      </c>
      <c r="I71" s="11">
        <f>_xlfn.XLOOKUP(Orders!C71,Products!A71:A570,Products!D71:D570,"Price Missing",0)</f>
        <v>205.17</v>
      </c>
      <c r="J71" s="19">
        <f t="shared" si="1"/>
        <v>410.34</v>
      </c>
    </row>
    <row r="72" spans="1:10" x14ac:dyDescent="0.35">
      <c r="A72" s="4" t="s">
        <v>4092</v>
      </c>
      <c r="B72" s="7" t="s">
        <v>1427</v>
      </c>
      <c r="C72" s="7" t="s">
        <v>3934</v>
      </c>
      <c r="D72" s="5">
        <v>9</v>
      </c>
      <c r="E72" s="7" t="str">
        <f>_xlfn.XLOOKUP(B72,Customers!A72:A1071,Customers!B72:B1071,"Customer Not Found",0)</f>
        <v>Customer_473</v>
      </c>
      <c r="F72" s="7" t="str">
        <f>_xlfn.XLOOKUP(Orders!B72,Customers!A72:A1071,Customers!C72:C1071,"Country not Found",0)</f>
        <v>Canada</v>
      </c>
      <c r="G72" s="7" t="str">
        <f>_xlfn.XLOOKUP(C72,Products!A72:A571,Products!B72:B571,"Product Missing",0)</f>
        <v>Product_458</v>
      </c>
      <c r="H72" s="7" t="str">
        <f>_xlfn.XLOOKUP(C72,Products!A72:A571,Products!C72:C571,"Category Missing",0)</f>
        <v>Electronics</v>
      </c>
      <c r="I72" s="11">
        <f>_xlfn.XLOOKUP(Orders!C72,Products!A72:A571,Products!D72:D571,"Price Missing",0)</f>
        <v>103.21</v>
      </c>
      <c r="J72" s="19">
        <f t="shared" si="1"/>
        <v>928.89</v>
      </c>
    </row>
    <row r="73" spans="1:10" x14ac:dyDescent="0.35">
      <c r="A73" s="4" t="s">
        <v>4093</v>
      </c>
      <c r="B73" s="7" t="s">
        <v>2117</v>
      </c>
      <c r="C73" s="7" t="s">
        <v>3744</v>
      </c>
      <c r="D73" s="5">
        <v>4</v>
      </c>
      <c r="E73" s="7" t="str">
        <f>_xlfn.XLOOKUP(B73,Customers!A73:A1072,Customers!B73:B1072,"Customer Not Found",0)</f>
        <v>Customer_703</v>
      </c>
      <c r="F73" s="7" t="str">
        <f>_xlfn.XLOOKUP(Orders!B73,Customers!A73:A1072,Customers!C73:C1072,"Country not Found",0)</f>
        <v>Kenya</v>
      </c>
      <c r="G73" s="7" t="str">
        <f>_xlfn.XLOOKUP(C73,Products!A73:A572,Products!B73:B572,"Product Missing",0)</f>
        <v>Product_363</v>
      </c>
      <c r="H73" s="7" t="str">
        <f>_xlfn.XLOOKUP(C73,Products!A73:A572,Products!C73:C572,"Category Missing",0)</f>
        <v>Food</v>
      </c>
      <c r="I73" s="11">
        <f>_xlfn.XLOOKUP(Orders!C73,Products!A73:A572,Products!D73:D572,"Price Missing",0)</f>
        <v>124.41</v>
      </c>
      <c r="J73" s="19">
        <f t="shared" si="1"/>
        <v>497.64</v>
      </c>
    </row>
    <row r="74" spans="1:10" x14ac:dyDescent="0.35">
      <c r="A74" s="4" t="s">
        <v>4094</v>
      </c>
      <c r="B74" s="7" t="s">
        <v>1265</v>
      </c>
      <c r="C74" s="7" t="s">
        <v>3856</v>
      </c>
      <c r="D74" s="5">
        <v>4</v>
      </c>
      <c r="E74" s="7" t="str">
        <f>_xlfn.XLOOKUP(B74,Customers!A74:A1073,Customers!B74:B1073,"Customer Not Found",0)</f>
        <v>Customer_419</v>
      </c>
      <c r="F74" s="7" t="str">
        <f>_xlfn.XLOOKUP(Orders!B74,Customers!A74:A1073,Customers!C74:C1073,"Country not Found",0)</f>
        <v>Kenya</v>
      </c>
      <c r="G74" s="7" t="str">
        <f>_xlfn.XLOOKUP(C74,Products!A74:A573,Products!B74:B573,"Product Missing",0)</f>
        <v>Product_419</v>
      </c>
      <c r="H74" s="7" t="str">
        <f>_xlfn.XLOOKUP(C74,Products!A74:A573,Products!C74:C573,"Category Missing",0)</f>
        <v>Electronics</v>
      </c>
      <c r="I74" s="11">
        <f>_xlfn.XLOOKUP(Orders!C74,Products!A74:A573,Products!D74:D573,"Price Missing",0)</f>
        <v>34.869999999999997</v>
      </c>
      <c r="J74" s="19">
        <f t="shared" si="1"/>
        <v>139.47999999999999</v>
      </c>
    </row>
    <row r="75" spans="1:10" x14ac:dyDescent="0.35">
      <c r="A75" s="4" t="s">
        <v>4095</v>
      </c>
      <c r="B75" s="7" t="s">
        <v>1238</v>
      </c>
      <c r="C75" s="7" t="s">
        <v>3442</v>
      </c>
      <c r="D75" s="5">
        <v>6</v>
      </c>
      <c r="E75" s="7" t="str">
        <f>_xlfn.XLOOKUP(B75,Customers!A75:A1074,Customers!B75:B1074,"Customer Not Found",0)</f>
        <v>Customer_410</v>
      </c>
      <c r="F75" s="7" t="str">
        <f>_xlfn.XLOOKUP(Orders!B75,Customers!A75:A1074,Customers!C75:C1074,"Country not Found",0)</f>
        <v>UK</v>
      </c>
      <c r="G75" s="7" t="str">
        <f>_xlfn.XLOOKUP(C75,Products!A75:A574,Products!B75:B574,"Product Missing",0)</f>
        <v>Product_212</v>
      </c>
      <c r="H75" s="7" t="str">
        <f>_xlfn.XLOOKUP(C75,Products!A75:A574,Products!C75:C574,"Category Missing",0)</f>
        <v>Home</v>
      </c>
      <c r="I75" s="11">
        <f>_xlfn.XLOOKUP(Orders!C75,Products!A75:A574,Products!D75:D574,"Price Missing",0)</f>
        <v>189.26</v>
      </c>
      <c r="J75" s="19">
        <f t="shared" si="1"/>
        <v>1135.56</v>
      </c>
    </row>
    <row r="76" spans="1:10" x14ac:dyDescent="0.35">
      <c r="A76" s="4" t="s">
        <v>4096</v>
      </c>
      <c r="B76" s="7" t="s">
        <v>1355</v>
      </c>
      <c r="C76" s="7" t="s">
        <v>3538</v>
      </c>
      <c r="D76" s="5">
        <v>1</v>
      </c>
      <c r="E76" s="7" t="str">
        <f>_xlfn.XLOOKUP(B76,Customers!A76:A1075,Customers!B76:B1075,"Customer Not Found",0)</f>
        <v>Customer_449</v>
      </c>
      <c r="F76" s="7" t="str">
        <f>_xlfn.XLOOKUP(Orders!B76,Customers!A76:A1075,Customers!C76:C1075,"Country not Found",0)</f>
        <v>Ghana</v>
      </c>
      <c r="G76" s="7" t="str">
        <f>_xlfn.XLOOKUP(C76,Products!A76:A575,Products!B76:B575,"Product Missing",0)</f>
        <v>Product_260</v>
      </c>
      <c r="H76" s="7" t="str">
        <f>_xlfn.XLOOKUP(C76,Products!A76:A575,Products!C76:C575,"Category Missing",0)</f>
        <v>Electronics</v>
      </c>
      <c r="I76" s="11">
        <f>_xlfn.XLOOKUP(Orders!C76,Products!A76:A575,Products!D76:D575,"Price Missing",0)</f>
        <v>474.47</v>
      </c>
      <c r="J76" s="19">
        <f t="shared" si="1"/>
        <v>474.47</v>
      </c>
    </row>
    <row r="77" spans="1:10" x14ac:dyDescent="0.35">
      <c r="A77" s="4" t="s">
        <v>4097</v>
      </c>
      <c r="B77" s="7" t="s">
        <v>1235</v>
      </c>
      <c r="C77" s="7" t="s">
        <v>3974</v>
      </c>
      <c r="D77" s="5">
        <v>3</v>
      </c>
      <c r="E77" s="7" t="str">
        <f>_xlfn.XLOOKUP(B77,Customers!A77:A1076,Customers!B77:B1076,"Customer Not Found",0)</f>
        <v>Customer_409</v>
      </c>
      <c r="F77" s="7" t="str">
        <f>_xlfn.XLOOKUP(Orders!B77,Customers!A77:A1076,Customers!C77:C1076,"Country not Found",0)</f>
        <v>Nigeria</v>
      </c>
      <c r="G77" s="7" t="str">
        <f>_xlfn.XLOOKUP(C77,Products!A77:A576,Products!B77:B576,"Product Missing",0)</f>
        <v>Product_478</v>
      </c>
      <c r="H77" s="7" t="str">
        <f>_xlfn.XLOOKUP(C77,Products!A77:A576,Products!C77:C576,"Category Missing",0)</f>
        <v>Food</v>
      </c>
      <c r="I77" s="11">
        <f>_xlfn.XLOOKUP(Orders!C77,Products!A77:A576,Products!D77:D576,"Price Missing",0)</f>
        <v>446.75</v>
      </c>
      <c r="J77" s="19">
        <f t="shared" si="1"/>
        <v>1340.25</v>
      </c>
    </row>
    <row r="78" spans="1:10" x14ac:dyDescent="0.35">
      <c r="A78" s="4" t="s">
        <v>4098</v>
      </c>
      <c r="B78" s="7" t="s">
        <v>578</v>
      </c>
      <c r="C78" s="7" t="s">
        <v>4002</v>
      </c>
      <c r="D78" s="5">
        <v>3</v>
      </c>
      <c r="E78" s="7" t="str">
        <f>_xlfn.XLOOKUP(B78,Customers!A78:A1077,Customers!B78:B1077,"Customer Not Found",0)</f>
        <v>Customer_190</v>
      </c>
      <c r="F78" s="7" t="str">
        <f>_xlfn.XLOOKUP(Orders!B78,Customers!A78:A1077,Customers!C78:C1077,"Country not Found",0)</f>
        <v>South Africa</v>
      </c>
      <c r="G78" s="7" t="str">
        <f>_xlfn.XLOOKUP(C78,Products!A78:A577,Products!B78:B577,"Product Missing",0)</f>
        <v>Product_492</v>
      </c>
      <c r="H78" s="7" t="str">
        <f>_xlfn.XLOOKUP(C78,Products!A78:A577,Products!C78:C577,"Category Missing",0)</f>
        <v>Sports</v>
      </c>
      <c r="I78" s="11">
        <f>_xlfn.XLOOKUP(Orders!C78,Products!A78:A577,Products!D78:D577,"Price Missing",0)</f>
        <v>390.12</v>
      </c>
      <c r="J78" s="19">
        <f t="shared" si="1"/>
        <v>1170.3600000000001</v>
      </c>
    </row>
    <row r="79" spans="1:10" x14ac:dyDescent="0.35">
      <c r="A79" s="4" t="s">
        <v>4099</v>
      </c>
      <c r="B79" s="7" t="s">
        <v>2144</v>
      </c>
      <c r="C79" s="7" t="s">
        <v>3458</v>
      </c>
      <c r="D79" s="5">
        <v>5</v>
      </c>
      <c r="E79" s="7" t="str">
        <f>_xlfn.XLOOKUP(B79,Customers!A79:A1078,Customers!B79:B1078,"Customer Not Found",0)</f>
        <v>Customer_712</v>
      </c>
      <c r="F79" s="7" t="str">
        <f>_xlfn.XLOOKUP(Orders!B79,Customers!A79:A1078,Customers!C79:C1078,"Country not Found",0)</f>
        <v>USA</v>
      </c>
      <c r="G79" s="7" t="str">
        <f>_xlfn.XLOOKUP(C79,Products!A79:A578,Products!B79:B578,"Product Missing",0)</f>
        <v>Product_220</v>
      </c>
      <c r="H79" s="7" t="str">
        <f>_xlfn.XLOOKUP(C79,Products!A79:A578,Products!C79:C578,"Category Missing",0)</f>
        <v>Sports</v>
      </c>
      <c r="I79" s="11">
        <f>_xlfn.XLOOKUP(Orders!C79,Products!A79:A578,Products!D79:D578,"Price Missing",0)</f>
        <v>82.11</v>
      </c>
      <c r="J79" s="19">
        <f t="shared" si="1"/>
        <v>410.55</v>
      </c>
    </row>
    <row r="80" spans="1:10" x14ac:dyDescent="0.35">
      <c r="A80" s="4" t="s">
        <v>4100</v>
      </c>
      <c r="B80" s="7" t="s">
        <v>2537</v>
      </c>
      <c r="C80" s="7" t="s">
        <v>3312</v>
      </c>
      <c r="D80" s="5">
        <v>7</v>
      </c>
      <c r="E80" s="7" t="str">
        <f>_xlfn.XLOOKUP(B80,Customers!A80:A1079,Customers!B80:B1079,"Customer Not Found",0)</f>
        <v>Customer_843</v>
      </c>
      <c r="F80" s="7" t="str">
        <f>_xlfn.XLOOKUP(Orders!B80,Customers!A80:A1079,Customers!C80:C1079,"Country not Found",0)</f>
        <v>Kenya</v>
      </c>
      <c r="G80" s="7" t="str">
        <f>_xlfn.XLOOKUP(C80,Products!A80:A579,Products!B80:B579,"Product Missing",0)</f>
        <v>Product_147</v>
      </c>
      <c r="H80" s="7" t="str">
        <f>_xlfn.XLOOKUP(C80,Products!A80:A579,Products!C80:C579,"Category Missing",0)</f>
        <v>Sports</v>
      </c>
      <c r="I80" s="11">
        <f>_xlfn.XLOOKUP(Orders!C80,Products!A80:A579,Products!D80:D579,"Price Missing",0)</f>
        <v>89.13</v>
      </c>
      <c r="J80" s="19">
        <f t="shared" si="1"/>
        <v>623.91</v>
      </c>
    </row>
    <row r="81" spans="1:10" x14ac:dyDescent="0.35">
      <c r="A81" s="4" t="s">
        <v>4101</v>
      </c>
      <c r="B81" s="7" t="s">
        <v>2789</v>
      </c>
      <c r="C81" s="7" t="s">
        <v>3452</v>
      </c>
      <c r="D81" s="5">
        <v>9</v>
      </c>
      <c r="E81" s="7" t="str">
        <f>_xlfn.XLOOKUP(B81,Customers!A81:A1080,Customers!B81:B1080,"Customer Not Found",0)</f>
        <v>Customer_927</v>
      </c>
      <c r="F81" s="7" t="str">
        <f>_xlfn.XLOOKUP(Orders!B81,Customers!A81:A1080,Customers!C81:C1080,"Country not Found",0)</f>
        <v>Nigeria</v>
      </c>
      <c r="G81" s="7" t="str">
        <f>_xlfn.XLOOKUP(C81,Products!A81:A580,Products!B81:B580,"Product Missing",0)</f>
        <v>Product_217</v>
      </c>
      <c r="H81" s="7" t="str">
        <f>_xlfn.XLOOKUP(C81,Products!A81:A580,Products!C81:C580,"Category Missing",0)</f>
        <v>Clothing</v>
      </c>
      <c r="I81" s="11">
        <f>_xlfn.XLOOKUP(Orders!C81,Products!A81:A580,Products!D81:D580,"Price Missing",0)</f>
        <v>233.83</v>
      </c>
      <c r="J81" s="19">
        <f t="shared" si="1"/>
        <v>2104.4700000000003</v>
      </c>
    </row>
    <row r="82" spans="1:10" x14ac:dyDescent="0.35">
      <c r="A82" s="4" t="s">
        <v>4102</v>
      </c>
      <c r="B82" s="7" t="s">
        <v>1904</v>
      </c>
      <c r="C82" s="7" t="s">
        <v>3144</v>
      </c>
      <c r="D82" s="5">
        <v>9</v>
      </c>
      <c r="E82" s="7" t="str">
        <f>_xlfn.XLOOKUP(B82,Customers!A82:A1081,Customers!B82:B1081,"Customer Not Found",0)</f>
        <v>Customer_632</v>
      </c>
      <c r="F82" s="7" t="str">
        <f>_xlfn.XLOOKUP(Orders!B82,Customers!A82:A1081,Customers!C82:C1081,"Country not Found",0)</f>
        <v>Nigeria</v>
      </c>
      <c r="G82" s="7" t="str">
        <f>_xlfn.XLOOKUP(C82,Products!A82:A581,Products!B82:B581,"Product Missing",0)</f>
        <v>Product Missing</v>
      </c>
      <c r="H82" s="7" t="str">
        <f>_xlfn.XLOOKUP(C82,Products!A82:A581,Products!C82:C581,"Category Missing",0)</f>
        <v>Category Missing</v>
      </c>
      <c r="I82" s="11" t="str">
        <f>_xlfn.XLOOKUP(Orders!C82,Products!A82:A581,Products!D82:D581,"Price Missing",0)</f>
        <v>Price Missing</v>
      </c>
      <c r="J82" s="19">
        <f t="shared" si="1"/>
        <v>0</v>
      </c>
    </row>
    <row r="83" spans="1:10" x14ac:dyDescent="0.35">
      <c r="A83" s="4" t="s">
        <v>4103</v>
      </c>
      <c r="B83" s="7" t="s">
        <v>1790</v>
      </c>
      <c r="C83" s="7" t="s">
        <v>3716</v>
      </c>
      <c r="D83" s="5">
        <v>5</v>
      </c>
      <c r="E83" s="7" t="str">
        <f>_xlfn.XLOOKUP(B83,Customers!A83:A1082,Customers!B83:B1082,"Customer Not Found",0)</f>
        <v>Customer_594</v>
      </c>
      <c r="F83" s="7" t="str">
        <f>_xlfn.XLOOKUP(Orders!B83,Customers!A83:A1082,Customers!C83:C1082,"Country not Found",0)</f>
        <v>Canada</v>
      </c>
      <c r="G83" s="7" t="str">
        <f>_xlfn.XLOOKUP(C83,Products!A83:A582,Products!B83:B582,"Product Missing",0)</f>
        <v>Product_349</v>
      </c>
      <c r="H83" s="7" t="str">
        <f>_xlfn.XLOOKUP(C83,Products!A83:A582,Products!C83:C582,"Category Missing",0)</f>
        <v>Clothing</v>
      </c>
      <c r="I83" s="11">
        <f>_xlfn.XLOOKUP(Orders!C83,Products!A83:A582,Products!D83:D582,"Price Missing",0)</f>
        <v>372.7</v>
      </c>
      <c r="J83" s="19">
        <f t="shared" si="1"/>
        <v>1863.5</v>
      </c>
    </row>
    <row r="84" spans="1:10" x14ac:dyDescent="0.35">
      <c r="A84" s="4" t="s">
        <v>4104</v>
      </c>
      <c r="B84" s="7" t="s">
        <v>722</v>
      </c>
      <c r="C84" s="7" t="s">
        <v>3886</v>
      </c>
      <c r="D84" s="5">
        <v>5</v>
      </c>
      <c r="E84" s="7" t="str">
        <f>_xlfn.XLOOKUP(B84,Customers!A84:A1083,Customers!B84:B1083,"Customer Not Found",0)</f>
        <v>Customer_238</v>
      </c>
      <c r="F84" s="7" t="str">
        <f>_xlfn.XLOOKUP(Orders!B84,Customers!A84:A1083,Customers!C84:C1083,"Country not Found",0)</f>
        <v>Kenya</v>
      </c>
      <c r="G84" s="7" t="str">
        <f>_xlfn.XLOOKUP(C84,Products!A84:A583,Products!B84:B583,"Product Missing",0)</f>
        <v>Product_434</v>
      </c>
      <c r="H84" s="7" t="str">
        <f>_xlfn.XLOOKUP(C84,Products!A84:A583,Products!C84:C583,"Category Missing",0)</f>
        <v>Electronics</v>
      </c>
      <c r="I84" s="11">
        <f>_xlfn.XLOOKUP(Orders!C84,Products!A84:A583,Products!D84:D583,"Price Missing",0)</f>
        <v>388.37</v>
      </c>
      <c r="J84" s="19">
        <f t="shared" si="1"/>
        <v>1941.85</v>
      </c>
    </row>
    <row r="85" spans="1:10" x14ac:dyDescent="0.35">
      <c r="A85" s="4" t="s">
        <v>4105</v>
      </c>
      <c r="B85" s="7" t="s">
        <v>1592</v>
      </c>
      <c r="C85" s="7" t="s">
        <v>3740</v>
      </c>
      <c r="D85" s="5">
        <v>8</v>
      </c>
      <c r="E85" s="7" t="str">
        <f>_xlfn.XLOOKUP(B85,Customers!A85:A1084,Customers!B85:B1084,"Customer Not Found",0)</f>
        <v>Customer_528</v>
      </c>
      <c r="F85" s="7" t="str">
        <f>_xlfn.XLOOKUP(Orders!B85,Customers!A85:A1084,Customers!C85:C1084,"Country not Found",0)</f>
        <v>Canada</v>
      </c>
      <c r="G85" s="7" t="str">
        <f>_xlfn.XLOOKUP(C85,Products!A85:A584,Products!B85:B584,"Product Missing",0)</f>
        <v>Product_361</v>
      </c>
      <c r="H85" s="7" t="str">
        <f>_xlfn.XLOOKUP(C85,Products!A85:A584,Products!C85:C584,"Category Missing",0)</f>
        <v>Food</v>
      </c>
      <c r="I85" s="11">
        <f>_xlfn.XLOOKUP(Orders!C85,Products!A85:A584,Products!D85:D584,"Price Missing",0)</f>
        <v>149.83000000000001</v>
      </c>
      <c r="J85" s="19">
        <f t="shared" si="1"/>
        <v>1198.6400000000001</v>
      </c>
    </row>
    <row r="86" spans="1:10" x14ac:dyDescent="0.35">
      <c r="A86" s="4" t="s">
        <v>4106</v>
      </c>
      <c r="B86" s="7" t="s">
        <v>578</v>
      </c>
      <c r="C86" s="7" t="s">
        <v>3724</v>
      </c>
      <c r="D86" s="5">
        <v>1</v>
      </c>
      <c r="E86" s="7" t="str">
        <f>_xlfn.XLOOKUP(B86,Customers!A86:A1085,Customers!B86:B1085,"Customer Not Found",0)</f>
        <v>Customer_190</v>
      </c>
      <c r="F86" s="7" t="str">
        <f>_xlfn.XLOOKUP(Orders!B86,Customers!A86:A1085,Customers!C86:C1085,"Country not Found",0)</f>
        <v>South Africa</v>
      </c>
      <c r="G86" s="7" t="str">
        <f>_xlfn.XLOOKUP(C86,Products!A86:A585,Products!B86:B585,"Product Missing",0)</f>
        <v>Product_353</v>
      </c>
      <c r="H86" s="7" t="str">
        <f>_xlfn.XLOOKUP(C86,Products!A86:A585,Products!C86:C585,"Category Missing",0)</f>
        <v>Home</v>
      </c>
      <c r="I86" s="11">
        <f>_xlfn.XLOOKUP(Orders!C86,Products!A86:A585,Products!D86:D585,"Price Missing",0)</f>
        <v>47.02</v>
      </c>
      <c r="J86" s="19">
        <f t="shared" si="1"/>
        <v>47.02</v>
      </c>
    </row>
    <row r="87" spans="1:10" x14ac:dyDescent="0.35">
      <c r="A87" s="4" t="s">
        <v>4107</v>
      </c>
      <c r="B87" s="7" t="s">
        <v>764</v>
      </c>
      <c r="C87" s="7" t="s">
        <v>3532</v>
      </c>
      <c r="D87" s="5">
        <v>1</v>
      </c>
      <c r="E87" s="7" t="str">
        <f>_xlfn.XLOOKUP(B87,Customers!A87:A1086,Customers!B87:B1086,"Customer Not Found",0)</f>
        <v>Customer_252</v>
      </c>
      <c r="F87" s="7" t="str">
        <f>_xlfn.XLOOKUP(Orders!B87,Customers!A87:A1086,Customers!C87:C1086,"Country not Found",0)</f>
        <v>Canada</v>
      </c>
      <c r="G87" s="7" t="str">
        <f>_xlfn.XLOOKUP(C87,Products!A87:A586,Products!B87:B586,"Product Missing",0)</f>
        <v>Product_257</v>
      </c>
      <c r="H87" s="7" t="str">
        <f>_xlfn.XLOOKUP(C87,Products!A87:A586,Products!C87:C586,"Category Missing",0)</f>
        <v>Electronics</v>
      </c>
      <c r="I87" s="11">
        <f>_xlfn.XLOOKUP(Orders!C87,Products!A87:A586,Products!D87:D586,"Price Missing",0)</f>
        <v>432.32</v>
      </c>
      <c r="J87" s="19">
        <f t="shared" si="1"/>
        <v>432.32</v>
      </c>
    </row>
    <row r="88" spans="1:10" x14ac:dyDescent="0.35">
      <c r="A88" s="4" t="s">
        <v>4108</v>
      </c>
      <c r="B88" s="7" t="s">
        <v>2732</v>
      </c>
      <c r="C88" s="7" t="s">
        <v>3348</v>
      </c>
      <c r="D88" s="5">
        <v>10</v>
      </c>
      <c r="E88" s="7" t="str">
        <f>_xlfn.XLOOKUP(B88,Customers!A88:A1087,Customers!B88:B1087,"Customer Not Found",0)</f>
        <v>Customer_908</v>
      </c>
      <c r="F88" s="7" t="str">
        <f>_xlfn.XLOOKUP(Orders!B88,Customers!A88:A1087,Customers!C88:C1087,"Country not Found",0)</f>
        <v>UK</v>
      </c>
      <c r="G88" s="7" t="str">
        <f>_xlfn.XLOOKUP(C88,Products!A88:A587,Products!B88:B587,"Product Missing",0)</f>
        <v>Product_165</v>
      </c>
      <c r="H88" s="7" t="str">
        <f>_xlfn.XLOOKUP(C88,Products!A88:A587,Products!C88:C587,"Category Missing",0)</f>
        <v>Food</v>
      </c>
      <c r="I88" s="11">
        <f>_xlfn.XLOOKUP(Orders!C88,Products!A88:A587,Products!D88:D587,"Price Missing",0)</f>
        <v>491.55</v>
      </c>
      <c r="J88" s="19">
        <f t="shared" si="1"/>
        <v>4915.5</v>
      </c>
    </row>
    <row r="89" spans="1:10" x14ac:dyDescent="0.35">
      <c r="A89" s="4" t="s">
        <v>4109</v>
      </c>
      <c r="B89" s="7" t="s">
        <v>1493</v>
      </c>
      <c r="C89" s="7" t="s">
        <v>3672</v>
      </c>
      <c r="D89" s="5">
        <v>6</v>
      </c>
      <c r="E89" s="7" t="str">
        <f>_xlfn.XLOOKUP(B89,Customers!A89:A1088,Customers!B89:B1088,"Customer Not Found",0)</f>
        <v>Customer_495</v>
      </c>
      <c r="F89" s="7" t="str">
        <f>_xlfn.XLOOKUP(Orders!B89,Customers!A89:A1088,Customers!C89:C1088,"Country not Found",0)</f>
        <v>South Africa</v>
      </c>
      <c r="G89" s="7" t="str">
        <f>_xlfn.XLOOKUP(C89,Products!A89:A588,Products!B89:B588,"Product Missing",0)</f>
        <v>Product_327</v>
      </c>
      <c r="H89" s="7" t="str">
        <f>_xlfn.XLOOKUP(C89,Products!A89:A588,Products!C89:C588,"Category Missing",0)</f>
        <v>Clothing</v>
      </c>
      <c r="I89" s="11">
        <f>_xlfn.XLOOKUP(Orders!C89,Products!A89:A588,Products!D89:D588,"Price Missing",0)</f>
        <v>286.63</v>
      </c>
      <c r="J89" s="19">
        <f t="shared" si="1"/>
        <v>1719.78</v>
      </c>
    </row>
    <row r="90" spans="1:10" x14ac:dyDescent="0.35">
      <c r="A90" s="4" t="s">
        <v>4110</v>
      </c>
      <c r="B90" s="7" t="s">
        <v>1070</v>
      </c>
      <c r="C90" s="7" t="s">
        <v>3368</v>
      </c>
      <c r="D90" s="5">
        <v>3</v>
      </c>
      <c r="E90" s="7" t="str">
        <f>_xlfn.XLOOKUP(B90,Customers!A90:A1089,Customers!B90:B1089,"Customer Not Found",0)</f>
        <v>Customer_354</v>
      </c>
      <c r="F90" s="7" t="str">
        <f>_xlfn.XLOOKUP(Orders!B90,Customers!A90:A1089,Customers!C90:C1089,"Country not Found",0)</f>
        <v>Nigeria</v>
      </c>
      <c r="G90" s="7" t="str">
        <f>_xlfn.XLOOKUP(C90,Products!A90:A589,Products!B90:B589,"Product Missing",0)</f>
        <v>Product_175</v>
      </c>
      <c r="H90" s="7" t="str">
        <f>_xlfn.XLOOKUP(C90,Products!A90:A589,Products!C90:C589,"Category Missing",0)</f>
        <v>Electronics</v>
      </c>
      <c r="I90" s="11">
        <f>_xlfn.XLOOKUP(Orders!C90,Products!A90:A589,Products!D90:D589,"Price Missing",0)</f>
        <v>471.73</v>
      </c>
      <c r="J90" s="19">
        <f t="shared" si="1"/>
        <v>1415.19</v>
      </c>
    </row>
    <row r="91" spans="1:10" x14ac:dyDescent="0.35">
      <c r="A91" s="4" t="s">
        <v>4111</v>
      </c>
      <c r="B91" s="7" t="s">
        <v>1871</v>
      </c>
      <c r="C91" s="7" t="s">
        <v>3480</v>
      </c>
      <c r="D91" s="5">
        <v>5</v>
      </c>
      <c r="E91" s="7" t="str">
        <f>_xlfn.XLOOKUP(B91,Customers!A91:A1090,Customers!B91:B1090,"Customer Not Found",0)</f>
        <v>Customer_621</v>
      </c>
      <c r="F91" s="7" t="str">
        <f>_xlfn.XLOOKUP(Orders!B91,Customers!A91:A1090,Customers!C91:C1090,"Country not Found",0)</f>
        <v>South Africa</v>
      </c>
      <c r="G91" s="7" t="str">
        <f>_xlfn.XLOOKUP(C91,Products!A91:A590,Products!B91:B590,"Product Missing",0)</f>
        <v>Product_231</v>
      </c>
      <c r="H91" s="7" t="str">
        <f>_xlfn.XLOOKUP(C91,Products!A91:A590,Products!C91:C590,"Category Missing",0)</f>
        <v>Food</v>
      </c>
      <c r="I91" s="11">
        <f>_xlfn.XLOOKUP(Orders!C91,Products!A91:A590,Products!D91:D590,"Price Missing",0)</f>
        <v>337.23</v>
      </c>
      <c r="J91" s="19">
        <f t="shared" si="1"/>
        <v>1686.15</v>
      </c>
    </row>
    <row r="92" spans="1:10" x14ac:dyDescent="0.35">
      <c r="A92" s="4" t="s">
        <v>4112</v>
      </c>
      <c r="B92" s="7" t="s">
        <v>2015</v>
      </c>
      <c r="C92" s="7" t="s">
        <v>3286</v>
      </c>
      <c r="D92" s="5">
        <v>1</v>
      </c>
      <c r="E92" s="7" t="str">
        <f>_xlfn.XLOOKUP(B92,Customers!A92:A1091,Customers!B92:B1091,"Customer Not Found",0)</f>
        <v>Customer_669</v>
      </c>
      <c r="F92" s="7" t="str">
        <f>_xlfn.XLOOKUP(Orders!B92,Customers!A92:A1091,Customers!C92:C1091,"Country not Found",0)</f>
        <v>Canada</v>
      </c>
      <c r="G92" s="7" t="str">
        <f>_xlfn.XLOOKUP(C92,Products!A92:A591,Products!B92:B591,"Product Missing",0)</f>
        <v>Product_134</v>
      </c>
      <c r="H92" s="7" t="str">
        <f>_xlfn.XLOOKUP(C92,Products!A92:A591,Products!C92:C591,"Category Missing",0)</f>
        <v>Food</v>
      </c>
      <c r="I92" s="11">
        <f>_xlfn.XLOOKUP(Orders!C92,Products!A92:A591,Products!D92:D591,"Price Missing",0)</f>
        <v>64.75</v>
      </c>
      <c r="J92" s="19">
        <f t="shared" si="1"/>
        <v>64.75</v>
      </c>
    </row>
    <row r="93" spans="1:10" x14ac:dyDescent="0.35">
      <c r="A93" s="4" t="s">
        <v>4113</v>
      </c>
      <c r="B93" s="7" t="s">
        <v>1778</v>
      </c>
      <c r="C93" s="7" t="s">
        <v>3884</v>
      </c>
      <c r="D93" s="5">
        <v>1</v>
      </c>
      <c r="E93" s="7" t="str">
        <f>_xlfn.XLOOKUP(B93,Customers!A93:A1092,Customers!B93:B1092,"Customer Not Found",0)</f>
        <v>Customer_590</v>
      </c>
      <c r="F93" s="7" t="str">
        <f>_xlfn.XLOOKUP(Orders!B93,Customers!A93:A1092,Customers!C93:C1092,"Country not Found",0)</f>
        <v>USA</v>
      </c>
      <c r="G93" s="7" t="str">
        <f>_xlfn.XLOOKUP(C93,Products!A93:A592,Products!B93:B592,"Product Missing",0)</f>
        <v>Product_433</v>
      </c>
      <c r="H93" s="7" t="str">
        <f>_xlfn.XLOOKUP(C93,Products!A93:A592,Products!C93:C592,"Category Missing",0)</f>
        <v>Sports</v>
      </c>
      <c r="I93" s="11">
        <f>_xlfn.XLOOKUP(Orders!C93,Products!A93:A592,Products!D93:D592,"Price Missing",0)</f>
        <v>314.3</v>
      </c>
      <c r="J93" s="19">
        <f t="shared" si="1"/>
        <v>314.3</v>
      </c>
    </row>
    <row r="94" spans="1:10" x14ac:dyDescent="0.35">
      <c r="A94" s="4" t="s">
        <v>4114</v>
      </c>
      <c r="B94" s="7" t="s">
        <v>1514</v>
      </c>
      <c r="C94" s="7" t="s">
        <v>3590</v>
      </c>
      <c r="D94" s="5">
        <v>2</v>
      </c>
      <c r="E94" s="7" t="str">
        <f>_xlfn.XLOOKUP(B94,Customers!A94:A1093,Customers!B94:B1093,"Customer Not Found",0)</f>
        <v>Customer_502</v>
      </c>
      <c r="F94" s="7" t="str">
        <f>_xlfn.XLOOKUP(Orders!B94,Customers!A94:A1093,Customers!C94:C1093,"Country not Found",0)</f>
        <v>Nigeria</v>
      </c>
      <c r="G94" s="7" t="str">
        <f>_xlfn.XLOOKUP(C94,Products!A94:A593,Products!B94:B593,"Product Missing",0)</f>
        <v>Product_286</v>
      </c>
      <c r="H94" s="7" t="str">
        <f>_xlfn.XLOOKUP(C94,Products!A94:A593,Products!C94:C593,"Category Missing",0)</f>
        <v>Clothing</v>
      </c>
      <c r="I94" s="11">
        <f>_xlfn.XLOOKUP(Orders!C94,Products!A94:A593,Products!D94:D593,"Price Missing",0)</f>
        <v>228.02</v>
      </c>
      <c r="J94" s="19">
        <f t="shared" si="1"/>
        <v>456.04</v>
      </c>
    </row>
    <row r="95" spans="1:10" x14ac:dyDescent="0.35">
      <c r="A95" s="4" t="s">
        <v>4115</v>
      </c>
      <c r="B95" s="7" t="s">
        <v>1175</v>
      </c>
      <c r="C95" s="7" t="s">
        <v>3608</v>
      </c>
      <c r="D95" s="5">
        <v>4</v>
      </c>
      <c r="E95" s="7" t="str">
        <f>_xlfn.XLOOKUP(B95,Customers!A95:A1094,Customers!B95:B1094,"Customer Not Found",0)</f>
        <v>Customer_389</v>
      </c>
      <c r="F95" s="7" t="str">
        <f>_xlfn.XLOOKUP(Orders!B95,Customers!A95:A1094,Customers!C95:C1094,"Country not Found",0)</f>
        <v>Kenya</v>
      </c>
      <c r="G95" s="7" t="str">
        <f>_xlfn.XLOOKUP(C95,Products!A95:A594,Products!B95:B594,"Product Missing",0)</f>
        <v>Product_295</v>
      </c>
      <c r="H95" s="7" t="str">
        <f>_xlfn.XLOOKUP(C95,Products!A95:A594,Products!C95:C594,"Category Missing",0)</f>
        <v>Electronics</v>
      </c>
      <c r="I95" s="11">
        <f>_xlfn.XLOOKUP(Orders!C95,Products!A95:A594,Products!D95:D594,"Price Missing",0)</f>
        <v>337.91</v>
      </c>
      <c r="J95" s="19">
        <f t="shared" si="1"/>
        <v>1351.64</v>
      </c>
    </row>
    <row r="96" spans="1:10" x14ac:dyDescent="0.35">
      <c r="A96" s="4" t="s">
        <v>4116</v>
      </c>
      <c r="B96" s="7" t="s">
        <v>878</v>
      </c>
      <c r="C96" s="7" t="s">
        <v>4006</v>
      </c>
      <c r="D96" s="5">
        <v>3</v>
      </c>
      <c r="E96" s="7" t="str">
        <f>_xlfn.XLOOKUP(B96,Customers!A96:A1095,Customers!B96:B1095,"Customer Not Found",0)</f>
        <v>Customer_290</v>
      </c>
      <c r="F96" s="7" t="str">
        <f>_xlfn.XLOOKUP(Orders!B96,Customers!A96:A1095,Customers!C96:C1095,"Country not Found",0)</f>
        <v>Canada</v>
      </c>
      <c r="G96" s="7" t="str">
        <f>_xlfn.XLOOKUP(C96,Products!A96:A595,Products!B96:B595,"Product Missing",0)</f>
        <v>Product_494</v>
      </c>
      <c r="H96" s="7" t="str">
        <f>_xlfn.XLOOKUP(C96,Products!A96:A595,Products!C96:C595,"Category Missing",0)</f>
        <v>Clothing</v>
      </c>
      <c r="I96" s="11">
        <f>_xlfn.XLOOKUP(Orders!C96,Products!A96:A595,Products!D96:D595,"Price Missing",0)</f>
        <v>116.33</v>
      </c>
      <c r="J96" s="19">
        <f t="shared" si="1"/>
        <v>348.99</v>
      </c>
    </row>
    <row r="97" spans="1:10" x14ac:dyDescent="0.35">
      <c r="A97" s="4" t="s">
        <v>4117</v>
      </c>
      <c r="B97" s="7" t="s">
        <v>1175</v>
      </c>
      <c r="C97" s="7" t="s">
        <v>3192</v>
      </c>
      <c r="D97" s="5">
        <v>10</v>
      </c>
      <c r="E97" s="7" t="str">
        <f>_xlfn.XLOOKUP(B97,Customers!A97:A1096,Customers!B97:B1096,"Customer Not Found",0)</f>
        <v>Customer_389</v>
      </c>
      <c r="F97" s="7" t="str">
        <f>_xlfn.XLOOKUP(Orders!B97,Customers!A97:A1096,Customers!C97:C1096,"Country not Found",0)</f>
        <v>Kenya</v>
      </c>
      <c r="G97" s="7" t="str">
        <f>_xlfn.XLOOKUP(C97,Products!A97:A596,Products!B97:B596,"Product Missing",0)</f>
        <v>Product Missing</v>
      </c>
      <c r="H97" s="7" t="str">
        <f>_xlfn.XLOOKUP(C97,Products!A97:A596,Products!C97:C596,"Category Missing",0)</f>
        <v>Category Missing</v>
      </c>
      <c r="I97" s="11" t="str">
        <f>_xlfn.XLOOKUP(Orders!C97,Products!A97:A596,Products!D97:D596,"Price Missing",0)</f>
        <v>Price Missing</v>
      </c>
      <c r="J97" s="19">
        <f t="shared" si="1"/>
        <v>0</v>
      </c>
    </row>
    <row r="98" spans="1:10" x14ac:dyDescent="0.35">
      <c r="A98" s="4" t="s">
        <v>4118</v>
      </c>
      <c r="B98" s="7" t="s">
        <v>2597</v>
      </c>
      <c r="C98" s="7" t="s">
        <v>3518</v>
      </c>
      <c r="D98" s="5">
        <v>8</v>
      </c>
      <c r="E98" s="7" t="str">
        <f>_xlfn.XLOOKUP(B98,Customers!A98:A1097,Customers!B98:B1097,"Customer Not Found",0)</f>
        <v>Customer_863</v>
      </c>
      <c r="F98" s="7" t="str">
        <f>_xlfn.XLOOKUP(Orders!B98,Customers!A98:A1097,Customers!C98:C1097,"Country not Found",0)</f>
        <v>Kenya</v>
      </c>
      <c r="G98" s="7" t="str">
        <f>_xlfn.XLOOKUP(C98,Products!A98:A597,Products!B98:B597,"Product Missing",0)</f>
        <v>Product_250</v>
      </c>
      <c r="H98" s="7" t="str">
        <f>_xlfn.XLOOKUP(C98,Products!A98:A597,Products!C98:C597,"Category Missing",0)</f>
        <v>Sports</v>
      </c>
      <c r="I98" s="11">
        <f>_xlfn.XLOOKUP(Orders!C98,Products!A98:A597,Products!D98:D597,"Price Missing",0)</f>
        <v>166.31</v>
      </c>
      <c r="J98" s="19">
        <f t="shared" si="1"/>
        <v>1330.48</v>
      </c>
    </row>
    <row r="99" spans="1:10" x14ac:dyDescent="0.35">
      <c r="A99" s="4" t="s">
        <v>4119</v>
      </c>
      <c r="B99" s="7" t="s">
        <v>1727</v>
      </c>
      <c r="C99" s="7" t="s">
        <v>3114</v>
      </c>
      <c r="D99" s="5">
        <v>8</v>
      </c>
      <c r="E99" s="7" t="str">
        <f>_xlfn.XLOOKUP(B99,Customers!A99:A1098,Customers!B99:B1098,"Customer Not Found",0)</f>
        <v>Customer_573</v>
      </c>
      <c r="F99" s="7" t="str">
        <f>_xlfn.XLOOKUP(Orders!B99,Customers!A99:A1098,Customers!C99:C1098,"Country not Found",0)</f>
        <v>Canada</v>
      </c>
      <c r="G99" s="7" t="str">
        <f>_xlfn.XLOOKUP(C99,Products!A99:A598,Products!B99:B598,"Product Missing",0)</f>
        <v>Product Missing</v>
      </c>
      <c r="H99" s="7" t="str">
        <f>_xlfn.XLOOKUP(C99,Products!A99:A598,Products!C99:C598,"Category Missing",0)</f>
        <v>Category Missing</v>
      </c>
      <c r="I99" s="11" t="str">
        <f>_xlfn.XLOOKUP(Orders!C99,Products!A99:A598,Products!D99:D598,"Price Missing",0)</f>
        <v>Price Missing</v>
      </c>
      <c r="J99" s="19">
        <f t="shared" si="1"/>
        <v>0</v>
      </c>
    </row>
    <row r="100" spans="1:10" x14ac:dyDescent="0.35">
      <c r="A100" s="4" t="s">
        <v>4120</v>
      </c>
      <c r="B100" s="7" t="s">
        <v>2486</v>
      </c>
      <c r="C100" s="7" t="s">
        <v>4016</v>
      </c>
      <c r="D100" s="5">
        <v>4</v>
      </c>
      <c r="E100" s="7" t="str">
        <f>_xlfn.XLOOKUP(B100,Customers!A100:A1099,Customers!B100:B1099,"Customer Not Found",0)</f>
        <v>Customer_826</v>
      </c>
      <c r="F100" s="7" t="str">
        <f>_xlfn.XLOOKUP(Orders!B100,Customers!A100:A1099,Customers!C100:C1099,"Country not Found",0)</f>
        <v>USA</v>
      </c>
      <c r="G100" s="7" t="str">
        <f>_xlfn.XLOOKUP(C100,Products!A100:A599,Products!B100:B599,"Product Missing",0)</f>
        <v>Product_499</v>
      </c>
      <c r="H100" s="7" t="str">
        <f>_xlfn.XLOOKUP(C100,Products!A100:A599,Products!C100:C599,"Category Missing",0)</f>
        <v>Home</v>
      </c>
      <c r="I100" s="11">
        <f>_xlfn.XLOOKUP(Orders!C100,Products!A100:A599,Products!D100:D599,"Price Missing",0)</f>
        <v>254.31</v>
      </c>
      <c r="J100" s="19">
        <f t="shared" si="1"/>
        <v>1017.24</v>
      </c>
    </row>
    <row r="101" spans="1:10" x14ac:dyDescent="0.35">
      <c r="A101" s="4" t="s">
        <v>4121</v>
      </c>
      <c r="B101" s="7" t="s">
        <v>1589</v>
      </c>
      <c r="C101" s="7" t="s">
        <v>3260</v>
      </c>
      <c r="D101" s="5">
        <v>5</v>
      </c>
      <c r="E101" s="7" t="str">
        <f>_xlfn.XLOOKUP(B101,Customers!A101:A1100,Customers!B101:B1100,"Customer Not Found",0)</f>
        <v>Customer_527</v>
      </c>
      <c r="F101" s="7" t="str">
        <f>_xlfn.XLOOKUP(Orders!B101,Customers!A101:A1100,Customers!C101:C1100,"Country not Found",0)</f>
        <v>Ghana</v>
      </c>
      <c r="G101" s="7" t="str">
        <f>_xlfn.XLOOKUP(C101,Products!A101:A600,Products!B101:B600,"Product Missing",0)</f>
        <v>Product_121</v>
      </c>
      <c r="H101" s="7" t="str">
        <f>_xlfn.XLOOKUP(C101,Products!A101:A600,Products!C101:C600,"Category Missing",0)</f>
        <v>Clothing</v>
      </c>
      <c r="I101" s="11">
        <f>_xlfn.XLOOKUP(Orders!C101,Products!A101:A600,Products!D101:D600,"Price Missing",0)</f>
        <v>170.01</v>
      </c>
      <c r="J101" s="19">
        <f t="shared" si="1"/>
        <v>850.05</v>
      </c>
    </row>
    <row r="102" spans="1:10" x14ac:dyDescent="0.35">
      <c r="A102" s="4" t="s">
        <v>4122</v>
      </c>
      <c r="B102" s="7" t="s">
        <v>1946</v>
      </c>
      <c r="C102" s="7" t="s">
        <v>3498</v>
      </c>
      <c r="D102" s="5">
        <v>10</v>
      </c>
      <c r="E102" s="7" t="str">
        <f>_xlfn.XLOOKUP(B102,Customers!A102:A1101,Customers!B102:B1101,"Customer Not Found",0)</f>
        <v>Customer_646</v>
      </c>
      <c r="F102" s="7" t="str">
        <f>_xlfn.XLOOKUP(Orders!B102,Customers!A102:A1101,Customers!C102:C1101,"Country not Found",0)</f>
        <v>Canada</v>
      </c>
      <c r="G102" s="7" t="str">
        <f>_xlfn.XLOOKUP(C102,Products!A102:A601,Products!B102:B601,"Product Missing",0)</f>
        <v>Product_240</v>
      </c>
      <c r="H102" s="7" t="str">
        <f>_xlfn.XLOOKUP(C102,Products!A102:A601,Products!C102:C601,"Category Missing",0)</f>
        <v>Electronics</v>
      </c>
      <c r="I102" s="11">
        <f>_xlfn.XLOOKUP(Orders!C102,Products!A102:A601,Products!D102:D601,"Price Missing",0)</f>
        <v>224.72</v>
      </c>
      <c r="J102" s="19">
        <f t="shared" si="1"/>
        <v>2247.1999999999998</v>
      </c>
    </row>
    <row r="103" spans="1:10" x14ac:dyDescent="0.35">
      <c r="A103" s="4" t="s">
        <v>4123</v>
      </c>
      <c r="B103" s="7" t="s">
        <v>1958</v>
      </c>
      <c r="C103" s="7" t="s">
        <v>3524</v>
      </c>
      <c r="D103" s="5">
        <v>4</v>
      </c>
      <c r="E103" s="7" t="str">
        <f>_xlfn.XLOOKUP(B103,Customers!A103:A1102,Customers!B103:B1102,"Customer Not Found",0)</f>
        <v>Customer_650</v>
      </c>
      <c r="F103" s="7" t="str">
        <f>_xlfn.XLOOKUP(Orders!B103,Customers!A103:A1102,Customers!C103:C1102,"Country not Found",0)</f>
        <v>Ghana</v>
      </c>
      <c r="G103" s="7" t="str">
        <f>_xlfn.XLOOKUP(C103,Products!A103:A602,Products!B103:B602,"Product Missing",0)</f>
        <v>Product_253</v>
      </c>
      <c r="H103" s="7" t="str">
        <f>_xlfn.XLOOKUP(C103,Products!A103:A602,Products!C103:C602,"Category Missing",0)</f>
        <v>Electronics</v>
      </c>
      <c r="I103" s="11">
        <f>_xlfn.XLOOKUP(Orders!C103,Products!A103:A602,Products!D103:D602,"Price Missing",0)</f>
        <v>81.77</v>
      </c>
      <c r="J103" s="19">
        <f t="shared" si="1"/>
        <v>327.08</v>
      </c>
    </row>
    <row r="104" spans="1:10" x14ac:dyDescent="0.35">
      <c r="A104" s="4" t="s">
        <v>4124</v>
      </c>
      <c r="B104" s="7" t="s">
        <v>2015</v>
      </c>
      <c r="C104" s="7" t="s">
        <v>3718</v>
      </c>
      <c r="D104" s="5">
        <v>6</v>
      </c>
      <c r="E104" s="7" t="str">
        <f>_xlfn.XLOOKUP(B104,Customers!A104:A1103,Customers!B104:B1103,"Customer Not Found",0)</f>
        <v>Customer_669</v>
      </c>
      <c r="F104" s="7" t="str">
        <f>_xlfn.XLOOKUP(Orders!B104,Customers!A104:A1103,Customers!C104:C1103,"Country not Found",0)</f>
        <v>Canada</v>
      </c>
      <c r="G104" s="7" t="str">
        <f>_xlfn.XLOOKUP(C104,Products!A104:A603,Products!B104:B603,"Product Missing",0)</f>
        <v>Product_350</v>
      </c>
      <c r="H104" s="7" t="str">
        <f>_xlfn.XLOOKUP(C104,Products!A104:A603,Products!C104:C603,"Category Missing",0)</f>
        <v>Clothing</v>
      </c>
      <c r="I104" s="11">
        <f>_xlfn.XLOOKUP(Orders!C104,Products!A104:A603,Products!D104:D603,"Price Missing",0)</f>
        <v>485.88</v>
      </c>
      <c r="J104" s="19">
        <f t="shared" si="1"/>
        <v>2915.2799999999997</v>
      </c>
    </row>
    <row r="105" spans="1:10" x14ac:dyDescent="0.35">
      <c r="A105" s="4" t="s">
        <v>4125</v>
      </c>
      <c r="B105" s="7" t="s">
        <v>788</v>
      </c>
      <c r="C105" s="7" t="s">
        <v>3308</v>
      </c>
      <c r="D105" s="5">
        <v>10</v>
      </c>
      <c r="E105" s="7" t="str">
        <f>_xlfn.XLOOKUP(B105,Customers!A105:A1104,Customers!B105:B1104,"Customer Not Found",0)</f>
        <v>Customer_260</v>
      </c>
      <c r="F105" s="7" t="str">
        <f>_xlfn.XLOOKUP(Orders!B105,Customers!A105:A1104,Customers!C105:C1104,"Country not Found",0)</f>
        <v>South Africa</v>
      </c>
      <c r="G105" s="7" t="str">
        <f>_xlfn.XLOOKUP(C105,Products!A105:A604,Products!B105:B604,"Product Missing",0)</f>
        <v>Product_145</v>
      </c>
      <c r="H105" s="7" t="str">
        <f>_xlfn.XLOOKUP(C105,Products!A105:A604,Products!C105:C604,"Category Missing",0)</f>
        <v>Sports</v>
      </c>
      <c r="I105" s="11">
        <f>_xlfn.XLOOKUP(Orders!C105,Products!A105:A604,Products!D105:D604,"Price Missing",0)</f>
        <v>220.29</v>
      </c>
      <c r="J105" s="19">
        <f t="shared" si="1"/>
        <v>2202.9</v>
      </c>
    </row>
    <row r="106" spans="1:10" x14ac:dyDescent="0.35">
      <c r="A106" s="4" t="s">
        <v>4126</v>
      </c>
      <c r="B106" s="7" t="s">
        <v>728</v>
      </c>
      <c r="C106" s="7" t="s">
        <v>3952</v>
      </c>
      <c r="D106" s="5">
        <v>8</v>
      </c>
      <c r="E106" s="7" t="str">
        <f>_xlfn.XLOOKUP(B106,Customers!A106:A1105,Customers!B106:B1105,"Customer Not Found",0)</f>
        <v>Customer_240</v>
      </c>
      <c r="F106" s="7" t="str">
        <f>_xlfn.XLOOKUP(Orders!B106,Customers!A106:A1105,Customers!C106:C1105,"Country not Found",0)</f>
        <v>Nigeria</v>
      </c>
      <c r="G106" s="7" t="str">
        <f>_xlfn.XLOOKUP(C106,Products!A106:A605,Products!B106:B605,"Product Missing",0)</f>
        <v>Product_467</v>
      </c>
      <c r="H106" s="7" t="str">
        <f>_xlfn.XLOOKUP(C106,Products!A106:A605,Products!C106:C605,"Category Missing",0)</f>
        <v>Electronics</v>
      </c>
      <c r="I106" s="11">
        <f>_xlfn.XLOOKUP(Orders!C106,Products!A106:A605,Products!D106:D605,"Price Missing",0)</f>
        <v>279.95999999999998</v>
      </c>
      <c r="J106" s="19">
        <f t="shared" si="1"/>
        <v>2239.6799999999998</v>
      </c>
    </row>
    <row r="107" spans="1:10" x14ac:dyDescent="0.35">
      <c r="A107" s="4" t="s">
        <v>4127</v>
      </c>
      <c r="B107" s="7" t="s">
        <v>335</v>
      </c>
      <c r="C107" s="7" t="s">
        <v>3356</v>
      </c>
      <c r="D107" s="5">
        <v>3</v>
      </c>
      <c r="E107" s="7" t="str">
        <f>_xlfn.XLOOKUP(B107,Customers!A107:A1106,Customers!B107:B1106,"Customer Not Found",0)</f>
        <v>Customer_109</v>
      </c>
      <c r="F107" s="7" t="str">
        <f>_xlfn.XLOOKUP(Orders!B107,Customers!A107:A1106,Customers!C107:C1106,"Country not Found",0)</f>
        <v>Kenya</v>
      </c>
      <c r="G107" s="7" t="str">
        <f>_xlfn.XLOOKUP(C107,Products!A107:A606,Products!B107:B606,"Product Missing",0)</f>
        <v>Product_169</v>
      </c>
      <c r="H107" s="7" t="str">
        <f>_xlfn.XLOOKUP(C107,Products!A107:A606,Products!C107:C606,"Category Missing",0)</f>
        <v>Food</v>
      </c>
      <c r="I107" s="11">
        <f>_xlfn.XLOOKUP(Orders!C107,Products!A107:A606,Products!D107:D606,"Price Missing",0)</f>
        <v>279.2</v>
      </c>
      <c r="J107" s="19">
        <f t="shared" si="1"/>
        <v>837.59999999999991</v>
      </c>
    </row>
    <row r="108" spans="1:10" x14ac:dyDescent="0.35">
      <c r="A108" s="4" t="s">
        <v>4128</v>
      </c>
      <c r="B108" s="7" t="s">
        <v>230</v>
      </c>
      <c r="C108" s="7" t="s">
        <v>3662</v>
      </c>
      <c r="D108" s="5">
        <v>10</v>
      </c>
      <c r="E108" s="7" t="str">
        <f>_xlfn.XLOOKUP(B108,Customers!A108:A1107,Customers!B108:B1107,"Customer Not Found",0)</f>
        <v>Customer Not Found</v>
      </c>
      <c r="F108" s="7" t="str">
        <f>_xlfn.XLOOKUP(Orders!B108,Customers!A108:A1107,Customers!C108:C1107,"Country not Found",0)</f>
        <v>Country not Found</v>
      </c>
      <c r="G108" s="7" t="str">
        <f>_xlfn.XLOOKUP(C108,Products!A108:A607,Products!B108:B607,"Product Missing",0)</f>
        <v>Product_322</v>
      </c>
      <c r="H108" s="7" t="str">
        <f>_xlfn.XLOOKUP(C108,Products!A108:A607,Products!C108:C607,"Category Missing",0)</f>
        <v>Clothing</v>
      </c>
      <c r="I108" s="11">
        <f>_xlfn.XLOOKUP(Orders!C108,Products!A108:A607,Products!D108:D607,"Price Missing",0)</f>
        <v>14.3</v>
      </c>
      <c r="J108" s="19">
        <f t="shared" si="1"/>
        <v>143</v>
      </c>
    </row>
    <row r="109" spans="1:10" x14ac:dyDescent="0.35">
      <c r="A109" s="4" t="s">
        <v>4129</v>
      </c>
      <c r="B109" s="7" t="s">
        <v>2849</v>
      </c>
      <c r="C109" s="7" t="s">
        <v>3920</v>
      </c>
      <c r="D109" s="5">
        <v>6</v>
      </c>
      <c r="E109" s="7" t="str">
        <f>_xlfn.XLOOKUP(B109,Customers!A109:A1108,Customers!B109:B1108,"Customer Not Found",0)</f>
        <v>Customer_947</v>
      </c>
      <c r="F109" s="7" t="str">
        <f>_xlfn.XLOOKUP(Orders!B109,Customers!A109:A1108,Customers!C109:C1108,"Country not Found",0)</f>
        <v>Kenya</v>
      </c>
      <c r="G109" s="7" t="str">
        <f>_xlfn.XLOOKUP(C109,Products!A109:A608,Products!B109:B608,"Product Missing",0)</f>
        <v>Product_451</v>
      </c>
      <c r="H109" s="7" t="str">
        <f>_xlfn.XLOOKUP(C109,Products!A109:A608,Products!C109:C608,"Category Missing",0)</f>
        <v>Food</v>
      </c>
      <c r="I109" s="11">
        <f>_xlfn.XLOOKUP(Orders!C109,Products!A109:A608,Products!D109:D608,"Price Missing",0)</f>
        <v>399.91</v>
      </c>
      <c r="J109" s="19">
        <f t="shared" si="1"/>
        <v>2399.46</v>
      </c>
    </row>
    <row r="110" spans="1:10" x14ac:dyDescent="0.35">
      <c r="A110" s="4" t="s">
        <v>4130</v>
      </c>
      <c r="B110" s="7" t="s">
        <v>1613</v>
      </c>
      <c r="C110" s="7" t="s">
        <v>3722</v>
      </c>
      <c r="D110" s="5">
        <v>9</v>
      </c>
      <c r="E110" s="7" t="str">
        <f>_xlfn.XLOOKUP(B110,Customers!A110:A1109,Customers!B110:B1109,"Customer Not Found",0)</f>
        <v>Customer_535</v>
      </c>
      <c r="F110" s="7" t="str">
        <f>_xlfn.XLOOKUP(Orders!B110,Customers!A110:A1109,Customers!C110:C1109,"Country not Found",0)</f>
        <v>Ghana</v>
      </c>
      <c r="G110" s="7" t="str">
        <f>_xlfn.XLOOKUP(C110,Products!A110:A609,Products!B110:B609,"Product Missing",0)</f>
        <v>Product_352</v>
      </c>
      <c r="H110" s="7" t="str">
        <f>_xlfn.XLOOKUP(C110,Products!A110:A609,Products!C110:C609,"Category Missing",0)</f>
        <v>Clothing</v>
      </c>
      <c r="I110" s="11">
        <f>_xlfn.XLOOKUP(Orders!C110,Products!A110:A609,Products!D110:D609,"Price Missing",0)</f>
        <v>47.88</v>
      </c>
      <c r="J110" s="19">
        <f t="shared" si="1"/>
        <v>430.92</v>
      </c>
    </row>
    <row r="111" spans="1:10" x14ac:dyDescent="0.35">
      <c r="A111" s="4" t="s">
        <v>4131</v>
      </c>
      <c r="B111" s="7" t="s">
        <v>470</v>
      </c>
      <c r="C111" s="7" t="s">
        <v>3334</v>
      </c>
      <c r="D111" s="5">
        <v>4</v>
      </c>
      <c r="E111" s="7" t="str">
        <f>_xlfn.XLOOKUP(B111,Customers!A111:A1110,Customers!B111:B1110,"Customer Not Found",0)</f>
        <v>Customer_154</v>
      </c>
      <c r="F111" s="7" t="str">
        <f>_xlfn.XLOOKUP(Orders!B111,Customers!A111:A1110,Customers!C111:C1110,"Country not Found",0)</f>
        <v>USA</v>
      </c>
      <c r="G111" s="7" t="str">
        <f>_xlfn.XLOOKUP(C111,Products!A111:A610,Products!B111:B610,"Product Missing",0)</f>
        <v>Product_158</v>
      </c>
      <c r="H111" s="7" t="str">
        <f>_xlfn.XLOOKUP(C111,Products!A111:A610,Products!C111:C610,"Category Missing",0)</f>
        <v>Food</v>
      </c>
      <c r="I111" s="11">
        <f>_xlfn.XLOOKUP(Orders!C111,Products!A111:A610,Products!D111:D610,"Price Missing",0)</f>
        <v>499.34</v>
      </c>
      <c r="J111" s="19">
        <f t="shared" si="1"/>
        <v>1997.36</v>
      </c>
    </row>
    <row r="112" spans="1:10" x14ac:dyDescent="0.35">
      <c r="A112" s="4" t="s">
        <v>4132</v>
      </c>
      <c r="B112" s="7" t="s">
        <v>2222</v>
      </c>
      <c r="C112" s="7" t="s">
        <v>3406</v>
      </c>
      <c r="D112" s="5">
        <v>3</v>
      </c>
      <c r="E112" s="7" t="str">
        <f>_xlfn.XLOOKUP(B112,Customers!A112:A1111,Customers!B112:B1111,"Customer Not Found",0)</f>
        <v>Customer_738</v>
      </c>
      <c r="F112" s="7" t="str">
        <f>_xlfn.XLOOKUP(Orders!B112,Customers!A112:A1111,Customers!C112:C1111,"Country not Found",0)</f>
        <v>Canada</v>
      </c>
      <c r="G112" s="7" t="str">
        <f>_xlfn.XLOOKUP(C112,Products!A112:A611,Products!B112:B611,"Product Missing",0)</f>
        <v>Product_194</v>
      </c>
      <c r="H112" s="7" t="str">
        <f>_xlfn.XLOOKUP(C112,Products!A112:A611,Products!C112:C611,"Category Missing",0)</f>
        <v>Electronics</v>
      </c>
      <c r="I112" s="11">
        <f>_xlfn.XLOOKUP(Orders!C112,Products!A112:A611,Products!D112:D611,"Price Missing",0)</f>
        <v>461.37</v>
      </c>
      <c r="J112" s="19">
        <f t="shared" si="1"/>
        <v>1384.1100000000001</v>
      </c>
    </row>
    <row r="113" spans="1:10" x14ac:dyDescent="0.35">
      <c r="A113" s="4" t="s">
        <v>4133</v>
      </c>
      <c r="B113" s="7" t="s">
        <v>2051</v>
      </c>
      <c r="C113" s="7" t="s">
        <v>3722</v>
      </c>
      <c r="D113" s="5">
        <v>5</v>
      </c>
      <c r="E113" s="7" t="str">
        <f>_xlfn.XLOOKUP(B113,Customers!A113:A1112,Customers!B113:B1112,"Customer Not Found",0)</f>
        <v>Customer_681</v>
      </c>
      <c r="F113" s="7" t="str">
        <f>_xlfn.XLOOKUP(Orders!B113,Customers!A113:A1112,Customers!C113:C1112,"Country not Found",0)</f>
        <v>Canada</v>
      </c>
      <c r="G113" s="7" t="str">
        <f>_xlfn.XLOOKUP(C113,Products!A113:A612,Products!B113:B612,"Product Missing",0)</f>
        <v>Product_352</v>
      </c>
      <c r="H113" s="7" t="str">
        <f>_xlfn.XLOOKUP(C113,Products!A113:A612,Products!C113:C612,"Category Missing",0)</f>
        <v>Clothing</v>
      </c>
      <c r="I113" s="11">
        <f>_xlfn.XLOOKUP(Orders!C113,Products!A113:A612,Products!D113:D612,"Price Missing",0)</f>
        <v>47.88</v>
      </c>
      <c r="J113" s="19">
        <f t="shared" si="1"/>
        <v>239.4</v>
      </c>
    </row>
    <row r="114" spans="1:10" x14ac:dyDescent="0.35">
      <c r="A114" s="4" t="s">
        <v>4134</v>
      </c>
      <c r="B114" s="7" t="s">
        <v>83</v>
      </c>
      <c r="C114" s="7" t="s">
        <v>3568</v>
      </c>
      <c r="D114" s="5">
        <v>2</v>
      </c>
      <c r="E114" s="7" t="str">
        <f>_xlfn.XLOOKUP(B114,Customers!A114:A1113,Customers!B114:B1113,"Customer Not Found",0)</f>
        <v>Customer Not Found</v>
      </c>
      <c r="F114" s="7" t="str">
        <f>_xlfn.XLOOKUP(Orders!B114,Customers!A114:A1113,Customers!C114:C1113,"Country not Found",0)</f>
        <v>Country not Found</v>
      </c>
      <c r="G114" s="7" t="str">
        <f>_xlfn.XLOOKUP(C114,Products!A114:A613,Products!B114:B613,"Product Missing",0)</f>
        <v>Product_275</v>
      </c>
      <c r="H114" s="7" t="str">
        <f>_xlfn.XLOOKUP(C114,Products!A114:A613,Products!C114:C613,"Category Missing",0)</f>
        <v>Sports</v>
      </c>
      <c r="I114" s="11">
        <f>_xlfn.XLOOKUP(Orders!C114,Products!A114:A613,Products!D114:D613,"Price Missing",0)</f>
        <v>472.34</v>
      </c>
      <c r="J114" s="19">
        <f t="shared" si="1"/>
        <v>944.68</v>
      </c>
    </row>
    <row r="115" spans="1:10" x14ac:dyDescent="0.35">
      <c r="A115" s="4" t="s">
        <v>4135</v>
      </c>
      <c r="B115" s="7" t="s">
        <v>368</v>
      </c>
      <c r="C115" s="7" t="s">
        <v>3402</v>
      </c>
      <c r="D115" s="5">
        <v>7</v>
      </c>
      <c r="E115" s="7" t="str">
        <f>_xlfn.XLOOKUP(B115,Customers!A115:A1114,Customers!B115:B1114,"Customer Not Found",0)</f>
        <v>Customer_120</v>
      </c>
      <c r="F115" s="7" t="str">
        <f>_xlfn.XLOOKUP(Orders!B115,Customers!A115:A1114,Customers!C115:C1114,"Country not Found",0)</f>
        <v>Nigeria</v>
      </c>
      <c r="G115" s="7" t="str">
        <f>_xlfn.XLOOKUP(C115,Products!A115:A614,Products!B115:B614,"Product Missing",0)</f>
        <v>Product_192</v>
      </c>
      <c r="H115" s="7" t="str">
        <f>_xlfn.XLOOKUP(C115,Products!A115:A614,Products!C115:C614,"Category Missing",0)</f>
        <v>Food</v>
      </c>
      <c r="I115" s="11">
        <f>_xlfn.XLOOKUP(Orders!C115,Products!A115:A614,Products!D115:D614,"Price Missing",0)</f>
        <v>35.92</v>
      </c>
      <c r="J115" s="19">
        <f t="shared" si="1"/>
        <v>251.44</v>
      </c>
    </row>
    <row r="116" spans="1:10" x14ac:dyDescent="0.35">
      <c r="A116" s="4" t="s">
        <v>4136</v>
      </c>
      <c r="B116" s="7" t="s">
        <v>1310</v>
      </c>
      <c r="C116" s="7" t="s">
        <v>3298</v>
      </c>
      <c r="D116" s="5">
        <v>4</v>
      </c>
      <c r="E116" s="7" t="str">
        <f>_xlfn.XLOOKUP(B116,Customers!A116:A1115,Customers!B116:B1115,"Customer Not Found",0)</f>
        <v>Customer_434</v>
      </c>
      <c r="F116" s="7" t="str">
        <f>_xlfn.XLOOKUP(Orders!B116,Customers!A116:A1115,Customers!C116:C1115,"Country not Found",0)</f>
        <v>Kenya</v>
      </c>
      <c r="G116" s="7" t="str">
        <f>_xlfn.XLOOKUP(C116,Products!A116:A615,Products!B116:B615,"Product Missing",0)</f>
        <v>Product_140</v>
      </c>
      <c r="H116" s="7" t="str">
        <f>_xlfn.XLOOKUP(C116,Products!A116:A615,Products!C116:C615,"Category Missing",0)</f>
        <v>Clothing</v>
      </c>
      <c r="I116" s="11">
        <f>_xlfn.XLOOKUP(Orders!C116,Products!A116:A615,Products!D116:D615,"Price Missing",0)</f>
        <v>135.07</v>
      </c>
      <c r="J116" s="19">
        <f t="shared" si="1"/>
        <v>540.28</v>
      </c>
    </row>
    <row r="117" spans="1:10" x14ac:dyDescent="0.35">
      <c r="A117" s="4" t="s">
        <v>4137</v>
      </c>
      <c r="B117" s="7" t="s">
        <v>479</v>
      </c>
      <c r="C117" s="7" t="s">
        <v>3238</v>
      </c>
      <c r="D117" s="5">
        <v>10</v>
      </c>
      <c r="E117" s="7" t="str">
        <f>_xlfn.XLOOKUP(B117,Customers!A117:A1116,Customers!B117:B1116,"Customer Not Found",0)</f>
        <v>Customer_157</v>
      </c>
      <c r="F117" s="7" t="str">
        <f>_xlfn.XLOOKUP(Orders!B117,Customers!A117:A1116,Customers!C117:C1116,"Country not Found",0)</f>
        <v>Nigeria</v>
      </c>
      <c r="G117" s="7" t="str">
        <f>_xlfn.XLOOKUP(C117,Products!A117:A616,Products!B117:B616,"Product Missing",0)</f>
        <v>Product Missing</v>
      </c>
      <c r="H117" s="7" t="str">
        <f>_xlfn.XLOOKUP(C117,Products!A117:A616,Products!C117:C616,"Category Missing",0)</f>
        <v>Category Missing</v>
      </c>
      <c r="I117" s="11" t="str">
        <f>_xlfn.XLOOKUP(Orders!C117,Products!A117:A616,Products!D117:D616,"Price Missing",0)</f>
        <v>Price Missing</v>
      </c>
      <c r="J117" s="19">
        <f t="shared" si="1"/>
        <v>0</v>
      </c>
    </row>
    <row r="118" spans="1:10" x14ac:dyDescent="0.35">
      <c r="A118" s="4" t="s">
        <v>4138</v>
      </c>
      <c r="B118" s="7" t="s">
        <v>2891</v>
      </c>
      <c r="C118" s="7" t="s">
        <v>3850</v>
      </c>
      <c r="D118" s="5">
        <v>2</v>
      </c>
      <c r="E118" s="7" t="str">
        <f>_xlfn.XLOOKUP(B118,Customers!A118:A1117,Customers!B118:B1117,"Customer Not Found",0)</f>
        <v>Customer_961</v>
      </c>
      <c r="F118" s="7" t="str">
        <f>_xlfn.XLOOKUP(Orders!B118,Customers!A118:A1117,Customers!C118:C1117,"Country not Found",0)</f>
        <v>USA</v>
      </c>
      <c r="G118" s="7" t="str">
        <f>_xlfn.XLOOKUP(C118,Products!A118:A617,Products!B118:B617,"Product Missing",0)</f>
        <v>Product_416</v>
      </c>
      <c r="H118" s="7" t="str">
        <f>_xlfn.XLOOKUP(C118,Products!A118:A617,Products!C118:C617,"Category Missing",0)</f>
        <v>Home</v>
      </c>
      <c r="I118" s="11">
        <f>_xlfn.XLOOKUP(Orders!C118,Products!A118:A617,Products!D118:D617,"Price Missing",0)</f>
        <v>447.74</v>
      </c>
      <c r="J118" s="19">
        <f t="shared" si="1"/>
        <v>895.48</v>
      </c>
    </row>
    <row r="119" spans="1:10" x14ac:dyDescent="0.35">
      <c r="A119" s="4" t="s">
        <v>4139</v>
      </c>
      <c r="B119" s="7" t="s">
        <v>1553</v>
      </c>
      <c r="C119" s="7" t="s">
        <v>3326</v>
      </c>
      <c r="D119" s="5">
        <v>1</v>
      </c>
      <c r="E119" s="7" t="str">
        <f>_xlfn.XLOOKUP(B119,Customers!A119:A1118,Customers!B119:B1118,"Customer Not Found",0)</f>
        <v>Customer_515</v>
      </c>
      <c r="F119" s="7" t="str">
        <f>_xlfn.XLOOKUP(Orders!B119,Customers!A119:A1118,Customers!C119:C1118,"Country not Found",0)</f>
        <v>Ghana</v>
      </c>
      <c r="G119" s="7" t="str">
        <f>_xlfn.XLOOKUP(C119,Products!A119:A618,Products!B119:B618,"Product Missing",0)</f>
        <v>Product_154</v>
      </c>
      <c r="H119" s="7" t="str">
        <f>_xlfn.XLOOKUP(C119,Products!A119:A618,Products!C119:C618,"Category Missing",0)</f>
        <v>Clothing</v>
      </c>
      <c r="I119" s="11">
        <f>_xlfn.XLOOKUP(Orders!C119,Products!A119:A618,Products!D119:D618,"Price Missing",0)</f>
        <v>109.7</v>
      </c>
      <c r="J119" s="19">
        <f t="shared" si="1"/>
        <v>109.7</v>
      </c>
    </row>
    <row r="120" spans="1:10" x14ac:dyDescent="0.35">
      <c r="A120" s="4" t="s">
        <v>4140</v>
      </c>
      <c r="B120" s="7" t="s">
        <v>1013</v>
      </c>
      <c r="C120" s="7" t="s">
        <v>3374</v>
      </c>
      <c r="D120" s="5">
        <v>9</v>
      </c>
      <c r="E120" s="7" t="str">
        <f>_xlfn.XLOOKUP(B120,Customers!A120:A1119,Customers!B120:B1119,"Customer Not Found",0)</f>
        <v>Customer_335</v>
      </c>
      <c r="F120" s="7" t="str">
        <f>_xlfn.XLOOKUP(Orders!B120,Customers!A120:A1119,Customers!C120:C1119,"Country not Found",0)</f>
        <v>Nigeria</v>
      </c>
      <c r="G120" s="7" t="str">
        <f>_xlfn.XLOOKUP(C120,Products!A120:A619,Products!B120:B619,"Product Missing",0)</f>
        <v>Product_178</v>
      </c>
      <c r="H120" s="7" t="str">
        <f>_xlfn.XLOOKUP(C120,Products!A120:A619,Products!C120:C619,"Category Missing",0)</f>
        <v>Clothing</v>
      </c>
      <c r="I120" s="11">
        <f>_xlfn.XLOOKUP(Orders!C120,Products!A120:A619,Products!D120:D619,"Price Missing",0)</f>
        <v>217.94</v>
      </c>
      <c r="J120" s="19">
        <f t="shared" si="1"/>
        <v>1961.46</v>
      </c>
    </row>
    <row r="121" spans="1:10" x14ac:dyDescent="0.35">
      <c r="A121" s="4" t="s">
        <v>4141</v>
      </c>
      <c r="B121" s="7" t="s">
        <v>2357</v>
      </c>
      <c r="C121" s="7" t="s">
        <v>3250</v>
      </c>
      <c r="D121" s="5">
        <v>5</v>
      </c>
      <c r="E121" s="7" t="str">
        <f>_xlfn.XLOOKUP(B121,Customers!A121:A1120,Customers!B121:B1120,"Customer Not Found",0)</f>
        <v>Customer_783</v>
      </c>
      <c r="F121" s="7" t="str">
        <f>_xlfn.XLOOKUP(Orders!B121,Customers!A121:A1120,Customers!C121:C1120,"Country not Found",0)</f>
        <v>Nigeria</v>
      </c>
      <c r="G121" s="7" t="str">
        <f>_xlfn.XLOOKUP(C121,Products!A121:A620,Products!B121:B620,"Product Missing",0)</f>
        <v>Product Missing</v>
      </c>
      <c r="H121" s="7" t="str">
        <f>_xlfn.XLOOKUP(C121,Products!A121:A620,Products!C121:C620,"Category Missing",0)</f>
        <v>Category Missing</v>
      </c>
      <c r="I121" s="11" t="str">
        <f>_xlfn.XLOOKUP(Orders!C121,Products!A121:A620,Products!D121:D620,"Price Missing",0)</f>
        <v>Price Missing</v>
      </c>
      <c r="J121" s="19">
        <f t="shared" si="1"/>
        <v>0</v>
      </c>
    </row>
    <row r="122" spans="1:10" x14ac:dyDescent="0.35">
      <c r="A122" s="4" t="s">
        <v>4142</v>
      </c>
      <c r="B122" s="7" t="s">
        <v>1283</v>
      </c>
      <c r="C122" s="7" t="s">
        <v>3570</v>
      </c>
      <c r="D122" s="5">
        <v>3</v>
      </c>
      <c r="E122" s="7" t="str">
        <f>_xlfn.XLOOKUP(B122,Customers!A122:A1121,Customers!B122:B1121,"Customer Not Found",0)</f>
        <v>Customer_425</v>
      </c>
      <c r="F122" s="7" t="str">
        <f>_xlfn.XLOOKUP(Orders!B122,Customers!A122:A1121,Customers!C122:C1121,"Country not Found",0)</f>
        <v>USA</v>
      </c>
      <c r="G122" s="7" t="str">
        <f>_xlfn.XLOOKUP(C122,Products!A122:A621,Products!B122:B621,"Product Missing",0)</f>
        <v>Product_276</v>
      </c>
      <c r="H122" s="7" t="str">
        <f>_xlfn.XLOOKUP(C122,Products!A122:A621,Products!C122:C621,"Category Missing",0)</f>
        <v>Home</v>
      </c>
      <c r="I122" s="11">
        <f>_xlfn.XLOOKUP(Orders!C122,Products!A122:A621,Products!D122:D621,"Price Missing",0)</f>
        <v>494.01</v>
      </c>
      <c r="J122" s="19">
        <f t="shared" si="1"/>
        <v>1482.03</v>
      </c>
    </row>
    <row r="123" spans="1:10" x14ac:dyDescent="0.35">
      <c r="A123" s="4" t="s">
        <v>4143</v>
      </c>
      <c r="B123" s="7" t="s">
        <v>1022</v>
      </c>
      <c r="C123" s="7" t="s">
        <v>3958</v>
      </c>
      <c r="D123" s="5">
        <v>1</v>
      </c>
      <c r="E123" s="7" t="str">
        <f>_xlfn.XLOOKUP(B123,Customers!A123:A1122,Customers!B123:B1122,"Customer Not Found",0)</f>
        <v>Customer_338</v>
      </c>
      <c r="F123" s="7" t="str">
        <f>_xlfn.XLOOKUP(Orders!B123,Customers!A123:A1122,Customers!C123:C1122,"Country not Found",0)</f>
        <v>Canada</v>
      </c>
      <c r="G123" s="7" t="str">
        <f>_xlfn.XLOOKUP(C123,Products!A123:A622,Products!B123:B622,"Product Missing",0)</f>
        <v>Product_470</v>
      </c>
      <c r="H123" s="7" t="str">
        <f>_xlfn.XLOOKUP(C123,Products!A123:A622,Products!C123:C622,"Category Missing",0)</f>
        <v>Food</v>
      </c>
      <c r="I123" s="11">
        <f>_xlfn.XLOOKUP(Orders!C123,Products!A123:A622,Products!D123:D622,"Price Missing",0)</f>
        <v>127.36</v>
      </c>
      <c r="J123" s="19">
        <f t="shared" si="1"/>
        <v>127.36</v>
      </c>
    </row>
    <row r="124" spans="1:10" x14ac:dyDescent="0.35">
      <c r="A124" s="4" t="s">
        <v>4144</v>
      </c>
      <c r="B124" s="7" t="s">
        <v>1304</v>
      </c>
      <c r="C124" s="7" t="s">
        <v>3716</v>
      </c>
      <c r="D124" s="5">
        <v>8</v>
      </c>
      <c r="E124" s="7" t="str">
        <f>_xlfn.XLOOKUP(B124,Customers!A124:A1123,Customers!B124:B1123,"Customer Not Found",0)</f>
        <v>Customer_432</v>
      </c>
      <c r="F124" s="7" t="str">
        <f>_xlfn.XLOOKUP(Orders!B124,Customers!A124:A1123,Customers!C124:C1123,"Country not Found",0)</f>
        <v>Canada</v>
      </c>
      <c r="G124" s="7" t="str">
        <f>_xlfn.XLOOKUP(C124,Products!A124:A623,Products!B124:B623,"Product Missing",0)</f>
        <v>Product_349</v>
      </c>
      <c r="H124" s="7" t="str">
        <f>_xlfn.XLOOKUP(C124,Products!A124:A623,Products!C124:C623,"Category Missing",0)</f>
        <v>Clothing</v>
      </c>
      <c r="I124" s="11">
        <f>_xlfn.XLOOKUP(Orders!C124,Products!A124:A623,Products!D124:D623,"Price Missing",0)</f>
        <v>372.7</v>
      </c>
      <c r="J124" s="19">
        <f t="shared" si="1"/>
        <v>2981.6</v>
      </c>
    </row>
    <row r="125" spans="1:10" x14ac:dyDescent="0.35">
      <c r="A125" s="4" t="s">
        <v>4145</v>
      </c>
      <c r="B125" s="7" t="s">
        <v>302</v>
      </c>
      <c r="C125" s="7" t="s">
        <v>3072</v>
      </c>
      <c r="D125" s="5">
        <v>4</v>
      </c>
      <c r="E125" s="7" t="str">
        <f>_xlfn.XLOOKUP(B125,Customers!A125:A1124,Customers!B125:B1124,"Customer Not Found",0)</f>
        <v>Customer Not Found</v>
      </c>
      <c r="F125" s="7" t="str">
        <f>_xlfn.XLOOKUP(Orders!B125,Customers!A125:A1124,Customers!C125:C1124,"Country not Found",0)</f>
        <v>Country not Found</v>
      </c>
      <c r="G125" s="7" t="str">
        <f>_xlfn.XLOOKUP(C125,Products!A125:A624,Products!B125:B624,"Product Missing",0)</f>
        <v>Product Missing</v>
      </c>
      <c r="H125" s="7" t="str">
        <f>_xlfn.XLOOKUP(C125,Products!A125:A624,Products!C125:C624,"Category Missing",0)</f>
        <v>Category Missing</v>
      </c>
      <c r="I125" s="11" t="str">
        <f>_xlfn.XLOOKUP(Orders!C125,Products!A125:A624,Products!D125:D624,"Price Missing",0)</f>
        <v>Price Missing</v>
      </c>
      <c r="J125" s="19">
        <f t="shared" si="1"/>
        <v>0</v>
      </c>
    </row>
    <row r="126" spans="1:10" x14ac:dyDescent="0.35">
      <c r="A126" s="4" t="s">
        <v>4146</v>
      </c>
      <c r="B126" s="7" t="s">
        <v>683</v>
      </c>
      <c r="C126" s="7" t="s">
        <v>3656</v>
      </c>
      <c r="D126" s="5">
        <v>2</v>
      </c>
      <c r="E126" s="7" t="str">
        <f>_xlfn.XLOOKUP(B126,Customers!A126:A1125,Customers!B126:B1125,"Customer Not Found",0)</f>
        <v>Customer_225</v>
      </c>
      <c r="F126" s="7" t="str">
        <f>_xlfn.XLOOKUP(Orders!B126,Customers!A126:A1125,Customers!C126:C1125,"Country not Found",0)</f>
        <v>Ghana</v>
      </c>
      <c r="G126" s="7" t="str">
        <f>_xlfn.XLOOKUP(C126,Products!A126:A625,Products!B126:B625,"Product Missing",0)</f>
        <v>Product_319</v>
      </c>
      <c r="H126" s="7" t="str">
        <f>_xlfn.XLOOKUP(C126,Products!A126:A625,Products!C126:C625,"Category Missing",0)</f>
        <v>Clothing</v>
      </c>
      <c r="I126" s="11">
        <f>_xlfn.XLOOKUP(Orders!C126,Products!A126:A625,Products!D126:D625,"Price Missing",0)</f>
        <v>370.98</v>
      </c>
      <c r="J126" s="19">
        <f t="shared" si="1"/>
        <v>741.96</v>
      </c>
    </row>
    <row r="127" spans="1:10" x14ac:dyDescent="0.35">
      <c r="A127" s="4" t="s">
        <v>4147</v>
      </c>
      <c r="B127" s="7" t="s">
        <v>236</v>
      </c>
      <c r="C127" s="7" t="s">
        <v>3746</v>
      </c>
      <c r="D127" s="5">
        <v>8</v>
      </c>
      <c r="E127" s="7" t="str">
        <f>_xlfn.XLOOKUP(B127,Customers!A127:A1126,Customers!B127:B1126,"Customer Not Found",0)</f>
        <v>Customer Not Found</v>
      </c>
      <c r="F127" s="7" t="str">
        <f>_xlfn.XLOOKUP(Orders!B127,Customers!A127:A1126,Customers!C127:C1126,"Country not Found",0)</f>
        <v>Country not Found</v>
      </c>
      <c r="G127" s="7" t="str">
        <f>_xlfn.XLOOKUP(C127,Products!A127:A626,Products!B127:B626,"Product Missing",0)</f>
        <v>Product_364</v>
      </c>
      <c r="H127" s="7" t="str">
        <f>_xlfn.XLOOKUP(C127,Products!A127:A626,Products!C127:C626,"Category Missing",0)</f>
        <v>Food</v>
      </c>
      <c r="I127" s="11">
        <f>_xlfn.XLOOKUP(Orders!C127,Products!A127:A626,Products!D127:D626,"Price Missing",0)</f>
        <v>425.62</v>
      </c>
      <c r="J127" s="19">
        <f t="shared" si="1"/>
        <v>3404.96</v>
      </c>
    </row>
    <row r="128" spans="1:10" x14ac:dyDescent="0.35">
      <c r="A128" s="4" t="s">
        <v>4148</v>
      </c>
      <c r="B128" s="7" t="s">
        <v>3002</v>
      </c>
      <c r="C128" s="7" t="s">
        <v>3454</v>
      </c>
      <c r="D128" s="5">
        <v>2</v>
      </c>
      <c r="E128" s="7" t="str">
        <f>_xlfn.XLOOKUP(B128,Customers!A128:A1127,Customers!B128:B1127,"Customer Not Found",0)</f>
        <v>Customer_998</v>
      </c>
      <c r="F128" s="7" t="str">
        <f>_xlfn.XLOOKUP(Orders!B128,Customers!A128:A1127,Customers!C128:C1127,"Country not Found",0)</f>
        <v>Ghana</v>
      </c>
      <c r="G128" s="7" t="str">
        <f>_xlfn.XLOOKUP(C128,Products!A128:A627,Products!B128:B627,"Product Missing",0)</f>
        <v>Product_218</v>
      </c>
      <c r="H128" s="7" t="str">
        <f>_xlfn.XLOOKUP(C128,Products!A128:A627,Products!C128:C627,"Category Missing",0)</f>
        <v>Electronics</v>
      </c>
      <c r="I128" s="11">
        <f>_xlfn.XLOOKUP(Orders!C128,Products!A128:A627,Products!D128:D627,"Price Missing",0)</f>
        <v>437.16</v>
      </c>
      <c r="J128" s="19">
        <f t="shared" si="1"/>
        <v>874.32</v>
      </c>
    </row>
    <row r="129" spans="1:10" x14ac:dyDescent="0.35">
      <c r="A129" s="4" t="s">
        <v>4149</v>
      </c>
      <c r="B129" s="7" t="s">
        <v>2015</v>
      </c>
      <c r="C129" s="7" t="s">
        <v>3192</v>
      </c>
      <c r="D129" s="5">
        <v>7</v>
      </c>
      <c r="E129" s="7" t="str">
        <f>_xlfn.XLOOKUP(B129,Customers!A129:A1128,Customers!B129:B1128,"Customer Not Found",0)</f>
        <v>Customer_669</v>
      </c>
      <c r="F129" s="7" t="str">
        <f>_xlfn.XLOOKUP(Orders!B129,Customers!A129:A1128,Customers!C129:C1128,"Country not Found",0)</f>
        <v>Canada</v>
      </c>
      <c r="G129" s="7" t="str">
        <f>_xlfn.XLOOKUP(C129,Products!A129:A628,Products!B129:B628,"Product Missing",0)</f>
        <v>Product Missing</v>
      </c>
      <c r="H129" s="7" t="str">
        <f>_xlfn.XLOOKUP(C129,Products!A129:A628,Products!C129:C628,"Category Missing",0)</f>
        <v>Category Missing</v>
      </c>
      <c r="I129" s="11" t="str">
        <f>_xlfn.XLOOKUP(Orders!C129,Products!A129:A628,Products!D129:D628,"Price Missing",0)</f>
        <v>Price Missing</v>
      </c>
      <c r="J129" s="19">
        <f t="shared" si="1"/>
        <v>0</v>
      </c>
    </row>
    <row r="130" spans="1:10" x14ac:dyDescent="0.35">
      <c r="A130" s="4" t="s">
        <v>4150</v>
      </c>
      <c r="B130" s="7" t="s">
        <v>908</v>
      </c>
      <c r="C130" s="7" t="s">
        <v>3422</v>
      </c>
      <c r="D130" s="5">
        <v>8</v>
      </c>
      <c r="E130" s="7" t="str">
        <f>_xlfn.XLOOKUP(B130,Customers!A130:A1129,Customers!B130:B1129,"Customer Not Found",0)</f>
        <v>Customer_300</v>
      </c>
      <c r="F130" s="7" t="str">
        <f>_xlfn.XLOOKUP(Orders!B130,Customers!A130:A1129,Customers!C130:C1129,"Country not Found",0)</f>
        <v>USA</v>
      </c>
      <c r="G130" s="7" t="str">
        <f>_xlfn.XLOOKUP(C130,Products!A130:A629,Products!B130:B629,"Product Missing",0)</f>
        <v>Product_202</v>
      </c>
      <c r="H130" s="7" t="str">
        <f>_xlfn.XLOOKUP(C130,Products!A130:A629,Products!C130:C629,"Category Missing",0)</f>
        <v>Clothing</v>
      </c>
      <c r="I130" s="11">
        <f>_xlfn.XLOOKUP(Orders!C130,Products!A130:A629,Products!D130:D629,"Price Missing",0)</f>
        <v>41.94</v>
      </c>
      <c r="J130" s="19">
        <f t="shared" si="1"/>
        <v>335.52</v>
      </c>
    </row>
    <row r="131" spans="1:10" x14ac:dyDescent="0.35">
      <c r="A131" s="4" t="s">
        <v>4151</v>
      </c>
      <c r="B131" s="7" t="s">
        <v>1952</v>
      </c>
      <c r="C131" s="7" t="s">
        <v>3056</v>
      </c>
      <c r="D131" s="5">
        <v>2</v>
      </c>
      <c r="E131" s="7" t="str">
        <f>_xlfn.XLOOKUP(B131,Customers!A131:A1130,Customers!B131:B1130,"Customer Not Found",0)</f>
        <v>Customer_648</v>
      </c>
      <c r="F131" s="7" t="str">
        <f>_xlfn.XLOOKUP(Orders!B131,Customers!A131:A1130,Customers!C131:C1130,"Country not Found",0)</f>
        <v>USA</v>
      </c>
      <c r="G131" s="7" t="str">
        <f>_xlfn.XLOOKUP(C131,Products!A131:A630,Products!B131:B630,"Product Missing",0)</f>
        <v>Product Missing</v>
      </c>
      <c r="H131" s="7" t="str">
        <f>_xlfn.XLOOKUP(C131,Products!A131:A630,Products!C131:C630,"Category Missing",0)</f>
        <v>Category Missing</v>
      </c>
      <c r="I131" s="11" t="str">
        <f>_xlfn.XLOOKUP(Orders!C131,Products!A131:A630,Products!D131:D630,"Price Missing",0)</f>
        <v>Price Missing</v>
      </c>
      <c r="J131" s="19">
        <f t="shared" ref="J131:J194" si="2">IFERROR(I131*D131,0)</f>
        <v>0</v>
      </c>
    </row>
    <row r="132" spans="1:10" x14ac:dyDescent="0.35">
      <c r="A132" s="4" t="s">
        <v>4152</v>
      </c>
      <c r="B132" s="7" t="s">
        <v>1274</v>
      </c>
      <c r="C132" s="7" t="s">
        <v>3714</v>
      </c>
      <c r="D132" s="5">
        <v>10</v>
      </c>
      <c r="E132" s="7" t="str">
        <f>_xlfn.XLOOKUP(B132,Customers!A132:A1131,Customers!B132:B1131,"Customer Not Found",0)</f>
        <v>Customer_422</v>
      </c>
      <c r="F132" s="7" t="str">
        <f>_xlfn.XLOOKUP(Orders!B132,Customers!A132:A1131,Customers!C132:C1131,"Country not Found",0)</f>
        <v>South Africa</v>
      </c>
      <c r="G132" s="7" t="str">
        <f>_xlfn.XLOOKUP(C132,Products!A132:A631,Products!B132:B631,"Product Missing",0)</f>
        <v>Product_348</v>
      </c>
      <c r="H132" s="7" t="str">
        <f>_xlfn.XLOOKUP(C132,Products!A132:A631,Products!C132:C631,"Category Missing",0)</f>
        <v>Sports</v>
      </c>
      <c r="I132" s="11">
        <f>_xlfn.XLOOKUP(Orders!C132,Products!A132:A631,Products!D132:D631,"Price Missing",0)</f>
        <v>37.74</v>
      </c>
      <c r="J132" s="19">
        <f t="shared" si="2"/>
        <v>377.40000000000003</v>
      </c>
    </row>
    <row r="133" spans="1:10" x14ac:dyDescent="0.35">
      <c r="A133" s="4" t="s">
        <v>4153</v>
      </c>
      <c r="B133" s="7" t="s">
        <v>170</v>
      </c>
      <c r="C133" s="7" t="s">
        <v>3282</v>
      </c>
      <c r="D133" s="5">
        <v>8</v>
      </c>
      <c r="E133" s="7" t="str">
        <f>_xlfn.XLOOKUP(B133,Customers!A133:A1132,Customers!B133:B1132,"Customer Not Found",0)</f>
        <v>Customer Not Found</v>
      </c>
      <c r="F133" s="7" t="str">
        <f>_xlfn.XLOOKUP(Orders!B133,Customers!A133:A1132,Customers!C133:C1132,"Country not Found",0)</f>
        <v>Country not Found</v>
      </c>
      <c r="G133" s="7" t="str">
        <f>_xlfn.XLOOKUP(C133,Products!A133:A632,Products!B133:B632,"Product Missing",0)</f>
        <v>Product_132</v>
      </c>
      <c r="H133" s="7" t="str">
        <f>_xlfn.XLOOKUP(C133,Products!A133:A632,Products!C133:C632,"Category Missing",0)</f>
        <v>Electronics</v>
      </c>
      <c r="I133" s="11">
        <f>_xlfn.XLOOKUP(Orders!C133,Products!A133:A632,Products!D133:D632,"Price Missing",0)</f>
        <v>463.91</v>
      </c>
      <c r="J133" s="19">
        <f t="shared" si="2"/>
        <v>3711.28</v>
      </c>
    </row>
    <row r="134" spans="1:10" x14ac:dyDescent="0.35">
      <c r="A134" s="4" t="s">
        <v>4154</v>
      </c>
      <c r="B134" s="7" t="s">
        <v>620</v>
      </c>
      <c r="C134" s="7" t="s">
        <v>3946</v>
      </c>
      <c r="D134" s="5">
        <v>2</v>
      </c>
      <c r="E134" s="7" t="str">
        <f>_xlfn.XLOOKUP(B134,Customers!A134:A1133,Customers!B134:B1133,"Customer Not Found",0)</f>
        <v>Customer_204</v>
      </c>
      <c r="F134" s="7" t="str">
        <f>_xlfn.XLOOKUP(Orders!B134,Customers!A134:A1133,Customers!C134:C1133,"Country not Found",0)</f>
        <v>Ghana</v>
      </c>
      <c r="G134" s="7" t="str">
        <f>_xlfn.XLOOKUP(C134,Products!A134:A633,Products!B134:B633,"Product Missing",0)</f>
        <v>Product_464</v>
      </c>
      <c r="H134" s="7" t="str">
        <f>_xlfn.XLOOKUP(C134,Products!A134:A633,Products!C134:C633,"Category Missing",0)</f>
        <v>Food</v>
      </c>
      <c r="I134" s="11">
        <f>_xlfn.XLOOKUP(Orders!C134,Products!A134:A633,Products!D134:D633,"Price Missing",0)</f>
        <v>290.42</v>
      </c>
      <c r="J134" s="19">
        <f t="shared" si="2"/>
        <v>580.84</v>
      </c>
    </row>
    <row r="135" spans="1:10" x14ac:dyDescent="0.35">
      <c r="A135" s="4" t="s">
        <v>4155</v>
      </c>
      <c r="B135" s="7" t="s">
        <v>347</v>
      </c>
      <c r="C135" s="7" t="s">
        <v>3372</v>
      </c>
      <c r="D135" s="5">
        <v>8</v>
      </c>
      <c r="E135" s="7" t="str">
        <f>_xlfn.XLOOKUP(B135,Customers!A135:A1134,Customers!B135:B1134,"Customer Not Found",0)</f>
        <v>Customer Not Found</v>
      </c>
      <c r="F135" s="7" t="str">
        <f>_xlfn.XLOOKUP(Orders!B135,Customers!A135:A1134,Customers!C135:C1134,"Country not Found",0)</f>
        <v>Country not Found</v>
      </c>
      <c r="G135" s="7" t="str">
        <f>_xlfn.XLOOKUP(C135,Products!A135:A634,Products!B135:B634,"Product Missing",0)</f>
        <v>Product_177</v>
      </c>
      <c r="H135" s="7" t="str">
        <f>_xlfn.XLOOKUP(C135,Products!A135:A634,Products!C135:C634,"Category Missing",0)</f>
        <v>Clothing</v>
      </c>
      <c r="I135" s="11">
        <f>_xlfn.XLOOKUP(Orders!C135,Products!A135:A634,Products!D135:D634,"Price Missing",0)</f>
        <v>80.099999999999994</v>
      </c>
      <c r="J135" s="19">
        <f t="shared" si="2"/>
        <v>640.79999999999995</v>
      </c>
    </row>
    <row r="136" spans="1:10" x14ac:dyDescent="0.35">
      <c r="A136" s="4" t="s">
        <v>4156</v>
      </c>
      <c r="B136" s="7" t="s">
        <v>1415</v>
      </c>
      <c r="C136" s="7" t="s">
        <v>3510</v>
      </c>
      <c r="D136" s="5">
        <v>3</v>
      </c>
      <c r="E136" s="7" t="str">
        <f>_xlfn.XLOOKUP(B136,Customers!A136:A1135,Customers!B136:B1135,"Customer Not Found",0)</f>
        <v>Customer_469</v>
      </c>
      <c r="F136" s="7" t="str">
        <f>_xlfn.XLOOKUP(Orders!B136,Customers!A136:A1135,Customers!C136:C1135,"Country not Found",0)</f>
        <v>Nigeria</v>
      </c>
      <c r="G136" s="7" t="str">
        <f>_xlfn.XLOOKUP(C136,Products!A136:A635,Products!B136:B635,"Product Missing",0)</f>
        <v>Product_246</v>
      </c>
      <c r="H136" s="7" t="str">
        <f>_xlfn.XLOOKUP(C136,Products!A136:A635,Products!C136:C635,"Category Missing",0)</f>
        <v>Home</v>
      </c>
      <c r="I136" s="11">
        <f>_xlfn.XLOOKUP(Orders!C136,Products!A136:A635,Products!D136:D635,"Price Missing",0)</f>
        <v>423.48</v>
      </c>
      <c r="J136" s="19">
        <f t="shared" si="2"/>
        <v>1270.44</v>
      </c>
    </row>
    <row r="137" spans="1:10" x14ac:dyDescent="0.35">
      <c r="A137" s="4" t="s">
        <v>4157</v>
      </c>
      <c r="B137" s="7" t="s">
        <v>2510</v>
      </c>
      <c r="C137" s="7" t="s">
        <v>3088</v>
      </c>
      <c r="D137" s="5">
        <v>3</v>
      </c>
      <c r="E137" s="7" t="str">
        <f>_xlfn.XLOOKUP(B137,Customers!A137:A1136,Customers!B137:B1136,"Customer Not Found",0)</f>
        <v>Customer_834</v>
      </c>
      <c r="F137" s="7" t="str">
        <f>_xlfn.XLOOKUP(Orders!B137,Customers!A137:A1136,Customers!C137:C1136,"Country not Found",0)</f>
        <v>Kenya</v>
      </c>
      <c r="G137" s="7" t="str">
        <f>_xlfn.XLOOKUP(C137,Products!A137:A636,Products!B137:B636,"Product Missing",0)</f>
        <v>Product Missing</v>
      </c>
      <c r="H137" s="7" t="str">
        <f>_xlfn.XLOOKUP(C137,Products!A137:A636,Products!C137:C636,"Category Missing",0)</f>
        <v>Category Missing</v>
      </c>
      <c r="I137" s="11" t="str">
        <f>_xlfn.XLOOKUP(Orders!C137,Products!A137:A636,Products!D137:D636,"Price Missing",0)</f>
        <v>Price Missing</v>
      </c>
      <c r="J137" s="19">
        <f t="shared" si="2"/>
        <v>0</v>
      </c>
    </row>
    <row r="138" spans="1:10" x14ac:dyDescent="0.35">
      <c r="A138" s="4" t="s">
        <v>4158</v>
      </c>
      <c r="B138" s="7" t="s">
        <v>161</v>
      </c>
      <c r="C138" s="7" t="s">
        <v>3688</v>
      </c>
      <c r="D138" s="5">
        <v>7</v>
      </c>
      <c r="E138" s="7" t="str">
        <f>_xlfn.XLOOKUP(B138,Customers!A138:A1137,Customers!B138:B1137,"Customer Not Found",0)</f>
        <v>Customer Not Found</v>
      </c>
      <c r="F138" s="7" t="str">
        <f>_xlfn.XLOOKUP(Orders!B138,Customers!A138:A1137,Customers!C138:C1137,"Country not Found",0)</f>
        <v>Country not Found</v>
      </c>
      <c r="G138" s="7" t="str">
        <f>_xlfn.XLOOKUP(C138,Products!A138:A637,Products!B138:B637,"Product Missing",0)</f>
        <v>Product_335</v>
      </c>
      <c r="H138" s="7" t="str">
        <f>_xlfn.XLOOKUP(C138,Products!A138:A637,Products!C138:C637,"Category Missing",0)</f>
        <v>Electronics</v>
      </c>
      <c r="I138" s="11">
        <f>_xlfn.XLOOKUP(Orders!C138,Products!A138:A637,Products!D138:D637,"Price Missing",0)</f>
        <v>276.16000000000003</v>
      </c>
      <c r="J138" s="19">
        <f t="shared" si="2"/>
        <v>1933.1200000000001</v>
      </c>
    </row>
    <row r="139" spans="1:10" x14ac:dyDescent="0.35">
      <c r="A139" s="4" t="s">
        <v>4159</v>
      </c>
      <c r="B139" s="7" t="s">
        <v>1919</v>
      </c>
      <c r="C139" s="7" t="s">
        <v>3228</v>
      </c>
      <c r="D139" s="5">
        <v>9</v>
      </c>
      <c r="E139" s="7" t="str">
        <f>_xlfn.XLOOKUP(B139,Customers!A139:A1138,Customers!B139:B1138,"Customer Not Found",0)</f>
        <v>Customer_637</v>
      </c>
      <c r="F139" s="7" t="str">
        <f>_xlfn.XLOOKUP(Orders!B139,Customers!A139:A1138,Customers!C139:C1138,"Country not Found",0)</f>
        <v>UK</v>
      </c>
      <c r="G139" s="7" t="str">
        <f>_xlfn.XLOOKUP(C139,Products!A139:A638,Products!B139:B638,"Product Missing",0)</f>
        <v>Product Missing</v>
      </c>
      <c r="H139" s="7" t="str">
        <f>_xlfn.XLOOKUP(C139,Products!A139:A638,Products!C139:C638,"Category Missing",0)</f>
        <v>Category Missing</v>
      </c>
      <c r="I139" s="11" t="str">
        <f>_xlfn.XLOOKUP(Orders!C139,Products!A139:A638,Products!D139:D638,"Price Missing",0)</f>
        <v>Price Missing</v>
      </c>
      <c r="J139" s="19">
        <f t="shared" si="2"/>
        <v>0</v>
      </c>
    </row>
    <row r="140" spans="1:10" x14ac:dyDescent="0.35">
      <c r="A140" s="4" t="s">
        <v>4160</v>
      </c>
      <c r="B140" s="7" t="s">
        <v>2423</v>
      </c>
      <c r="C140" s="7" t="s">
        <v>3238</v>
      </c>
      <c r="D140" s="5">
        <v>9</v>
      </c>
      <c r="E140" s="7" t="str">
        <f>_xlfn.XLOOKUP(B140,Customers!A140:A1139,Customers!B140:B1139,"Customer Not Found",0)</f>
        <v>Customer_805</v>
      </c>
      <c r="F140" s="7" t="str">
        <f>_xlfn.XLOOKUP(Orders!B140,Customers!A140:A1139,Customers!C140:C1139,"Country not Found",0)</f>
        <v>South Africa</v>
      </c>
      <c r="G140" s="7" t="str">
        <f>_xlfn.XLOOKUP(C140,Products!A140:A639,Products!B140:B639,"Product Missing",0)</f>
        <v>Product Missing</v>
      </c>
      <c r="H140" s="7" t="str">
        <f>_xlfn.XLOOKUP(C140,Products!A140:A639,Products!C140:C639,"Category Missing",0)</f>
        <v>Category Missing</v>
      </c>
      <c r="I140" s="11" t="str">
        <f>_xlfn.XLOOKUP(Orders!C140,Products!A140:A639,Products!D140:D639,"Price Missing",0)</f>
        <v>Price Missing</v>
      </c>
      <c r="J140" s="19">
        <f t="shared" si="2"/>
        <v>0</v>
      </c>
    </row>
    <row r="141" spans="1:10" x14ac:dyDescent="0.35">
      <c r="A141" s="4" t="s">
        <v>4161</v>
      </c>
      <c r="B141" s="7" t="s">
        <v>1781</v>
      </c>
      <c r="C141" s="7" t="s">
        <v>3732</v>
      </c>
      <c r="D141" s="5">
        <v>1</v>
      </c>
      <c r="E141" s="7" t="str">
        <f>_xlfn.XLOOKUP(B141,Customers!A141:A1140,Customers!B141:B1140,"Customer Not Found",0)</f>
        <v>Customer_591</v>
      </c>
      <c r="F141" s="7" t="str">
        <f>_xlfn.XLOOKUP(Orders!B141,Customers!A141:A1140,Customers!C141:C1140,"Country not Found",0)</f>
        <v>Ghana</v>
      </c>
      <c r="G141" s="7" t="str">
        <f>_xlfn.XLOOKUP(C141,Products!A141:A640,Products!B141:B640,"Product Missing",0)</f>
        <v>Product_357</v>
      </c>
      <c r="H141" s="7" t="str">
        <f>_xlfn.XLOOKUP(C141,Products!A141:A640,Products!C141:C640,"Category Missing",0)</f>
        <v>Sports</v>
      </c>
      <c r="I141" s="11">
        <f>_xlfn.XLOOKUP(Orders!C141,Products!A141:A640,Products!D141:D640,"Price Missing",0)</f>
        <v>131.62</v>
      </c>
      <c r="J141" s="19">
        <f t="shared" si="2"/>
        <v>131.62</v>
      </c>
    </row>
    <row r="142" spans="1:10" x14ac:dyDescent="0.35">
      <c r="A142" s="4" t="s">
        <v>4162</v>
      </c>
      <c r="B142" s="7" t="s">
        <v>1400</v>
      </c>
      <c r="C142" s="7" t="s">
        <v>3716</v>
      </c>
      <c r="D142" s="5">
        <v>6</v>
      </c>
      <c r="E142" s="7" t="str">
        <f>_xlfn.XLOOKUP(B142,Customers!A142:A1141,Customers!B142:B1141,"Customer Not Found",0)</f>
        <v>Customer_464</v>
      </c>
      <c r="F142" s="7" t="str">
        <f>_xlfn.XLOOKUP(Orders!B142,Customers!A142:A1141,Customers!C142:C1141,"Country not Found",0)</f>
        <v>Canada</v>
      </c>
      <c r="G142" s="7" t="str">
        <f>_xlfn.XLOOKUP(C142,Products!A142:A641,Products!B142:B641,"Product Missing",0)</f>
        <v>Product_349</v>
      </c>
      <c r="H142" s="7" t="str">
        <f>_xlfn.XLOOKUP(C142,Products!A142:A641,Products!C142:C641,"Category Missing",0)</f>
        <v>Clothing</v>
      </c>
      <c r="I142" s="11">
        <f>_xlfn.XLOOKUP(Orders!C142,Products!A142:A641,Products!D142:D641,"Price Missing",0)</f>
        <v>372.7</v>
      </c>
      <c r="J142" s="19">
        <f t="shared" si="2"/>
        <v>2236.1999999999998</v>
      </c>
    </row>
    <row r="143" spans="1:10" x14ac:dyDescent="0.35">
      <c r="A143" s="4" t="s">
        <v>4163</v>
      </c>
      <c r="B143" s="7" t="s">
        <v>800</v>
      </c>
      <c r="C143" s="7" t="s">
        <v>3538</v>
      </c>
      <c r="D143" s="5">
        <v>6</v>
      </c>
      <c r="E143" s="7" t="str">
        <f>_xlfn.XLOOKUP(B143,Customers!A143:A1142,Customers!B143:B1142,"Customer Not Found",0)</f>
        <v>Customer_264</v>
      </c>
      <c r="F143" s="7" t="str">
        <f>_xlfn.XLOOKUP(Orders!B143,Customers!A143:A1142,Customers!C143:C1142,"Country not Found",0)</f>
        <v>Canada</v>
      </c>
      <c r="G143" s="7" t="str">
        <f>_xlfn.XLOOKUP(C143,Products!A143:A642,Products!B143:B642,"Product Missing",0)</f>
        <v>Product_260</v>
      </c>
      <c r="H143" s="7" t="str">
        <f>_xlfn.XLOOKUP(C143,Products!A143:A642,Products!C143:C642,"Category Missing",0)</f>
        <v>Electronics</v>
      </c>
      <c r="I143" s="11">
        <f>_xlfn.XLOOKUP(Orders!C143,Products!A143:A642,Products!D143:D642,"Price Missing",0)</f>
        <v>474.47</v>
      </c>
      <c r="J143" s="19">
        <f t="shared" si="2"/>
        <v>2846.82</v>
      </c>
    </row>
    <row r="144" spans="1:10" x14ac:dyDescent="0.35">
      <c r="A144" s="4" t="s">
        <v>4164</v>
      </c>
      <c r="B144" s="7" t="s">
        <v>1511</v>
      </c>
      <c r="C144" s="7" t="s">
        <v>3294</v>
      </c>
      <c r="D144" s="5">
        <v>4</v>
      </c>
      <c r="E144" s="7" t="str">
        <f>_xlfn.XLOOKUP(B144,Customers!A144:A1143,Customers!B144:B1143,"Customer Not Found",0)</f>
        <v>Customer_501</v>
      </c>
      <c r="F144" s="7" t="str">
        <f>_xlfn.XLOOKUP(Orders!B144,Customers!A144:A1143,Customers!C144:C1143,"Country not Found",0)</f>
        <v>Canada</v>
      </c>
      <c r="G144" s="7" t="str">
        <f>_xlfn.XLOOKUP(C144,Products!A144:A643,Products!B144:B643,"Product Missing",0)</f>
        <v>Product Missing</v>
      </c>
      <c r="H144" s="7" t="str">
        <f>_xlfn.XLOOKUP(C144,Products!A144:A643,Products!C144:C643,"Category Missing",0)</f>
        <v>Category Missing</v>
      </c>
      <c r="I144" s="11" t="str">
        <f>_xlfn.XLOOKUP(Orders!C144,Products!A144:A643,Products!D144:D643,"Price Missing",0)</f>
        <v>Price Missing</v>
      </c>
      <c r="J144" s="19">
        <f t="shared" si="2"/>
        <v>0</v>
      </c>
    </row>
    <row r="145" spans="1:10" x14ac:dyDescent="0.35">
      <c r="A145" s="4" t="s">
        <v>4165</v>
      </c>
      <c r="B145" s="7" t="s">
        <v>1550</v>
      </c>
      <c r="C145" s="7" t="s">
        <v>3692</v>
      </c>
      <c r="D145" s="5">
        <v>7</v>
      </c>
      <c r="E145" s="7" t="str">
        <f>_xlfn.XLOOKUP(B145,Customers!A145:A1144,Customers!B145:B1144,"Customer Not Found",0)</f>
        <v>Customer_514</v>
      </c>
      <c r="F145" s="7" t="str">
        <f>_xlfn.XLOOKUP(Orders!B145,Customers!A145:A1144,Customers!C145:C1144,"Country not Found",0)</f>
        <v>Nigeria</v>
      </c>
      <c r="G145" s="7" t="str">
        <f>_xlfn.XLOOKUP(C145,Products!A145:A644,Products!B145:B644,"Product Missing",0)</f>
        <v>Product_337</v>
      </c>
      <c r="H145" s="7" t="str">
        <f>_xlfn.XLOOKUP(C145,Products!A145:A644,Products!C145:C644,"Category Missing",0)</f>
        <v>Electronics</v>
      </c>
      <c r="I145" s="11">
        <f>_xlfn.XLOOKUP(Orders!C145,Products!A145:A644,Products!D145:D644,"Price Missing",0)</f>
        <v>319.87</v>
      </c>
      <c r="J145" s="19">
        <f t="shared" si="2"/>
        <v>2239.09</v>
      </c>
    </row>
    <row r="146" spans="1:10" x14ac:dyDescent="0.35">
      <c r="A146" s="4" t="s">
        <v>4166</v>
      </c>
      <c r="B146" s="7" t="s">
        <v>2696</v>
      </c>
      <c r="C146" s="7" t="s">
        <v>3027</v>
      </c>
      <c r="D146" s="5">
        <v>9</v>
      </c>
      <c r="E146" s="7" t="str">
        <f>_xlfn.XLOOKUP(B146,Customers!A146:A1145,Customers!B146:B1145,"Customer Not Found",0)</f>
        <v>Customer_896</v>
      </c>
      <c r="F146" s="7" t="str">
        <f>_xlfn.XLOOKUP(Orders!B146,Customers!A146:A1145,Customers!C146:C1145,"Country not Found",0)</f>
        <v>UK</v>
      </c>
      <c r="G146" s="7" t="str">
        <f>_xlfn.XLOOKUP(C146,Products!A146:A645,Products!B146:B645,"Product Missing",0)</f>
        <v>Product Missing</v>
      </c>
      <c r="H146" s="7" t="str">
        <f>_xlfn.XLOOKUP(C146,Products!A146:A645,Products!C146:C645,"Category Missing",0)</f>
        <v>Category Missing</v>
      </c>
      <c r="I146" s="11" t="str">
        <f>_xlfn.XLOOKUP(Orders!C146,Products!A146:A645,Products!D146:D645,"Price Missing",0)</f>
        <v>Price Missing</v>
      </c>
      <c r="J146" s="19">
        <f t="shared" si="2"/>
        <v>0</v>
      </c>
    </row>
    <row r="147" spans="1:10" x14ac:dyDescent="0.35">
      <c r="A147" s="4" t="s">
        <v>4167</v>
      </c>
      <c r="B147" s="7" t="s">
        <v>1535</v>
      </c>
      <c r="C147" s="7" t="s">
        <v>3406</v>
      </c>
      <c r="D147" s="5">
        <v>5</v>
      </c>
      <c r="E147" s="7" t="str">
        <f>_xlfn.XLOOKUP(B147,Customers!A147:A1146,Customers!B147:B1146,"Customer Not Found",0)</f>
        <v>Customer_509</v>
      </c>
      <c r="F147" s="7" t="str">
        <f>_xlfn.XLOOKUP(Orders!B147,Customers!A147:A1146,Customers!C147:C1146,"Country not Found",0)</f>
        <v>South Africa</v>
      </c>
      <c r="G147" s="7" t="str">
        <f>_xlfn.XLOOKUP(C147,Products!A147:A646,Products!B147:B646,"Product Missing",0)</f>
        <v>Product_194</v>
      </c>
      <c r="H147" s="7" t="str">
        <f>_xlfn.XLOOKUP(C147,Products!A147:A646,Products!C147:C646,"Category Missing",0)</f>
        <v>Electronics</v>
      </c>
      <c r="I147" s="11">
        <f>_xlfn.XLOOKUP(Orders!C147,Products!A147:A646,Products!D147:D646,"Price Missing",0)</f>
        <v>461.37</v>
      </c>
      <c r="J147" s="19">
        <f t="shared" si="2"/>
        <v>2306.85</v>
      </c>
    </row>
    <row r="148" spans="1:10" x14ac:dyDescent="0.35">
      <c r="A148" s="4" t="s">
        <v>4168</v>
      </c>
      <c r="B148" s="7" t="s">
        <v>2927</v>
      </c>
      <c r="C148" s="7" t="s">
        <v>3346</v>
      </c>
      <c r="D148" s="5">
        <v>6</v>
      </c>
      <c r="E148" s="7" t="str">
        <f>_xlfn.XLOOKUP(B148,Customers!A148:A1147,Customers!B148:B1147,"Customer Not Found",0)</f>
        <v>Customer_973</v>
      </c>
      <c r="F148" s="7" t="str">
        <f>_xlfn.XLOOKUP(Orders!B148,Customers!A148:A1147,Customers!C148:C1147,"Country not Found",0)</f>
        <v>Ghana</v>
      </c>
      <c r="G148" s="7" t="str">
        <f>_xlfn.XLOOKUP(C148,Products!A148:A647,Products!B148:B647,"Product Missing",0)</f>
        <v>Product_164</v>
      </c>
      <c r="H148" s="7" t="str">
        <f>_xlfn.XLOOKUP(C148,Products!A148:A647,Products!C148:C647,"Category Missing",0)</f>
        <v>Sports</v>
      </c>
      <c r="I148" s="11">
        <f>_xlfn.XLOOKUP(Orders!C148,Products!A148:A647,Products!D148:D647,"Price Missing",0)</f>
        <v>249.55</v>
      </c>
      <c r="J148" s="19">
        <f t="shared" si="2"/>
        <v>1497.3000000000002</v>
      </c>
    </row>
    <row r="149" spans="1:10" x14ac:dyDescent="0.35">
      <c r="A149" s="4" t="s">
        <v>4169</v>
      </c>
      <c r="B149" s="7" t="s">
        <v>674</v>
      </c>
      <c r="C149" s="7" t="s">
        <v>3508</v>
      </c>
      <c r="D149" s="5">
        <v>6</v>
      </c>
      <c r="E149" s="7" t="str">
        <f>_xlfn.XLOOKUP(B149,Customers!A149:A1148,Customers!B149:B1148,"Customer Not Found",0)</f>
        <v>Customer_222</v>
      </c>
      <c r="F149" s="7" t="str">
        <f>_xlfn.XLOOKUP(Orders!B149,Customers!A149:A1148,Customers!C149:C1148,"Country not Found",0)</f>
        <v>USA</v>
      </c>
      <c r="G149" s="7" t="str">
        <f>_xlfn.XLOOKUP(C149,Products!A149:A648,Products!B149:B648,"Product Missing",0)</f>
        <v>Product_245</v>
      </c>
      <c r="H149" s="7" t="str">
        <f>_xlfn.XLOOKUP(C149,Products!A149:A648,Products!C149:C648,"Category Missing",0)</f>
        <v>Sports</v>
      </c>
      <c r="I149" s="11">
        <f>_xlfn.XLOOKUP(Orders!C149,Products!A149:A648,Products!D149:D648,"Price Missing",0)</f>
        <v>419.13</v>
      </c>
      <c r="J149" s="19">
        <f t="shared" si="2"/>
        <v>2514.7799999999997</v>
      </c>
    </row>
    <row r="150" spans="1:10" x14ac:dyDescent="0.35">
      <c r="A150" s="4" t="s">
        <v>4170</v>
      </c>
      <c r="B150" s="7" t="s">
        <v>1895</v>
      </c>
      <c r="C150" s="7" t="s">
        <v>3762</v>
      </c>
      <c r="D150" s="5">
        <v>4</v>
      </c>
      <c r="E150" s="7" t="str">
        <f>_xlfn.XLOOKUP(B150,Customers!A150:A1149,Customers!B150:B1149,"Customer Not Found",0)</f>
        <v>Customer_629</v>
      </c>
      <c r="F150" s="7" t="str">
        <f>_xlfn.XLOOKUP(Orders!B150,Customers!A150:A1149,Customers!C150:C1149,"Country not Found",0)</f>
        <v>UK</v>
      </c>
      <c r="G150" s="7" t="str">
        <f>_xlfn.XLOOKUP(C150,Products!A150:A649,Products!B150:B649,"Product Missing",0)</f>
        <v>Product_372</v>
      </c>
      <c r="H150" s="7" t="str">
        <f>_xlfn.XLOOKUP(C150,Products!A150:A649,Products!C150:C649,"Category Missing",0)</f>
        <v>Clothing</v>
      </c>
      <c r="I150" s="11">
        <f>_xlfn.XLOOKUP(Orders!C150,Products!A150:A649,Products!D150:D649,"Price Missing",0)</f>
        <v>204.68</v>
      </c>
      <c r="J150" s="19">
        <f t="shared" si="2"/>
        <v>818.72</v>
      </c>
    </row>
    <row r="151" spans="1:10" x14ac:dyDescent="0.35">
      <c r="A151" s="4" t="s">
        <v>4171</v>
      </c>
      <c r="B151" s="7" t="s">
        <v>29</v>
      </c>
      <c r="C151" s="7" t="s">
        <v>3338</v>
      </c>
      <c r="D151" s="5">
        <v>2</v>
      </c>
      <c r="E151" s="7" t="str">
        <f>_xlfn.XLOOKUP(B151,Customers!A151:A1150,Customers!B151:B1150,"Customer Not Found",0)</f>
        <v>Customer Not Found</v>
      </c>
      <c r="F151" s="7" t="str">
        <f>_xlfn.XLOOKUP(Orders!B151,Customers!A151:A1150,Customers!C151:C1150,"Country not Found",0)</f>
        <v>Country not Found</v>
      </c>
      <c r="G151" s="7" t="str">
        <f>_xlfn.XLOOKUP(C151,Products!A151:A650,Products!B151:B650,"Product Missing",0)</f>
        <v>Product_160</v>
      </c>
      <c r="H151" s="7" t="str">
        <f>_xlfn.XLOOKUP(C151,Products!A151:A650,Products!C151:C650,"Category Missing",0)</f>
        <v>Electronics</v>
      </c>
      <c r="I151" s="11">
        <f>_xlfn.XLOOKUP(Orders!C151,Products!A151:A650,Products!D151:D650,"Price Missing",0)</f>
        <v>319.02</v>
      </c>
      <c r="J151" s="19">
        <f t="shared" si="2"/>
        <v>638.04</v>
      </c>
    </row>
    <row r="152" spans="1:10" x14ac:dyDescent="0.35">
      <c r="A152" s="4" t="s">
        <v>4172</v>
      </c>
      <c r="B152" s="7" t="s">
        <v>107</v>
      </c>
      <c r="C152" s="7" t="s">
        <v>3322</v>
      </c>
      <c r="D152" s="5">
        <v>6</v>
      </c>
      <c r="E152" s="7" t="str">
        <f>_xlfn.XLOOKUP(B152,Customers!A152:A1151,Customers!B152:B1151,"Customer Not Found",0)</f>
        <v>Customer Not Found</v>
      </c>
      <c r="F152" s="7" t="str">
        <f>_xlfn.XLOOKUP(Orders!B152,Customers!A152:A1151,Customers!C152:C1151,"Country not Found",0)</f>
        <v>Country not Found</v>
      </c>
      <c r="G152" s="7" t="str">
        <f>_xlfn.XLOOKUP(C152,Products!A152:A651,Products!B152:B651,"Product Missing",0)</f>
        <v>Product_152</v>
      </c>
      <c r="H152" s="7" t="str">
        <f>_xlfn.XLOOKUP(C152,Products!A152:A651,Products!C152:C651,"Category Missing",0)</f>
        <v>Food</v>
      </c>
      <c r="I152" s="11">
        <f>_xlfn.XLOOKUP(Orders!C152,Products!A152:A651,Products!D152:D651,"Price Missing",0)</f>
        <v>23.01</v>
      </c>
      <c r="J152" s="19">
        <f t="shared" si="2"/>
        <v>138.06</v>
      </c>
    </row>
    <row r="153" spans="1:10" x14ac:dyDescent="0.35">
      <c r="A153" s="4" t="s">
        <v>4173</v>
      </c>
      <c r="B153" s="7" t="s">
        <v>2321</v>
      </c>
      <c r="C153" s="7" t="s">
        <v>3138</v>
      </c>
      <c r="D153" s="5">
        <v>1</v>
      </c>
      <c r="E153" s="7" t="str">
        <f>_xlfn.XLOOKUP(B153,Customers!A153:A1152,Customers!B153:B1152,"Customer Not Found",0)</f>
        <v>Customer_771</v>
      </c>
      <c r="F153" s="7" t="str">
        <f>_xlfn.XLOOKUP(Orders!B153,Customers!A153:A1152,Customers!C153:C1152,"Country not Found",0)</f>
        <v>Canada</v>
      </c>
      <c r="G153" s="7" t="str">
        <f>_xlfn.XLOOKUP(C153,Products!A153:A652,Products!B153:B652,"Product Missing",0)</f>
        <v>Product Missing</v>
      </c>
      <c r="H153" s="7" t="str">
        <f>_xlfn.XLOOKUP(C153,Products!A153:A652,Products!C153:C652,"Category Missing",0)</f>
        <v>Category Missing</v>
      </c>
      <c r="I153" s="11" t="str">
        <f>_xlfn.XLOOKUP(Orders!C153,Products!A153:A652,Products!D153:D652,"Price Missing",0)</f>
        <v>Price Missing</v>
      </c>
      <c r="J153" s="19">
        <f t="shared" si="2"/>
        <v>0</v>
      </c>
    </row>
    <row r="154" spans="1:10" x14ac:dyDescent="0.35">
      <c r="A154" s="4" t="s">
        <v>4174</v>
      </c>
      <c r="B154" s="7" t="s">
        <v>1532</v>
      </c>
      <c r="C154" s="7" t="s">
        <v>3764</v>
      </c>
      <c r="D154" s="5">
        <v>4</v>
      </c>
      <c r="E154" s="7" t="str">
        <f>_xlfn.XLOOKUP(B154,Customers!A154:A1153,Customers!B154:B1153,"Customer Not Found",0)</f>
        <v>Customer_508</v>
      </c>
      <c r="F154" s="7" t="str">
        <f>_xlfn.XLOOKUP(Orders!B154,Customers!A154:A1153,Customers!C154:C1153,"Country not Found",0)</f>
        <v>UK</v>
      </c>
      <c r="G154" s="7" t="str">
        <f>_xlfn.XLOOKUP(C154,Products!A154:A653,Products!B154:B653,"Product Missing",0)</f>
        <v>Product_373</v>
      </c>
      <c r="H154" s="7" t="str">
        <f>_xlfn.XLOOKUP(C154,Products!A154:A653,Products!C154:C653,"Category Missing",0)</f>
        <v>Electronics</v>
      </c>
      <c r="I154" s="11">
        <f>_xlfn.XLOOKUP(Orders!C154,Products!A154:A653,Products!D154:D653,"Price Missing",0)</f>
        <v>333.99</v>
      </c>
      <c r="J154" s="19">
        <f t="shared" si="2"/>
        <v>1335.96</v>
      </c>
    </row>
    <row r="155" spans="1:10" x14ac:dyDescent="0.35">
      <c r="A155" s="4" t="s">
        <v>4175</v>
      </c>
      <c r="B155" s="7" t="s">
        <v>1556</v>
      </c>
      <c r="C155" s="7" t="s">
        <v>3770</v>
      </c>
      <c r="D155" s="5">
        <v>7</v>
      </c>
      <c r="E155" s="7" t="str">
        <f>_xlfn.XLOOKUP(B155,Customers!A155:A1154,Customers!B155:B1154,"Customer Not Found",0)</f>
        <v>Customer_516</v>
      </c>
      <c r="F155" s="7" t="str">
        <f>_xlfn.XLOOKUP(Orders!B155,Customers!A155:A1154,Customers!C155:C1154,"Country not Found",0)</f>
        <v>USA</v>
      </c>
      <c r="G155" s="7" t="str">
        <f>_xlfn.XLOOKUP(C155,Products!A155:A654,Products!B155:B654,"Product Missing",0)</f>
        <v>Product_376</v>
      </c>
      <c r="H155" s="7" t="str">
        <f>_xlfn.XLOOKUP(C155,Products!A155:A654,Products!C155:C654,"Category Missing",0)</f>
        <v>Electronics</v>
      </c>
      <c r="I155" s="11">
        <f>_xlfn.XLOOKUP(Orders!C155,Products!A155:A654,Products!D155:D654,"Price Missing",0)</f>
        <v>279.13</v>
      </c>
      <c r="J155" s="19">
        <f t="shared" si="2"/>
        <v>1953.9099999999999</v>
      </c>
    </row>
    <row r="156" spans="1:10" x14ac:dyDescent="0.35">
      <c r="A156" s="4" t="s">
        <v>4176</v>
      </c>
      <c r="B156" s="7" t="s">
        <v>1931</v>
      </c>
      <c r="C156" s="7" t="s">
        <v>3956</v>
      </c>
      <c r="D156" s="5">
        <v>1</v>
      </c>
      <c r="E156" s="7" t="str">
        <f>_xlfn.XLOOKUP(B156,Customers!A156:A1155,Customers!B156:B1155,"Customer Not Found",0)</f>
        <v>Customer_641</v>
      </c>
      <c r="F156" s="7" t="str">
        <f>_xlfn.XLOOKUP(Orders!B156,Customers!A156:A1155,Customers!C156:C1155,"Country not Found",0)</f>
        <v>UK</v>
      </c>
      <c r="G156" s="7" t="str">
        <f>_xlfn.XLOOKUP(C156,Products!A156:A655,Products!B156:B655,"Product Missing",0)</f>
        <v>Product_469</v>
      </c>
      <c r="H156" s="7" t="str">
        <f>_xlfn.XLOOKUP(C156,Products!A156:A655,Products!C156:C655,"Category Missing",0)</f>
        <v>Home</v>
      </c>
      <c r="I156" s="11">
        <f>_xlfn.XLOOKUP(Orders!C156,Products!A156:A655,Products!D156:D655,"Price Missing",0)</f>
        <v>477.63</v>
      </c>
      <c r="J156" s="19">
        <f t="shared" si="2"/>
        <v>477.63</v>
      </c>
    </row>
    <row r="157" spans="1:10" x14ac:dyDescent="0.35">
      <c r="A157" s="4" t="s">
        <v>4177</v>
      </c>
      <c r="B157" s="7" t="s">
        <v>1787</v>
      </c>
      <c r="C157" s="7" t="s">
        <v>3328</v>
      </c>
      <c r="D157" s="5">
        <v>3</v>
      </c>
      <c r="E157" s="7" t="str">
        <f>_xlfn.XLOOKUP(B157,Customers!A157:A1156,Customers!B157:B1156,"Customer Not Found",0)</f>
        <v>Customer_593</v>
      </c>
      <c r="F157" s="7" t="str">
        <f>_xlfn.XLOOKUP(Orders!B157,Customers!A157:A1156,Customers!C157:C1156,"Country not Found",0)</f>
        <v>Kenya</v>
      </c>
      <c r="G157" s="7" t="str">
        <f>_xlfn.XLOOKUP(C157,Products!A157:A656,Products!B157:B656,"Product Missing",0)</f>
        <v>Product Missing</v>
      </c>
      <c r="H157" s="7" t="str">
        <f>_xlfn.XLOOKUP(C157,Products!A157:A656,Products!C157:C656,"Category Missing",0)</f>
        <v>Category Missing</v>
      </c>
      <c r="I157" s="11" t="str">
        <f>_xlfn.XLOOKUP(Orders!C157,Products!A157:A656,Products!D157:D656,"Price Missing",0)</f>
        <v>Price Missing</v>
      </c>
      <c r="J157" s="19">
        <f t="shared" si="2"/>
        <v>0</v>
      </c>
    </row>
    <row r="158" spans="1:10" x14ac:dyDescent="0.35">
      <c r="A158" s="4" t="s">
        <v>4178</v>
      </c>
      <c r="B158" s="7" t="s">
        <v>794</v>
      </c>
      <c r="C158" s="7" t="s">
        <v>3088</v>
      </c>
      <c r="D158" s="5">
        <v>4</v>
      </c>
      <c r="E158" s="7" t="str">
        <f>_xlfn.XLOOKUP(B158,Customers!A158:A1157,Customers!B158:B1157,"Customer Not Found",0)</f>
        <v>Customer_262</v>
      </c>
      <c r="F158" s="7" t="str">
        <f>_xlfn.XLOOKUP(Orders!B158,Customers!A158:A1157,Customers!C158:C1157,"Country not Found",0)</f>
        <v>Kenya</v>
      </c>
      <c r="G158" s="7" t="str">
        <f>_xlfn.XLOOKUP(C158,Products!A158:A657,Products!B158:B657,"Product Missing",0)</f>
        <v>Product Missing</v>
      </c>
      <c r="H158" s="7" t="str">
        <f>_xlfn.XLOOKUP(C158,Products!A158:A657,Products!C158:C657,"Category Missing",0)</f>
        <v>Category Missing</v>
      </c>
      <c r="I158" s="11" t="str">
        <f>_xlfn.XLOOKUP(Orders!C158,Products!A158:A657,Products!D158:D657,"Price Missing",0)</f>
        <v>Price Missing</v>
      </c>
      <c r="J158" s="19">
        <f t="shared" si="2"/>
        <v>0</v>
      </c>
    </row>
    <row r="159" spans="1:10" x14ac:dyDescent="0.35">
      <c r="A159" s="4" t="s">
        <v>4179</v>
      </c>
      <c r="B159" s="7" t="s">
        <v>587</v>
      </c>
      <c r="C159" s="7" t="s">
        <v>3444</v>
      </c>
      <c r="D159" s="5">
        <v>5</v>
      </c>
      <c r="E159" s="7" t="str">
        <f>_xlfn.XLOOKUP(B159,Customers!A159:A1158,Customers!B159:B1158,"Customer Not Found",0)</f>
        <v>Customer_193</v>
      </c>
      <c r="F159" s="7" t="str">
        <f>_xlfn.XLOOKUP(Orders!B159,Customers!A159:A1158,Customers!C159:C1158,"Country not Found",0)</f>
        <v>South Africa</v>
      </c>
      <c r="G159" s="7" t="str">
        <f>_xlfn.XLOOKUP(C159,Products!A159:A658,Products!B159:B658,"Product Missing",0)</f>
        <v>Product_213</v>
      </c>
      <c r="H159" s="7" t="str">
        <f>_xlfn.XLOOKUP(C159,Products!A159:A658,Products!C159:C658,"Category Missing",0)</f>
        <v>Clothing</v>
      </c>
      <c r="I159" s="11">
        <f>_xlfn.XLOOKUP(Orders!C159,Products!A159:A658,Products!D159:D658,"Price Missing",0)</f>
        <v>348.44</v>
      </c>
      <c r="J159" s="19">
        <f t="shared" si="2"/>
        <v>1742.2</v>
      </c>
    </row>
    <row r="160" spans="1:10" x14ac:dyDescent="0.35">
      <c r="A160" s="4" t="s">
        <v>4180</v>
      </c>
      <c r="B160" s="7" t="s">
        <v>1823</v>
      </c>
      <c r="C160" s="7" t="s">
        <v>3394</v>
      </c>
      <c r="D160" s="5">
        <v>9</v>
      </c>
      <c r="E160" s="7" t="str">
        <f>_xlfn.XLOOKUP(B160,Customers!A160:A1159,Customers!B160:B1159,"Customer Not Found",0)</f>
        <v>Customer_605</v>
      </c>
      <c r="F160" s="7" t="str">
        <f>_xlfn.XLOOKUP(Orders!B160,Customers!A160:A1159,Customers!C160:C1159,"Country not Found",0)</f>
        <v>Canada</v>
      </c>
      <c r="G160" s="7" t="str">
        <f>_xlfn.XLOOKUP(C160,Products!A160:A659,Products!B160:B659,"Product Missing",0)</f>
        <v>Product_188</v>
      </c>
      <c r="H160" s="7" t="str">
        <f>_xlfn.XLOOKUP(C160,Products!A160:A659,Products!C160:C659,"Category Missing",0)</f>
        <v>Home</v>
      </c>
      <c r="I160" s="11">
        <f>_xlfn.XLOOKUP(Orders!C160,Products!A160:A659,Products!D160:D659,"Price Missing",0)</f>
        <v>229.28</v>
      </c>
      <c r="J160" s="19">
        <f t="shared" si="2"/>
        <v>2063.52</v>
      </c>
    </row>
    <row r="161" spans="1:10" x14ac:dyDescent="0.35">
      <c r="A161" s="4" t="s">
        <v>4181</v>
      </c>
      <c r="B161" s="7" t="s">
        <v>1283</v>
      </c>
      <c r="C161" s="7" t="s">
        <v>3536</v>
      </c>
      <c r="D161" s="5">
        <v>8</v>
      </c>
      <c r="E161" s="7" t="str">
        <f>_xlfn.XLOOKUP(B161,Customers!A161:A1160,Customers!B161:B1160,"Customer Not Found",0)</f>
        <v>Customer_425</v>
      </c>
      <c r="F161" s="7" t="str">
        <f>_xlfn.XLOOKUP(Orders!B161,Customers!A161:A1160,Customers!C161:C1160,"Country not Found",0)</f>
        <v>USA</v>
      </c>
      <c r="G161" s="7" t="str">
        <f>_xlfn.XLOOKUP(C161,Products!A161:A660,Products!B161:B660,"Product Missing",0)</f>
        <v>Product_259</v>
      </c>
      <c r="H161" s="7" t="str">
        <f>_xlfn.XLOOKUP(C161,Products!A161:A660,Products!C161:C660,"Category Missing",0)</f>
        <v>Sports</v>
      </c>
      <c r="I161" s="11">
        <f>_xlfn.XLOOKUP(Orders!C161,Products!A161:A660,Products!D161:D660,"Price Missing",0)</f>
        <v>362.25</v>
      </c>
      <c r="J161" s="19">
        <f t="shared" si="2"/>
        <v>2898</v>
      </c>
    </row>
    <row r="162" spans="1:10" x14ac:dyDescent="0.35">
      <c r="A162" s="4" t="s">
        <v>4182</v>
      </c>
      <c r="B162" s="7" t="s">
        <v>1751</v>
      </c>
      <c r="C162" s="7" t="s">
        <v>3786</v>
      </c>
      <c r="D162" s="5">
        <v>5</v>
      </c>
      <c r="E162" s="7" t="str">
        <f>_xlfn.XLOOKUP(B162,Customers!A162:A1161,Customers!B162:B1161,"Customer Not Found",0)</f>
        <v>Customer_581</v>
      </c>
      <c r="F162" s="7" t="str">
        <f>_xlfn.XLOOKUP(Orders!B162,Customers!A162:A1161,Customers!C162:C1161,"Country not Found",0)</f>
        <v>Kenya</v>
      </c>
      <c r="G162" s="7" t="str">
        <f>_xlfn.XLOOKUP(C162,Products!A162:A661,Products!B162:B661,"Product Missing",0)</f>
        <v>Product_384</v>
      </c>
      <c r="H162" s="7" t="str">
        <f>_xlfn.XLOOKUP(C162,Products!A162:A661,Products!C162:C661,"Category Missing",0)</f>
        <v>Food</v>
      </c>
      <c r="I162" s="11">
        <f>_xlfn.XLOOKUP(Orders!C162,Products!A162:A661,Products!D162:D661,"Price Missing",0)</f>
        <v>297.32</v>
      </c>
      <c r="J162" s="19">
        <f t="shared" si="2"/>
        <v>1486.6</v>
      </c>
    </row>
    <row r="163" spans="1:10" x14ac:dyDescent="0.35">
      <c r="A163" s="4" t="s">
        <v>4183</v>
      </c>
      <c r="B163" s="7" t="s">
        <v>1100</v>
      </c>
      <c r="C163" s="7" t="s">
        <v>3694</v>
      </c>
      <c r="D163" s="5">
        <v>1</v>
      </c>
      <c r="E163" s="7" t="str">
        <f>_xlfn.XLOOKUP(B163,Customers!A163:A1162,Customers!B163:B1162,"Customer Not Found",0)</f>
        <v>Customer_364</v>
      </c>
      <c r="F163" s="7" t="str">
        <f>_xlfn.XLOOKUP(Orders!B163,Customers!A163:A1162,Customers!C163:C1162,"Country not Found",0)</f>
        <v>UK</v>
      </c>
      <c r="G163" s="7" t="str">
        <f>_xlfn.XLOOKUP(C163,Products!A163:A662,Products!B163:B662,"Product Missing",0)</f>
        <v>Product_338</v>
      </c>
      <c r="H163" s="7" t="str">
        <f>_xlfn.XLOOKUP(C163,Products!A163:A662,Products!C163:C662,"Category Missing",0)</f>
        <v>Home</v>
      </c>
      <c r="I163" s="11">
        <f>_xlfn.XLOOKUP(Orders!C163,Products!A163:A662,Products!D163:D662,"Price Missing",0)</f>
        <v>491.06</v>
      </c>
      <c r="J163" s="19">
        <f t="shared" si="2"/>
        <v>491.06</v>
      </c>
    </row>
    <row r="164" spans="1:10" x14ac:dyDescent="0.35">
      <c r="A164" s="4" t="s">
        <v>4184</v>
      </c>
      <c r="B164" s="7" t="s">
        <v>52</v>
      </c>
      <c r="C164" s="7" t="s">
        <v>3842</v>
      </c>
      <c r="D164" s="5">
        <v>10</v>
      </c>
      <c r="E164" s="7" t="str">
        <f>_xlfn.XLOOKUP(B164,Customers!A164:A1163,Customers!B164:B1163,"Customer Not Found",0)</f>
        <v>Customer Not Found</v>
      </c>
      <c r="F164" s="7" t="str">
        <f>_xlfn.XLOOKUP(Orders!B164,Customers!A164:A1163,Customers!C164:C1163,"Country not Found",0)</f>
        <v>Country not Found</v>
      </c>
      <c r="G164" s="7" t="str">
        <f>_xlfn.XLOOKUP(C164,Products!A164:A663,Products!B164:B663,"Product Missing",0)</f>
        <v>Product_412</v>
      </c>
      <c r="H164" s="7" t="str">
        <f>_xlfn.XLOOKUP(C164,Products!A164:A663,Products!C164:C663,"Category Missing",0)</f>
        <v>Sports</v>
      </c>
      <c r="I164" s="11">
        <f>_xlfn.XLOOKUP(Orders!C164,Products!A164:A663,Products!D164:D663,"Price Missing",0)</f>
        <v>244.51</v>
      </c>
      <c r="J164" s="19">
        <f t="shared" si="2"/>
        <v>2445.1</v>
      </c>
    </row>
    <row r="165" spans="1:10" x14ac:dyDescent="0.35">
      <c r="A165" s="4" t="s">
        <v>4185</v>
      </c>
      <c r="B165" s="7" t="s">
        <v>323</v>
      </c>
      <c r="C165" s="7" t="s">
        <v>3272</v>
      </c>
      <c r="D165" s="5">
        <v>9</v>
      </c>
      <c r="E165" s="7" t="str">
        <f>_xlfn.XLOOKUP(B165,Customers!A165:A1164,Customers!B165:B1164,"Customer Not Found",0)</f>
        <v>Customer Not Found</v>
      </c>
      <c r="F165" s="7" t="str">
        <f>_xlfn.XLOOKUP(Orders!B165,Customers!A165:A1164,Customers!C165:C1164,"Country not Found",0)</f>
        <v>Country not Found</v>
      </c>
      <c r="G165" s="7" t="str">
        <f>_xlfn.XLOOKUP(C165,Products!A165:A664,Products!B165:B664,"Product Missing",0)</f>
        <v>Product Missing</v>
      </c>
      <c r="H165" s="7" t="str">
        <f>_xlfn.XLOOKUP(C165,Products!A165:A664,Products!C165:C664,"Category Missing",0)</f>
        <v>Category Missing</v>
      </c>
      <c r="I165" s="11" t="str">
        <f>_xlfn.XLOOKUP(Orders!C165,Products!A165:A664,Products!D165:D664,"Price Missing",0)</f>
        <v>Price Missing</v>
      </c>
      <c r="J165" s="19">
        <f t="shared" si="2"/>
        <v>0</v>
      </c>
    </row>
    <row r="166" spans="1:10" x14ac:dyDescent="0.35">
      <c r="A166" s="4" t="s">
        <v>4186</v>
      </c>
      <c r="B166" s="7" t="s">
        <v>1613</v>
      </c>
      <c r="C166" s="7" t="s">
        <v>3350</v>
      </c>
      <c r="D166" s="5">
        <v>7</v>
      </c>
      <c r="E166" s="7" t="str">
        <f>_xlfn.XLOOKUP(B166,Customers!A166:A1165,Customers!B166:B1165,"Customer Not Found",0)</f>
        <v>Customer_535</v>
      </c>
      <c r="F166" s="7" t="str">
        <f>_xlfn.XLOOKUP(Orders!B166,Customers!A166:A1165,Customers!C166:C1165,"Country not Found",0)</f>
        <v>Ghana</v>
      </c>
      <c r="G166" s="7" t="str">
        <f>_xlfn.XLOOKUP(C166,Products!A166:A665,Products!B166:B665,"Product Missing",0)</f>
        <v>Product_166</v>
      </c>
      <c r="H166" s="7" t="str">
        <f>_xlfn.XLOOKUP(C166,Products!A166:A665,Products!C166:C665,"Category Missing",0)</f>
        <v>Electronics</v>
      </c>
      <c r="I166" s="11">
        <f>_xlfn.XLOOKUP(Orders!C166,Products!A166:A665,Products!D166:D665,"Price Missing",0)</f>
        <v>118.64</v>
      </c>
      <c r="J166" s="19">
        <f t="shared" si="2"/>
        <v>830.48</v>
      </c>
    </row>
    <row r="167" spans="1:10" x14ac:dyDescent="0.35">
      <c r="A167" s="4" t="s">
        <v>4187</v>
      </c>
      <c r="B167" s="7" t="s">
        <v>665</v>
      </c>
      <c r="C167" s="7" t="s">
        <v>3216</v>
      </c>
      <c r="D167" s="5">
        <v>8</v>
      </c>
      <c r="E167" s="7" t="str">
        <f>_xlfn.XLOOKUP(B167,Customers!A167:A1166,Customers!B167:B1166,"Customer Not Found",0)</f>
        <v>Customer_219</v>
      </c>
      <c r="F167" s="7" t="str">
        <f>_xlfn.XLOOKUP(Orders!B167,Customers!A167:A1166,Customers!C167:C1166,"Country not Found",0)</f>
        <v>UK</v>
      </c>
      <c r="G167" s="7" t="str">
        <f>_xlfn.XLOOKUP(C167,Products!A167:A666,Products!B167:B666,"Product Missing",0)</f>
        <v>Product Missing</v>
      </c>
      <c r="H167" s="7" t="str">
        <f>_xlfn.XLOOKUP(C167,Products!A167:A666,Products!C167:C666,"Category Missing",0)</f>
        <v>Category Missing</v>
      </c>
      <c r="I167" s="11" t="str">
        <f>_xlfn.XLOOKUP(Orders!C167,Products!A167:A666,Products!D167:D666,"Price Missing",0)</f>
        <v>Price Missing</v>
      </c>
      <c r="J167" s="19">
        <f t="shared" si="2"/>
        <v>0</v>
      </c>
    </row>
    <row r="168" spans="1:10" x14ac:dyDescent="0.35">
      <c r="A168" s="4" t="s">
        <v>4188</v>
      </c>
      <c r="B168" s="7" t="s">
        <v>851</v>
      </c>
      <c r="C168" s="7" t="s">
        <v>3340</v>
      </c>
      <c r="D168" s="5">
        <v>5</v>
      </c>
      <c r="E168" s="7" t="str">
        <f>_xlfn.XLOOKUP(B168,Customers!A168:A1167,Customers!B168:B1167,"Customer Not Found",0)</f>
        <v>Customer_281</v>
      </c>
      <c r="F168" s="7" t="str">
        <f>_xlfn.XLOOKUP(Orders!B168,Customers!A168:A1167,Customers!C168:C1167,"Country not Found",0)</f>
        <v>Ghana</v>
      </c>
      <c r="G168" s="7" t="str">
        <f>_xlfn.XLOOKUP(C168,Products!A168:A667,Products!B168:B667,"Product Missing",0)</f>
        <v>Product Missing</v>
      </c>
      <c r="H168" s="7" t="str">
        <f>_xlfn.XLOOKUP(C168,Products!A168:A667,Products!C168:C667,"Category Missing",0)</f>
        <v>Category Missing</v>
      </c>
      <c r="I168" s="11" t="str">
        <f>_xlfn.XLOOKUP(Orders!C168,Products!A168:A667,Products!D168:D667,"Price Missing",0)</f>
        <v>Price Missing</v>
      </c>
      <c r="J168" s="19">
        <f t="shared" si="2"/>
        <v>0</v>
      </c>
    </row>
    <row r="169" spans="1:10" x14ac:dyDescent="0.35">
      <c r="A169" s="4" t="s">
        <v>4189</v>
      </c>
      <c r="B169" s="7" t="s">
        <v>2894</v>
      </c>
      <c r="C169" s="7" t="s">
        <v>3382</v>
      </c>
      <c r="D169" s="5">
        <v>7</v>
      </c>
      <c r="E169" s="7" t="str">
        <f>_xlfn.XLOOKUP(B169,Customers!A169:A1168,Customers!B169:B1168,"Customer Not Found",0)</f>
        <v>Customer_962</v>
      </c>
      <c r="F169" s="7" t="str">
        <f>_xlfn.XLOOKUP(Orders!B169,Customers!A169:A1168,Customers!C169:C1168,"Country not Found",0)</f>
        <v>Ghana</v>
      </c>
      <c r="G169" s="7" t="str">
        <f>_xlfn.XLOOKUP(C169,Products!A169:A668,Products!B169:B668,"Product Missing",0)</f>
        <v>Product_182</v>
      </c>
      <c r="H169" s="7" t="str">
        <f>_xlfn.XLOOKUP(C169,Products!A169:A668,Products!C169:C668,"Category Missing",0)</f>
        <v>Food</v>
      </c>
      <c r="I169" s="11">
        <f>_xlfn.XLOOKUP(Orders!C169,Products!A169:A668,Products!D169:D668,"Price Missing",0)</f>
        <v>342.65</v>
      </c>
      <c r="J169" s="19">
        <f t="shared" si="2"/>
        <v>2398.5499999999997</v>
      </c>
    </row>
    <row r="170" spans="1:10" x14ac:dyDescent="0.35">
      <c r="A170" s="4" t="s">
        <v>4190</v>
      </c>
      <c r="B170" s="7" t="s">
        <v>2768</v>
      </c>
      <c r="C170" s="7" t="s">
        <v>3906</v>
      </c>
      <c r="D170" s="5">
        <v>3</v>
      </c>
      <c r="E170" s="7" t="str">
        <f>_xlfn.XLOOKUP(B170,Customers!A170:A1169,Customers!B170:B1169,"Customer Not Found",0)</f>
        <v>Customer_920</v>
      </c>
      <c r="F170" s="7" t="str">
        <f>_xlfn.XLOOKUP(Orders!B170,Customers!A170:A1169,Customers!C170:C1169,"Country not Found",0)</f>
        <v>Ghana</v>
      </c>
      <c r="G170" s="7" t="str">
        <f>_xlfn.XLOOKUP(C170,Products!A170:A669,Products!B170:B669,"Product Missing",0)</f>
        <v>Product_444</v>
      </c>
      <c r="H170" s="7" t="str">
        <f>_xlfn.XLOOKUP(C170,Products!A170:A669,Products!C170:C669,"Category Missing",0)</f>
        <v>Food</v>
      </c>
      <c r="I170" s="11">
        <f>_xlfn.XLOOKUP(Orders!C170,Products!A170:A669,Products!D170:D669,"Price Missing",0)</f>
        <v>230.56</v>
      </c>
      <c r="J170" s="19">
        <f t="shared" si="2"/>
        <v>691.68000000000006</v>
      </c>
    </row>
    <row r="171" spans="1:10" x14ac:dyDescent="0.35">
      <c r="A171" s="4" t="s">
        <v>4191</v>
      </c>
      <c r="B171" s="7" t="s">
        <v>1451</v>
      </c>
      <c r="C171" s="7" t="s">
        <v>3162</v>
      </c>
      <c r="D171" s="5">
        <v>1</v>
      </c>
      <c r="E171" s="7" t="str">
        <f>_xlfn.XLOOKUP(B171,Customers!A171:A1170,Customers!B171:B1170,"Customer Not Found",0)</f>
        <v>Customer_481</v>
      </c>
      <c r="F171" s="7" t="str">
        <f>_xlfn.XLOOKUP(Orders!B171,Customers!A171:A1170,Customers!C171:C1170,"Country not Found",0)</f>
        <v>Nigeria</v>
      </c>
      <c r="G171" s="7" t="str">
        <f>_xlfn.XLOOKUP(C171,Products!A171:A670,Products!B171:B670,"Product Missing",0)</f>
        <v>Product Missing</v>
      </c>
      <c r="H171" s="7" t="str">
        <f>_xlfn.XLOOKUP(C171,Products!A171:A670,Products!C171:C670,"Category Missing",0)</f>
        <v>Category Missing</v>
      </c>
      <c r="I171" s="11" t="str">
        <f>_xlfn.XLOOKUP(Orders!C171,Products!A171:A670,Products!D171:D670,"Price Missing",0)</f>
        <v>Price Missing</v>
      </c>
      <c r="J171" s="19">
        <f t="shared" si="2"/>
        <v>0</v>
      </c>
    </row>
    <row r="172" spans="1:10" x14ac:dyDescent="0.35">
      <c r="A172" s="4" t="s">
        <v>4192</v>
      </c>
      <c r="B172" s="7" t="s">
        <v>2048</v>
      </c>
      <c r="C172" s="7" t="s">
        <v>3432</v>
      </c>
      <c r="D172" s="5">
        <v>5</v>
      </c>
      <c r="E172" s="7" t="str">
        <f>_xlfn.XLOOKUP(B172,Customers!A172:A1171,Customers!B172:B1171,"Customer Not Found",0)</f>
        <v>Customer_680</v>
      </c>
      <c r="F172" s="7" t="str">
        <f>_xlfn.XLOOKUP(Orders!B172,Customers!A172:A1171,Customers!C172:C1171,"Country not Found",0)</f>
        <v>South Africa</v>
      </c>
      <c r="G172" s="7" t="str">
        <f>_xlfn.XLOOKUP(C172,Products!A172:A671,Products!B172:B671,"Product Missing",0)</f>
        <v>Product_207</v>
      </c>
      <c r="H172" s="7" t="str">
        <f>_xlfn.XLOOKUP(C172,Products!A172:A671,Products!C172:C671,"Category Missing",0)</f>
        <v>Food</v>
      </c>
      <c r="I172" s="11">
        <f>_xlfn.XLOOKUP(Orders!C172,Products!A172:A671,Products!D172:D671,"Price Missing",0)</f>
        <v>471.46</v>
      </c>
      <c r="J172" s="19">
        <f t="shared" si="2"/>
        <v>2357.2999999999997</v>
      </c>
    </row>
    <row r="173" spans="1:10" x14ac:dyDescent="0.35">
      <c r="A173" s="4" t="s">
        <v>4193</v>
      </c>
      <c r="B173" s="7" t="s">
        <v>1016</v>
      </c>
      <c r="C173" s="7" t="s">
        <v>3980</v>
      </c>
      <c r="D173" s="5">
        <v>4</v>
      </c>
      <c r="E173" s="7" t="str">
        <f>_xlfn.XLOOKUP(B173,Customers!A173:A1172,Customers!B173:B1172,"Customer Not Found",0)</f>
        <v>Customer_336</v>
      </c>
      <c r="F173" s="7" t="str">
        <f>_xlfn.XLOOKUP(Orders!B173,Customers!A173:A1172,Customers!C173:C1172,"Country not Found",0)</f>
        <v>South Africa</v>
      </c>
      <c r="G173" s="7" t="str">
        <f>_xlfn.XLOOKUP(C173,Products!A173:A672,Products!B173:B672,"Product Missing",0)</f>
        <v>Product_481</v>
      </c>
      <c r="H173" s="7" t="str">
        <f>_xlfn.XLOOKUP(C173,Products!A173:A672,Products!C173:C672,"Category Missing",0)</f>
        <v>Clothing</v>
      </c>
      <c r="I173" s="11">
        <f>_xlfn.XLOOKUP(Orders!C173,Products!A173:A672,Products!D173:D672,"Price Missing",0)</f>
        <v>273.72000000000003</v>
      </c>
      <c r="J173" s="19">
        <f t="shared" si="2"/>
        <v>1094.8800000000001</v>
      </c>
    </row>
    <row r="174" spans="1:10" x14ac:dyDescent="0.35">
      <c r="A174" s="4" t="s">
        <v>4194</v>
      </c>
      <c r="B174" s="7" t="s">
        <v>470</v>
      </c>
      <c r="C174" s="7" t="s">
        <v>3926</v>
      </c>
      <c r="D174" s="5">
        <v>8</v>
      </c>
      <c r="E174" s="7" t="str">
        <f>_xlfn.XLOOKUP(B174,Customers!A174:A1173,Customers!B174:B1173,"Customer Not Found",0)</f>
        <v>Customer Not Found</v>
      </c>
      <c r="F174" s="7" t="str">
        <f>_xlfn.XLOOKUP(Orders!B174,Customers!A174:A1173,Customers!C174:C1173,"Country not Found",0)</f>
        <v>Country not Found</v>
      </c>
      <c r="G174" s="7" t="str">
        <f>_xlfn.XLOOKUP(C174,Products!A174:A673,Products!B174:B673,"Product Missing",0)</f>
        <v>Product_454</v>
      </c>
      <c r="H174" s="7" t="str">
        <f>_xlfn.XLOOKUP(C174,Products!A174:A673,Products!C174:C673,"Category Missing",0)</f>
        <v>Home</v>
      </c>
      <c r="I174" s="11">
        <f>_xlfn.XLOOKUP(Orders!C174,Products!A174:A673,Products!D174:D673,"Price Missing",0)</f>
        <v>288.83999999999997</v>
      </c>
      <c r="J174" s="19">
        <f t="shared" si="2"/>
        <v>2310.7199999999998</v>
      </c>
    </row>
    <row r="175" spans="1:10" x14ac:dyDescent="0.35">
      <c r="A175" s="4" t="s">
        <v>4195</v>
      </c>
      <c r="B175" s="7" t="s">
        <v>2405</v>
      </c>
      <c r="C175" s="7" t="s">
        <v>3336</v>
      </c>
      <c r="D175" s="5">
        <v>10</v>
      </c>
      <c r="E175" s="7" t="str">
        <f>_xlfn.XLOOKUP(B175,Customers!A175:A1174,Customers!B175:B1174,"Customer Not Found",0)</f>
        <v>Customer_799</v>
      </c>
      <c r="F175" s="7" t="str">
        <f>_xlfn.XLOOKUP(Orders!B175,Customers!A175:A1174,Customers!C175:C1174,"Country not Found",0)</f>
        <v>UK</v>
      </c>
      <c r="G175" s="7" t="str">
        <f>_xlfn.XLOOKUP(C175,Products!A175:A674,Products!B175:B674,"Product Missing",0)</f>
        <v>Product Missing</v>
      </c>
      <c r="H175" s="7" t="str">
        <f>_xlfn.XLOOKUP(C175,Products!A175:A674,Products!C175:C674,"Category Missing",0)</f>
        <v>Category Missing</v>
      </c>
      <c r="I175" s="11" t="str">
        <f>_xlfn.XLOOKUP(Orders!C175,Products!A175:A674,Products!D175:D674,"Price Missing",0)</f>
        <v>Price Missing</v>
      </c>
      <c r="J175" s="19">
        <f t="shared" si="2"/>
        <v>0</v>
      </c>
    </row>
    <row r="176" spans="1:10" x14ac:dyDescent="0.35">
      <c r="A176" s="4" t="s">
        <v>4196</v>
      </c>
      <c r="B176" s="7" t="s">
        <v>1394</v>
      </c>
      <c r="C176" s="7" t="s">
        <v>3200</v>
      </c>
      <c r="D176" s="5">
        <v>4</v>
      </c>
      <c r="E176" s="7" t="str">
        <f>_xlfn.XLOOKUP(B176,Customers!A176:A1175,Customers!B176:B1175,"Customer Not Found",0)</f>
        <v>Customer_462</v>
      </c>
      <c r="F176" s="7" t="str">
        <f>_xlfn.XLOOKUP(Orders!B176,Customers!A176:A1175,Customers!C176:C1175,"Country not Found",0)</f>
        <v>Canada</v>
      </c>
      <c r="G176" s="7" t="str">
        <f>_xlfn.XLOOKUP(C176,Products!A176:A675,Products!B176:B675,"Product Missing",0)</f>
        <v>Product Missing</v>
      </c>
      <c r="H176" s="7" t="str">
        <f>_xlfn.XLOOKUP(C176,Products!A176:A675,Products!C176:C675,"Category Missing",0)</f>
        <v>Category Missing</v>
      </c>
      <c r="I176" s="11" t="str">
        <f>_xlfn.XLOOKUP(Orders!C176,Products!A176:A675,Products!D176:D675,"Price Missing",0)</f>
        <v>Price Missing</v>
      </c>
      <c r="J176" s="19">
        <f t="shared" si="2"/>
        <v>0</v>
      </c>
    </row>
    <row r="177" spans="1:10" x14ac:dyDescent="0.35">
      <c r="A177" s="4" t="s">
        <v>4197</v>
      </c>
      <c r="B177" s="7" t="s">
        <v>1724</v>
      </c>
      <c r="C177" s="7" t="s">
        <v>3196</v>
      </c>
      <c r="D177" s="5">
        <v>5</v>
      </c>
      <c r="E177" s="7" t="str">
        <f>_xlfn.XLOOKUP(B177,Customers!A177:A1176,Customers!B177:B1176,"Customer Not Found",0)</f>
        <v>Customer_572</v>
      </c>
      <c r="F177" s="7" t="str">
        <f>_xlfn.XLOOKUP(Orders!B177,Customers!A177:A1176,Customers!C177:C1176,"Country not Found",0)</f>
        <v>Ghana</v>
      </c>
      <c r="G177" s="7" t="str">
        <f>_xlfn.XLOOKUP(C177,Products!A177:A676,Products!B177:B676,"Product Missing",0)</f>
        <v>Product Missing</v>
      </c>
      <c r="H177" s="7" t="str">
        <f>_xlfn.XLOOKUP(C177,Products!A177:A676,Products!C177:C676,"Category Missing",0)</f>
        <v>Category Missing</v>
      </c>
      <c r="I177" s="11" t="str">
        <f>_xlfn.XLOOKUP(Orders!C177,Products!A177:A676,Products!D177:D676,"Price Missing",0)</f>
        <v>Price Missing</v>
      </c>
      <c r="J177" s="19">
        <f t="shared" si="2"/>
        <v>0</v>
      </c>
    </row>
    <row r="178" spans="1:10" x14ac:dyDescent="0.35">
      <c r="A178" s="4" t="s">
        <v>4198</v>
      </c>
      <c r="B178" s="7" t="s">
        <v>731</v>
      </c>
      <c r="C178" s="7" t="s">
        <v>3956</v>
      </c>
      <c r="D178" s="5">
        <v>4</v>
      </c>
      <c r="E178" s="7" t="str">
        <f>_xlfn.XLOOKUP(B178,Customers!A178:A1177,Customers!B178:B1177,"Customer Not Found",0)</f>
        <v>Customer_241</v>
      </c>
      <c r="F178" s="7" t="str">
        <f>_xlfn.XLOOKUP(Orders!B178,Customers!A178:A1177,Customers!C178:C1177,"Country not Found",0)</f>
        <v>USA</v>
      </c>
      <c r="G178" s="7" t="str">
        <f>_xlfn.XLOOKUP(C178,Products!A178:A677,Products!B178:B677,"Product Missing",0)</f>
        <v>Product_469</v>
      </c>
      <c r="H178" s="7" t="str">
        <f>_xlfn.XLOOKUP(C178,Products!A178:A677,Products!C178:C677,"Category Missing",0)</f>
        <v>Home</v>
      </c>
      <c r="I178" s="11">
        <f>_xlfn.XLOOKUP(Orders!C178,Products!A178:A677,Products!D178:D677,"Price Missing",0)</f>
        <v>477.63</v>
      </c>
      <c r="J178" s="19">
        <f t="shared" si="2"/>
        <v>1910.52</v>
      </c>
    </row>
    <row r="179" spans="1:10" x14ac:dyDescent="0.35">
      <c r="A179" s="4" t="s">
        <v>4199</v>
      </c>
      <c r="B179" s="7" t="s">
        <v>947</v>
      </c>
      <c r="C179" s="7" t="s">
        <v>3970</v>
      </c>
      <c r="D179" s="5">
        <v>10</v>
      </c>
      <c r="E179" s="7" t="str">
        <f>_xlfn.XLOOKUP(B179,Customers!A179:A1178,Customers!B179:B1178,"Customer Not Found",0)</f>
        <v>Customer_313</v>
      </c>
      <c r="F179" s="7" t="str">
        <f>_xlfn.XLOOKUP(Orders!B179,Customers!A179:A1178,Customers!C179:C1178,"Country not Found",0)</f>
        <v>Canada</v>
      </c>
      <c r="G179" s="7" t="str">
        <f>_xlfn.XLOOKUP(C179,Products!A179:A678,Products!B179:B678,"Product Missing",0)</f>
        <v>Product_476</v>
      </c>
      <c r="H179" s="7" t="str">
        <f>_xlfn.XLOOKUP(C179,Products!A179:A678,Products!C179:C678,"Category Missing",0)</f>
        <v>Electronics</v>
      </c>
      <c r="I179" s="11">
        <f>_xlfn.XLOOKUP(Orders!C179,Products!A179:A678,Products!D179:D678,"Price Missing",0)</f>
        <v>81.8</v>
      </c>
      <c r="J179" s="19">
        <f t="shared" si="2"/>
        <v>818</v>
      </c>
    </row>
    <row r="180" spans="1:10" x14ac:dyDescent="0.35">
      <c r="A180" s="4" t="s">
        <v>4200</v>
      </c>
      <c r="B180" s="7" t="s">
        <v>1493</v>
      </c>
      <c r="C180" s="7" t="s">
        <v>3952</v>
      </c>
      <c r="D180" s="5">
        <v>3</v>
      </c>
      <c r="E180" s="7" t="str">
        <f>_xlfn.XLOOKUP(B180,Customers!A180:A1179,Customers!B180:B1179,"Customer Not Found",0)</f>
        <v>Customer_495</v>
      </c>
      <c r="F180" s="7" t="str">
        <f>_xlfn.XLOOKUP(Orders!B180,Customers!A180:A1179,Customers!C180:C1179,"Country not Found",0)</f>
        <v>South Africa</v>
      </c>
      <c r="G180" s="7" t="str">
        <f>_xlfn.XLOOKUP(C180,Products!A180:A679,Products!B180:B679,"Product Missing",0)</f>
        <v>Product_467</v>
      </c>
      <c r="H180" s="7" t="str">
        <f>_xlfn.XLOOKUP(C180,Products!A180:A679,Products!C180:C679,"Category Missing",0)</f>
        <v>Electronics</v>
      </c>
      <c r="I180" s="11">
        <f>_xlfn.XLOOKUP(Orders!C180,Products!A180:A679,Products!D180:D679,"Price Missing",0)</f>
        <v>279.95999999999998</v>
      </c>
      <c r="J180" s="19">
        <f t="shared" si="2"/>
        <v>839.87999999999988</v>
      </c>
    </row>
    <row r="181" spans="1:10" x14ac:dyDescent="0.35">
      <c r="A181" s="4" t="s">
        <v>4201</v>
      </c>
      <c r="B181" s="7" t="s">
        <v>2612</v>
      </c>
      <c r="C181" s="7" t="s">
        <v>3154</v>
      </c>
      <c r="D181" s="5">
        <v>9</v>
      </c>
      <c r="E181" s="7" t="str">
        <f>_xlfn.XLOOKUP(B181,Customers!A181:A1180,Customers!B181:B1180,"Customer Not Found",0)</f>
        <v>Customer_868</v>
      </c>
      <c r="F181" s="7" t="str">
        <f>_xlfn.XLOOKUP(Orders!B181,Customers!A181:A1180,Customers!C181:C1180,"Country not Found",0)</f>
        <v>Kenya</v>
      </c>
      <c r="G181" s="7" t="str">
        <f>_xlfn.XLOOKUP(C181,Products!A181:A680,Products!B181:B680,"Product Missing",0)</f>
        <v>Product Missing</v>
      </c>
      <c r="H181" s="7" t="str">
        <f>_xlfn.XLOOKUP(C181,Products!A181:A680,Products!C181:C680,"Category Missing",0)</f>
        <v>Category Missing</v>
      </c>
      <c r="I181" s="11" t="str">
        <f>_xlfn.XLOOKUP(Orders!C181,Products!A181:A680,Products!D181:D680,"Price Missing",0)</f>
        <v>Price Missing</v>
      </c>
      <c r="J181" s="19">
        <f t="shared" si="2"/>
        <v>0</v>
      </c>
    </row>
    <row r="182" spans="1:10" x14ac:dyDescent="0.35">
      <c r="A182" s="4" t="s">
        <v>4202</v>
      </c>
      <c r="B182" s="7" t="s">
        <v>2744</v>
      </c>
      <c r="C182" s="7" t="s">
        <v>3444</v>
      </c>
      <c r="D182" s="5">
        <v>1</v>
      </c>
      <c r="E182" s="7" t="str">
        <f>_xlfn.XLOOKUP(B182,Customers!A182:A1181,Customers!B182:B1181,"Customer Not Found",0)</f>
        <v>Customer_912</v>
      </c>
      <c r="F182" s="7" t="str">
        <f>_xlfn.XLOOKUP(Orders!B182,Customers!A182:A1181,Customers!C182:C1181,"Country not Found",0)</f>
        <v>Nigeria</v>
      </c>
      <c r="G182" s="7" t="str">
        <f>_xlfn.XLOOKUP(C182,Products!A182:A681,Products!B182:B681,"Product Missing",0)</f>
        <v>Product_213</v>
      </c>
      <c r="H182" s="7" t="str">
        <f>_xlfn.XLOOKUP(C182,Products!A182:A681,Products!C182:C681,"Category Missing",0)</f>
        <v>Clothing</v>
      </c>
      <c r="I182" s="11">
        <f>_xlfn.XLOOKUP(Orders!C182,Products!A182:A681,Products!D182:D681,"Price Missing",0)</f>
        <v>348.44</v>
      </c>
      <c r="J182" s="19">
        <f t="shared" si="2"/>
        <v>348.44</v>
      </c>
    </row>
    <row r="183" spans="1:10" x14ac:dyDescent="0.35">
      <c r="A183" s="4" t="s">
        <v>4203</v>
      </c>
      <c r="B183" s="7" t="s">
        <v>680</v>
      </c>
      <c r="C183" s="7" t="s">
        <v>3692</v>
      </c>
      <c r="D183" s="5">
        <v>3</v>
      </c>
      <c r="E183" s="7" t="str">
        <f>_xlfn.XLOOKUP(B183,Customers!A183:A1182,Customers!B183:B1182,"Customer Not Found",0)</f>
        <v>Customer_224</v>
      </c>
      <c r="F183" s="7" t="str">
        <f>_xlfn.XLOOKUP(Orders!B183,Customers!A183:A1182,Customers!C183:C1182,"Country not Found",0)</f>
        <v>Ghana</v>
      </c>
      <c r="G183" s="7" t="str">
        <f>_xlfn.XLOOKUP(C183,Products!A183:A682,Products!B183:B682,"Product Missing",0)</f>
        <v>Product_337</v>
      </c>
      <c r="H183" s="7" t="str">
        <f>_xlfn.XLOOKUP(C183,Products!A183:A682,Products!C183:C682,"Category Missing",0)</f>
        <v>Electronics</v>
      </c>
      <c r="I183" s="11">
        <f>_xlfn.XLOOKUP(Orders!C183,Products!A183:A682,Products!D183:D682,"Price Missing",0)</f>
        <v>319.87</v>
      </c>
      <c r="J183" s="19">
        <f t="shared" si="2"/>
        <v>959.61</v>
      </c>
    </row>
    <row r="184" spans="1:10" x14ac:dyDescent="0.35">
      <c r="A184" s="4" t="s">
        <v>4204</v>
      </c>
      <c r="B184" s="7" t="s">
        <v>1031</v>
      </c>
      <c r="C184" s="7" t="s">
        <v>3658</v>
      </c>
      <c r="D184" s="5">
        <v>7</v>
      </c>
      <c r="E184" s="7" t="str">
        <f>_xlfn.XLOOKUP(B184,Customers!A184:A1183,Customers!B184:B1183,"Customer Not Found",0)</f>
        <v>Customer_341</v>
      </c>
      <c r="F184" s="7" t="str">
        <f>_xlfn.XLOOKUP(Orders!B184,Customers!A184:A1183,Customers!C184:C1183,"Country not Found",0)</f>
        <v>Ghana</v>
      </c>
      <c r="G184" s="7" t="str">
        <f>_xlfn.XLOOKUP(C184,Products!A184:A683,Products!B184:B683,"Product Missing",0)</f>
        <v>Product_320</v>
      </c>
      <c r="H184" s="7" t="str">
        <f>_xlfn.XLOOKUP(C184,Products!A184:A683,Products!C184:C683,"Category Missing",0)</f>
        <v>Clothing</v>
      </c>
      <c r="I184" s="11">
        <f>_xlfn.XLOOKUP(Orders!C184,Products!A184:A683,Products!D184:D683,"Price Missing",0)</f>
        <v>161.71</v>
      </c>
      <c r="J184" s="19">
        <f t="shared" si="2"/>
        <v>1131.97</v>
      </c>
    </row>
    <row r="185" spans="1:10" x14ac:dyDescent="0.35">
      <c r="A185" s="4" t="s">
        <v>4205</v>
      </c>
      <c r="B185" s="7" t="s">
        <v>1631</v>
      </c>
      <c r="C185" s="7" t="s">
        <v>3080</v>
      </c>
      <c r="D185" s="5">
        <v>3</v>
      </c>
      <c r="E185" s="7" t="str">
        <f>_xlfn.XLOOKUP(B185,Customers!A185:A1184,Customers!B185:B1184,"Customer Not Found",0)</f>
        <v>Customer_541</v>
      </c>
      <c r="F185" s="7" t="str">
        <f>_xlfn.XLOOKUP(Orders!B185,Customers!A185:A1184,Customers!C185:C1184,"Country not Found",0)</f>
        <v>Canada</v>
      </c>
      <c r="G185" s="7" t="str">
        <f>_xlfn.XLOOKUP(C185,Products!A185:A684,Products!B185:B684,"Product Missing",0)</f>
        <v>Product Missing</v>
      </c>
      <c r="H185" s="7" t="str">
        <f>_xlfn.XLOOKUP(C185,Products!A185:A684,Products!C185:C684,"Category Missing",0)</f>
        <v>Category Missing</v>
      </c>
      <c r="I185" s="11" t="str">
        <f>_xlfn.XLOOKUP(Orders!C185,Products!A185:A684,Products!D185:D684,"Price Missing",0)</f>
        <v>Price Missing</v>
      </c>
      <c r="J185" s="19">
        <f t="shared" si="2"/>
        <v>0</v>
      </c>
    </row>
    <row r="186" spans="1:10" x14ac:dyDescent="0.35">
      <c r="A186" s="4" t="s">
        <v>4206</v>
      </c>
      <c r="B186" s="7" t="s">
        <v>2984</v>
      </c>
      <c r="C186" s="7" t="s">
        <v>3460</v>
      </c>
      <c r="D186" s="5">
        <v>6</v>
      </c>
      <c r="E186" s="7" t="str">
        <f>_xlfn.XLOOKUP(B186,Customers!A186:A1185,Customers!B186:B1185,"Customer Not Found",0)</f>
        <v>Customer_992</v>
      </c>
      <c r="F186" s="7" t="str">
        <f>_xlfn.XLOOKUP(Orders!B186,Customers!A186:A1185,Customers!C186:C1185,"Country not Found",0)</f>
        <v>South Africa</v>
      </c>
      <c r="G186" s="7" t="str">
        <f>_xlfn.XLOOKUP(C186,Products!A186:A685,Products!B186:B685,"Product Missing",0)</f>
        <v>Product_221</v>
      </c>
      <c r="H186" s="7" t="str">
        <f>_xlfn.XLOOKUP(C186,Products!A186:A685,Products!C186:C685,"Category Missing",0)</f>
        <v>Sports</v>
      </c>
      <c r="I186" s="11">
        <f>_xlfn.XLOOKUP(Orders!C186,Products!A186:A685,Products!D186:D685,"Price Missing",0)</f>
        <v>380.96</v>
      </c>
      <c r="J186" s="19">
        <f t="shared" si="2"/>
        <v>2285.7599999999998</v>
      </c>
    </row>
    <row r="187" spans="1:10" x14ac:dyDescent="0.35">
      <c r="A187" s="4" t="s">
        <v>4207</v>
      </c>
      <c r="B187" s="7" t="s">
        <v>2879</v>
      </c>
      <c r="C187" s="7" t="s">
        <v>3222</v>
      </c>
      <c r="D187" s="5">
        <v>8</v>
      </c>
      <c r="E187" s="7" t="str">
        <f>_xlfn.XLOOKUP(B187,Customers!A187:A1186,Customers!B187:B1186,"Customer Not Found",0)</f>
        <v>Customer_957</v>
      </c>
      <c r="F187" s="7" t="str">
        <f>_xlfn.XLOOKUP(Orders!B187,Customers!A187:A1186,Customers!C187:C1186,"Country not Found",0)</f>
        <v>USA</v>
      </c>
      <c r="G187" s="7" t="str">
        <f>_xlfn.XLOOKUP(C187,Products!A187:A686,Products!B187:B686,"Product Missing",0)</f>
        <v>Product Missing</v>
      </c>
      <c r="H187" s="7" t="str">
        <f>_xlfn.XLOOKUP(C187,Products!A187:A686,Products!C187:C686,"Category Missing",0)</f>
        <v>Category Missing</v>
      </c>
      <c r="I187" s="11" t="str">
        <f>_xlfn.XLOOKUP(Orders!C187,Products!A187:A686,Products!D187:D686,"Price Missing",0)</f>
        <v>Price Missing</v>
      </c>
      <c r="J187" s="19">
        <f t="shared" si="2"/>
        <v>0</v>
      </c>
    </row>
    <row r="188" spans="1:10" x14ac:dyDescent="0.35">
      <c r="A188" s="4" t="s">
        <v>4208</v>
      </c>
      <c r="B188" s="7" t="s">
        <v>1439</v>
      </c>
      <c r="C188" s="7" t="s">
        <v>3238</v>
      </c>
      <c r="D188" s="5">
        <v>10</v>
      </c>
      <c r="E188" s="7" t="str">
        <f>_xlfn.XLOOKUP(B188,Customers!A188:A1187,Customers!B188:B1187,"Customer Not Found",0)</f>
        <v>Customer_477</v>
      </c>
      <c r="F188" s="7" t="str">
        <f>_xlfn.XLOOKUP(Orders!B188,Customers!A188:A1187,Customers!C188:C1187,"Country not Found",0)</f>
        <v>Nigeria</v>
      </c>
      <c r="G188" s="7" t="str">
        <f>_xlfn.XLOOKUP(C188,Products!A188:A687,Products!B188:B687,"Product Missing",0)</f>
        <v>Product Missing</v>
      </c>
      <c r="H188" s="7" t="str">
        <f>_xlfn.XLOOKUP(C188,Products!A188:A687,Products!C188:C687,"Category Missing",0)</f>
        <v>Category Missing</v>
      </c>
      <c r="I188" s="11" t="str">
        <f>_xlfn.XLOOKUP(Orders!C188,Products!A188:A687,Products!D188:D687,"Price Missing",0)</f>
        <v>Price Missing</v>
      </c>
      <c r="J188" s="19">
        <f t="shared" si="2"/>
        <v>0</v>
      </c>
    </row>
    <row r="189" spans="1:10" x14ac:dyDescent="0.35">
      <c r="A189" s="4" t="s">
        <v>4209</v>
      </c>
      <c r="B189" s="7" t="s">
        <v>233</v>
      </c>
      <c r="C189" s="7" t="s">
        <v>3174</v>
      </c>
      <c r="D189" s="5">
        <v>1</v>
      </c>
      <c r="E189" s="7" t="str">
        <f>_xlfn.XLOOKUP(B189,Customers!A189:A1188,Customers!B189:B1188,"Customer Not Found",0)</f>
        <v>Customer Not Found</v>
      </c>
      <c r="F189" s="7" t="str">
        <f>_xlfn.XLOOKUP(Orders!B189,Customers!A189:A1188,Customers!C189:C1188,"Country not Found",0)</f>
        <v>Country not Found</v>
      </c>
      <c r="G189" s="7" t="str">
        <f>_xlfn.XLOOKUP(C189,Products!A189:A688,Products!B189:B688,"Product Missing",0)</f>
        <v>Product Missing</v>
      </c>
      <c r="H189" s="7" t="str">
        <f>_xlfn.XLOOKUP(C189,Products!A189:A688,Products!C189:C688,"Category Missing",0)</f>
        <v>Category Missing</v>
      </c>
      <c r="I189" s="11" t="str">
        <f>_xlfn.XLOOKUP(Orders!C189,Products!A189:A688,Products!D189:D688,"Price Missing",0)</f>
        <v>Price Missing</v>
      </c>
      <c r="J189" s="19">
        <f t="shared" si="2"/>
        <v>0</v>
      </c>
    </row>
    <row r="190" spans="1:10" x14ac:dyDescent="0.35">
      <c r="A190" s="4" t="s">
        <v>4210</v>
      </c>
      <c r="B190" s="7" t="s">
        <v>761</v>
      </c>
      <c r="C190" s="7" t="s">
        <v>3808</v>
      </c>
      <c r="D190" s="5">
        <v>2</v>
      </c>
      <c r="E190" s="7" t="str">
        <f>_xlfn.XLOOKUP(B190,Customers!A190:A1189,Customers!B190:B1189,"Customer Not Found",0)</f>
        <v>Customer_251</v>
      </c>
      <c r="F190" s="7" t="str">
        <f>_xlfn.XLOOKUP(Orders!B190,Customers!A190:A1189,Customers!C190:C1189,"Country not Found",0)</f>
        <v>South Africa</v>
      </c>
      <c r="G190" s="7" t="str">
        <f>_xlfn.XLOOKUP(C190,Products!A190:A689,Products!B190:B689,"Product Missing",0)</f>
        <v>Product_395</v>
      </c>
      <c r="H190" s="7" t="str">
        <f>_xlfn.XLOOKUP(C190,Products!A190:A689,Products!C190:C689,"Category Missing",0)</f>
        <v>Sports</v>
      </c>
      <c r="I190" s="11">
        <f>_xlfn.XLOOKUP(Orders!C190,Products!A190:A689,Products!D190:D689,"Price Missing",0)</f>
        <v>220.19</v>
      </c>
      <c r="J190" s="19">
        <f t="shared" si="2"/>
        <v>440.38</v>
      </c>
    </row>
    <row r="191" spans="1:10" x14ac:dyDescent="0.35">
      <c r="A191" s="4" t="s">
        <v>4211</v>
      </c>
      <c r="B191" s="7" t="s">
        <v>2945</v>
      </c>
      <c r="C191" s="7" t="s">
        <v>3188</v>
      </c>
      <c r="D191" s="5">
        <v>1</v>
      </c>
      <c r="E191" s="7" t="str">
        <f>_xlfn.XLOOKUP(B191,Customers!A191:A1190,Customers!B191:B1190,"Customer Not Found",0)</f>
        <v>Customer_979</v>
      </c>
      <c r="F191" s="7" t="str">
        <f>_xlfn.XLOOKUP(Orders!B191,Customers!A191:A1190,Customers!C191:C1190,"Country not Found",0)</f>
        <v>Nigeria</v>
      </c>
      <c r="G191" s="7" t="str">
        <f>_xlfn.XLOOKUP(C191,Products!A191:A690,Products!B191:B690,"Product Missing",0)</f>
        <v>Product Missing</v>
      </c>
      <c r="H191" s="7" t="str">
        <f>_xlfn.XLOOKUP(C191,Products!A191:A690,Products!C191:C690,"Category Missing",0)</f>
        <v>Category Missing</v>
      </c>
      <c r="I191" s="11" t="str">
        <f>_xlfn.XLOOKUP(Orders!C191,Products!A191:A690,Products!D191:D690,"Price Missing",0)</f>
        <v>Price Missing</v>
      </c>
      <c r="J191" s="19">
        <f t="shared" si="2"/>
        <v>0</v>
      </c>
    </row>
    <row r="192" spans="1:10" x14ac:dyDescent="0.35">
      <c r="A192" s="4" t="s">
        <v>4212</v>
      </c>
      <c r="B192" s="7" t="s">
        <v>245</v>
      </c>
      <c r="C192" s="7" t="s">
        <v>3958</v>
      </c>
      <c r="D192" s="5">
        <v>2</v>
      </c>
      <c r="E192" s="7" t="str">
        <f>_xlfn.XLOOKUP(B192,Customers!A192:A1191,Customers!B192:B1191,"Customer Not Found",0)</f>
        <v>Customer Not Found</v>
      </c>
      <c r="F192" s="7" t="str">
        <f>_xlfn.XLOOKUP(Orders!B192,Customers!A192:A1191,Customers!C192:C1191,"Country not Found",0)</f>
        <v>Country not Found</v>
      </c>
      <c r="G192" s="7" t="str">
        <f>_xlfn.XLOOKUP(C192,Products!A192:A691,Products!B192:B691,"Product Missing",0)</f>
        <v>Product_470</v>
      </c>
      <c r="H192" s="7" t="str">
        <f>_xlfn.XLOOKUP(C192,Products!A192:A691,Products!C192:C691,"Category Missing",0)</f>
        <v>Food</v>
      </c>
      <c r="I192" s="11">
        <f>_xlfn.XLOOKUP(Orders!C192,Products!A192:A691,Products!D192:D691,"Price Missing",0)</f>
        <v>127.36</v>
      </c>
      <c r="J192" s="19">
        <f t="shared" si="2"/>
        <v>254.72</v>
      </c>
    </row>
    <row r="193" spans="1:10" x14ac:dyDescent="0.35">
      <c r="A193" s="4" t="s">
        <v>4213</v>
      </c>
      <c r="B193" s="7" t="s">
        <v>2576</v>
      </c>
      <c r="C193" s="7" t="s">
        <v>3618</v>
      </c>
      <c r="D193" s="5">
        <v>10</v>
      </c>
      <c r="E193" s="7" t="str">
        <f>_xlfn.XLOOKUP(B193,Customers!A193:A1192,Customers!B193:B1192,"Customer Not Found",0)</f>
        <v>Customer_856</v>
      </c>
      <c r="F193" s="7" t="str">
        <f>_xlfn.XLOOKUP(Orders!B193,Customers!A193:A1192,Customers!C193:C1192,"Country not Found",0)</f>
        <v>Ghana</v>
      </c>
      <c r="G193" s="7" t="str">
        <f>_xlfn.XLOOKUP(C193,Products!A193:A692,Products!B193:B692,"Product Missing",0)</f>
        <v>Product_300</v>
      </c>
      <c r="H193" s="7" t="str">
        <f>_xlfn.XLOOKUP(C193,Products!A193:A692,Products!C193:C692,"Category Missing",0)</f>
        <v>Electronics</v>
      </c>
      <c r="I193" s="11">
        <f>_xlfn.XLOOKUP(Orders!C193,Products!A193:A692,Products!D193:D692,"Price Missing",0)</f>
        <v>384.48</v>
      </c>
      <c r="J193" s="19">
        <f t="shared" si="2"/>
        <v>3844.8</v>
      </c>
    </row>
    <row r="194" spans="1:10" x14ac:dyDescent="0.35">
      <c r="A194" s="4" t="s">
        <v>4214</v>
      </c>
      <c r="B194" s="7" t="s">
        <v>1622</v>
      </c>
      <c r="C194" s="7" t="s">
        <v>3662</v>
      </c>
      <c r="D194" s="5">
        <v>4</v>
      </c>
      <c r="E194" s="7" t="str">
        <f>_xlfn.XLOOKUP(B194,Customers!A194:A1193,Customers!B194:B1193,"Customer Not Found",0)</f>
        <v>Customer_538</v>
      </c>
      <c r="F194" s="7" t="str">
        <f>_xlfn.XLOOKUP(Orders!B194,Customers!A194:A1193,Customers!C194:C1193,"Country not Found",0)</f>
        <v>Kenya</v>
      </c>
      <c r="G194" s="7" t="str">
        <f>_xlfn.XLOOKUP(C194,Products!A194:A693,Products!B194:B693,"Product Missing",0)</f>
        <v>Product_322</v>
      </c>
      <c r="H194" s="7" t="str">
        <f>_xlfn.XLOOKUP(C194,Products!A194:A693,Products!C194:C693,"Category Missing",0)</f>
        <v>Clothing</v>
      </c>
      <c r="I194" s="11">
        <f>_xlfn.XLOOKUP(Orders!C194,Products!A194:A693,Products!D194:D693,"Price Missing",0)</f>
        <v>14.3</v>
      </c>
      <c r="J194" s="19">
        <f t="shared" si="2"/>
        <v>57.2</v>
      </c>
    </row>
    <row r="195" spans="1:10" x14ac:dyDescent="0.35">
      <c r="A195" s="4" t="s">
        <v>4215</v>
      </c>
      <c r="B195" s="7" t="s">
        <v>359</v>
      </c>
      <c r="C195" s="7" t="s">
        <v>3362</v>
      </c>
      <c r="D195" s="5">
        <v>5</v>
      </c>
      <c r="E195" s="7" t="str">
        <f>_xlfn.XLOOKUP(B195,Customers!A195:A1194,Customers!B195:B1194,"Customer Not Found",0)</f>
        <v>Customer Not Found</v>
      </c>
      <c r="F195" s="7" t="str">
        <f>_xlfn.XLOOKUP(Orders!B195,Customers!A195:A1194,Customers!C195:C1194,"Country not Found",0)</f>
        <v>Country not Found</v>
      </c>
      <c r="G195" s="7" t="str">
        <f>_xlfn.XLOOKUP(C195,Products!A195:A694,Products!B195:B694,"Product Missing",0)</f>
        <v>Product Missing</v>
      </c>
      <c r="H195" s="7" t="str">
        <f>_xlfn.XLOOKUP(C195,Products!A195:A694,Products!C195:C694,"Category Missing",0)</f>
        <v>Category Missing</v>
      </c>
      <c r="I195" s="11" t="str">
        <f>_xlfn.XLOOKUP(Orders!C195,Products!A195:A694,Products!D195:D694,"Price Missing",0)</f>
        <v>Price Missing</v>
      </c>
      <c r="J195" s="19">
        <f t="shared" ref="J195:J258" si="3">IFERROR(I195*D195,0)</f>
        <v>0</v>
      </c>
    </row>
    <row r="196" spans="1:10" x14ac:dyDescent="0.35">
      <c r="A196" s="4" t="s">
        <v>4216</v>
      </c>
      <c r="B196" s="7" t="s">
        <v>1994</v>
      </c>
      <c r="C196" s="7" t="s">
        <v>3636</v>
      </c>
      <c r="D196" s="5">
        <v>6</v>
      </c>
      <c r="E196" s="7" t="str">
        <f>_xlfn.XLOOKUP(B196,Customers!A196:A1195,Customers!B196:B1195,"Customer Not Found",0)</f>
        <v>Customer_662</v>
      </c>
      <c r="F196" s="7" t="str">
        <f>_xlfn.XLOOKUP(Orders!B196,Customers!A196:A1195,Customers!C196:C1195,"Country not Found",0)</f>
        <v>UK</v>
      </c>
      <c r="G196" s="7" t="str">
        <f>_xlfn.XLOOKUP(C196,Products!A196:A695,Products!B196:B695,"Product Missing",0)</f>
        <v>Product_309</v>
      </c>
      <c r="H196" s="7" t="str">
        <f>_xlfn.XLOOKUP(C196,Products!A196:A695,Products!C196:C695,"Category Missing",0)</f>
        <v>Clothing</v>
      </c>
      <c r="I196" s="11">
        <f>_xlfn.XLOOKUP(Orders!C196,Products!A196:A695,Products!D196:D695,"Price Missing",0)</f>
        <v>39.409999999999997</v>
      </c>
      <c r="J196" s="19">
        <f t="shared" si="3"/>
        <v>236.45999999999998</v>
      </c>
    </row>
    <row r="197" spans="1:10" x14ac:dyDescent="0.35">
      <c r="A197" s="4" t="s">
        <v>4217</v>
      </c>
      <c r="B197" s="7" t="s">
        <v>1649</v>
      </c>
      <c r="C197" s="7" t="s">
        <v>3958</v>
      </c>
      <c r="D197" s="5">
        <v>7</v>
      </c>
      <c r="E197" s="7" t="str">
        <f>_xlfn.XLOOKUP(B197,Customers!A197:A1196,Customers!B197:B1196,"Customer Not Found",0)</f>
        <v>Customer_547</v>
      </c>
      <c r="F197" s="7" t="str">
        <f>_xlfn.XLOOKUP(Orders!B197,Customers!A197:A1196,Customers!C197:C1196,"Country not Found",0)</f>
        <v>Ghana</v>
      </c>
      <c r="G197" s="7" t="str">
        <f>_xlfn.XLOOKUP(C197,Products!A197:A696,Products!B197:B696,"Product Missing",0)</f>
        <v>Product_470</v>
      </c>
      <c r="H197" s="7" t="str">
        <f>_xlfn.XLOOKUP(C197,Products!A197:A696,Products!C197:C696,"Category Missing",0)</f>
        <v>Food</v>
      </c>
      <c r="I197" s="11">
        <f>_xlfn.XLOOKUP(Orders!C197,Products!A197:A696,Products!D197:D696,"Price Missing",0)</f>
        <v>127.36</v>
      </c>
      <c r="J197" s="19">
        <f t="shared" si="3"/>
        <v>891.52</v>
      </c>
    </row>
    <row r="198" spans="1:10" x14ac:dyDescent="0.35">
      <c r="A198" s="4" t="s">
        <v>4218</v>
      </c>
      <c r="B198" s="7" t="s">
        <v>2177</v>
      </c>
      <c r="C198" s="7" t="s">
        <v>3278</v>
      </c>
      <c r="D198" s="5">
        <v>4</v>
      </c>
      <c r="E198" s="7" t="str">
        <f>_xlfn.XLOOKUP(B198,Customers!A198:A1197,Customers!B198:B1197,"Customer Not Found",0)</f>
        <v>Customer_723</v>
      </c>
      <c r="F198" s="7" t="str">
        <f>_xlfn.XLOOKUP(Orders!B198,Customers!A198:A1197,Customers!C198:C1197,"Country not Found",0)</f>
        <v>Canada</v>
      </c>
      <c r="G198" s="7" t="str">
        <f>_xlfn.XLOOKUP(C198,Products!A198:A697,Products!B198:B697,"Product Missing",0)</f>
        <v>Product Missing</v>
      </c>
      <c r="H198" s="7" t="str">
        <f>_xlfn.XLOOKUP(C198,Products!A198:A697,Products!C198:C697,"Category Missing",0)</f>
        <v>Category Missing</v>
      </c>
      <c r="I198" s="11" t="str">
        <f>_xlfn.XLOOKUP(Orders!C198,Products!A198:A697,Products!D198:D697,"Price Missing",0)</f>
        <v>Price Missing</v>
      </c>
      <c r="J198" s="19">
        <f t="shared" si="3"/>
        <v>0</v>
      </c>
    </row>
    <row r="199" spans="1:10" x14ac:dyDescent="0.35">
      <c r="A199" s="4" t="s">
        <v>4219</v>
      </c>
      <c r="B199" s="7" t="s">
        <v>599</v>
      </c>
      <c r="C199" s="7" t="s">
        <v>3614</v>
      </c>
      <c r="D199" s="5">
        <v>7</v>
      </c>
      <c r="E199" s="7" t="str">
        <f>_xlfn.XLOOKUP(B199,Customers!A199:A1198,Customers!B199:B1198,"Customer Not Found",0)</f>
        <v>Customer Not Found</v>
      </c>
      <c r="F199" s="7" t="str">
        <f>_xlfn.XLOOKUP(Orders!B199,Customers!A199:A1198,Customers!C199:C1198,"Country not Found",0)</f>
        <v>Country not Found</v>
      </c>
      <c r="G199" s="7" t="str">
        <f>_xlfn.XLOOKUP(C199,Products!A199:A698,Products!B199:B698,"Product Missing",0)</f>
        <v>Product_298</v>
      </c>
      <c r="H199" s="7" t="str">
        <f>_xlfn.XLOOKUP(C199,Products!A199:A698,Products!C199:C698,"Category Missing",0)</f>
        <v>Home</v>
      </c>
      <c r="I199" s="11">
        <f>_xlfn.XLOOKUP(Orders!C199,Products!A199:A698,Products!D199:D698,"Price Missing",0)</f>
        <v>412.48</v>
      </c>
      <c r="J199" s="19">
        <f t="shared" si="3"/>
        <v>2887.36</v>
      </c>
    </row>
    <row r="200" spans="1:10" x14ac:dyDescent="0.35">
      <c r="A200" s="4" t="s">
        <v>4220</v>
      </c>
      <c r="B200" s="7" t="s">
        <v>407</v>
      </c>
      <c r="C200" s="7" t="s">
        <v>3682</v>
      </c>
      <c r="D200" s="5">
        <v>1</v>
      </c>
      <c r="E200" s="7" t="str">
        <f>_xlfn.XLOOKUP(B200,Customers!A200:A1199,Customers!B200:B1199,"Customer Not Found",0)</f>
        <v>Customer Not Found</v>
      </c>
      <c r="F200" s="7" t="str">
        <f>_xlfn.XLOOKUP(Orders!B200,Customers!A200:A1199,Customers!C200:C1199,"Country not Found",0)</f>
        <v>Country not Found</v>
      </c>
      <c r="G200" s="7" t="str">
        <f>_xlfn.XLOOKUP(C200,Products!A200:A699,Products!B200:B699,"Product Missing",0)</f>
        <v>Product_332</v>
      </c>
      <c r="H200" s="7" t="str">
        <f>_xlfn.XLOOKUP(C200,Products!A200:A699,Products!C200:C699,"Category Missing",0)</f>
        <v>Clothing</v>
      </c>
      <c r="I200" s="11">
        <f>_xlfn.XLOOKUP(Orders!C200,Products!A200:A699,Products!D200:D699,"Price Missing",0)</f>
        <v>441.45</v>
      </c>
      <c r="J200" s="19">
        <f t="shared" si="3"/>
        <v>441.45</v>
      </c>
    </row>
    <row r="201" spans="1:10" x14ac:dyDescent="0.35">
      <c r="A201" s="4" t="s">
        <v>4221</v>
      </c>
      <c r="B201" s="7" t="s">
        <v>2234</v>
      </c>
      <c r="C201" s="7" t="s">
        <v>3740</v>
      </c>
      <c r="D201" s="5">
        <v>7</v>
      </c>
      <c r="E201" s="7" t="str">
        <f>_xlfn.XLOOKUP(B201,Customers!A201:A1200,Customers!B201:B1200,"Customer Not Found",0)</f>
        <v>Customer_742</v>
      </c>
      <c r="F201" s="7" t="str">
        <f>_xlfn.XLOOKUP(Orders!B201,Customers!A201:A1200,Customers!C201:C1200,"Country not Found",0)</f>
        <v>Canada</v>
      </c>
      <c r="G201" s="7" t="str">
        <f>_xlfn.XLOOKUP(C201,Products!A201:A700,Products!B201:B700,"Product Missing",0)</f>
        <v>Product_361</v>
      </c>
      <c r="H201" s="7" t="str">
        <f>_xlfn.XLOOKUP(C201,Products!A201:A700,Products!C201:C700,"Category Missing",0)</f>
        <v>Food</v>
      </c>
      <c r="I201" s="11">
        <f>_xlfn.XLOOKUP(Orders!C201,Products!A201:A700,Products!D201:D700,"Price Missing",0)</f>
        <v>149.83000000000001</v>
      </c>
      <c r="J201" s="19">
        <f t="shared" si="3"/>
        <v>1048.8100000000002</v>
      </c>
    </row>
    <row r="202" spans="1:10" x14ac:dyDescent="0.35">
      <c r="A202" s="4" t="s">
        <v>4222</v>
      </c>
      <c r="B202" s="7" t="s">
        <v>2852</v>
      </c>
      <c r="C202" s="7" t="s">
        <v>3928</v>
      </c>
      <c r="D202" s="5">
        <v>10</v>
      </c>
      <c r="E202" s="7" t="str">
        <f>_xlfn.XLOOKUP(B202,Customers!A202:A1201,Customers!B202:B1201,"Customer Not Found",0)</f>
        <v>Customer_948</v>
      </c>
      <c r="F202" s="7" t="str">
        <f>_xlfn.XLOOKUP(Orders!B202,Customers!A202:A1201,Customers!C202:C1201,"Country not Found",0)</f>
        <v>USA</v>
      </c>
      <c r="G202" s="7" t="str">
        <f>_xlfn.XLOOKUP(C202,Products!A202:A701,Products!B202:B701,"Product Missing",0)</f>
        <v>Product_455</v>
      </c>
      <c r="H202" s="7" t="str">
        <f>_xlfn.XLOOKUP(C202,Products!A202:A701,Products!C202:C701,"Category Missing",0)</f>
        <v>Clothing</v>
      </c>
      <c r="I202" s="11">
        <f>_xlfn.XLOOKUP(Orders!C202,Products!A202:A701,Products!D202:D701,"Price Missing",0)</f>
        <v>370.9</v>
      </c>
      <c r="J202" s="19">
        <f t="shared" si="3"/>
        <v>3709</v>
      </c>
    </row>
    <row r="203" spans="1:10" x14ac:dyDescent="0.35">
      <c r="A203" s="4" t="s">
        <v>4223</v>
      </c>
      <c r="B203" s="7" t="s">
        <v>1094</v>
      </c>
      <c r="C203" s="7" t="s">
        <v>3408</v>
      </c>
      <c r="D203" s="5">
        <v>4</v>
      </c>
      <c r="E203" s="7" t="str">
        <f>_xlfn.XLOOKUP(B203,Customers!A203:A1202,Customers!B203:B1202,"Customer Not Found",0)</f>
        <v>Customer_362</v>
      </c>
      <c r="F203" s="7" t="str">
        <f>_xlfn.XLOOKUP(Orders!B203,Customers!A203:A1202,Customers!C203:C1202,"Country not Found",0)</f>
        <v>Ghana</v>
      </c>
      <c r="G203" s="7" t="str">
        <f>_xlfn.XLOOKUP(C203,Products!A203:A702,Products!B203:B702,"Product Missing",0)</f>
        <v>Product Missing</v>
      </c>
      <c r="H203" s="7" t="str">
        <f>_xlfn.XLOOKUP(C203,Products!A203:A702,Products!C203:C702,"Category Missing",0)</f>
        <v>Category Missing</v>
      </c>
      <c r="I203" s="11" t="str">
        <f>_xlfn.XLOOKUP(Orders!C203,Products!A203:A702,Products!D203:D702,"Price Missing",0)</f>
        <v>Price Missing</v>
      </c>
      <c r="J203" s="19">
        <f t="shared" si="3"/>
        <v>0</v>
      </c>
    </row>
    <row r="204" spans="1:10" x14ac:dyDescent="0.35">
      <c r="A204" s="4" t="s">
        <v>4224</v>
      </c>
      <c r="B204" s="7" t="s">
        <v>791</v>
      </c>
      <c r="C204" s="7" t="s">
        <v>3568</v>
      </c>
      <c r="D204" s="5">
        <v>2</v>
      </c>
      <c r="E204" s="7" t="str">
        <f>_xlfn.XLOOKUP(B204,Customers!A204:A1203,Customers!B204:B1203,"Customer Not Found",0)</f>
        <v>Customer_261</v>
      </c>
      <c r="F204" s="7" t="str">
        <f>_xlfn.XLOOKUP(Orders!B204,Customers!A204:A1203,Customers!C204:C1203,"Country not Found",0)</f>
        <v>Canada</v>
      </c>
      <c r="G204" s="7" t="str">
        <f>_xlfn.XLOOKUP(C204,Products!A204:A703,Products!B204:B703,"Product Missing",0)</f>
        <v>Product_275</v>
      </c>
      <c r="H204" s="7" t="str">
        <f>_xlfn.XLOOKUP(C204,Products!A204:A703,Products!C204:C703,"Category Missing",0)</f>
        <v>Sports</v>
      </c>
      <c r="I204" s="11">
        <f>_xlfn.XLOOKUP(Orders!C204,Products!A204:A703,Products!D204:D703,"Price Missing",0)</f>
        <v>472.34</v>
      </c>
      <c r="J204" s="19">
        <f t="shared" si="3"/>
        <v>944.68</v>
      </c>
    </row>
    <row r="205" spans="1:10" x14ac:dyDescent="0.35">
      <c r="A205" s="4" t="s">
        <v>4225</v>
      </c>
      <c r="B205" s="7" t="s">
        <v>113</v>
      </c>
      <c r="C205" s="7" t="s">
        <v>3940</v>
      </c>
      <c r="D205" s="5">
        <v>6</v>
      </c>
      <c r="E205" s="7" t="str">
        <f>_xlfn.XLOOKUP(B205,Customers!A205:A1204,Customers!B205:B1204,"Customer Not Found",0)</f>
        <v>Customer Not Found</v>
      </c>
      <c r="F205" s="7" t="str">
        <f>_xlfn.XLOOKUP(Orders!B205,Customers!A205:A1204,Customers!C205:C1204,"Country not Found",0)</f>
        <v>Country not Found</v>
      </c>
      <c r="G205" s="7" t="str">
        <f>_xlfn.XLOOKUP(C205,Products!A205:A704,Products!B205:B704,"Product Missing",0)</f>
        <v>Product_461</v>
      </c>
      <c r="H205" s="7" t="str">
        <f>_xlfn.XLOOKUP(C205,Products!A205:A704,Products!C205:C704,"Category Missing",0)</f>
        <v>Electronics</v>
      </c>
      <c r="I205" s="11">
        <f>_xlfn.XLOOKUP(Orders!C205,Products!A205:A704,Products!D205:D704,"Price Missing",0)</f>
        <v>371.97</v>
      </c>
      <c r="J205" s="19">
        <f t="shared" si="3"/>
        <v>2231.8200000000002</v>
      </c>
    </row>
    <row r="206" spans="1:10" x14ac:dyDescent="0.35">
      <c r="A206" s="4" t="s">
        <v>4226</v>
      </c>
      <c r="B206" s="7" t="s">
        <v>2894</v>
      </c>
      <c r="C206" s="7" t="s">
        <v>3160</v>
      </c>
      <c r="D206" s="5">
        <v>6</v>
      </c>
      <c r="E206" s="7" t="str">
        <f>_xlfn.XLOOKUP(B206,Customers!A206:A1205,Customers!B206:B1205,"Customer Not Found",0)</f>
        <v>Customer_962</v>
      </c>
      <c r="F206" s="7" t="str">
        <f>_xlfn.XLOOKUP(Orders!B206,Customers!A206:A1205,Customers!C206:C1205,"Country not Found",0)</f>
        <v>Ghana</v>
      </c>
      <c r="G206" s="7" t="str">
        <f>_xlfn.XLOOKUP(C206,Products!A206:A705,Products!B206:B705,"Product Missing",0)</f>
        <v>Product Missing</v>
      </c>
      <c r="H206" s="7" t="str">
        <f>_xlfn.XLOOKUP(C206,Products!A206:A705,Products!C206:C705,"Category Missing",0)</f>
        <v>Category Missing</v>
      </c>
      <c r="I206" s="11" t="str">
        <f>_xlfn.XLOOKUP(Orders!C206,Products!A206:A705,Products!D206:D705,"Price Missing",0)</f>
        <v>Price Missing</v>
      </c>
      <c r="J206" s="19">
        <f t="shared" si="3"/>
        <v>0</v>
      </c>
    </row>
    <row r="207" spans="1:10" x14ac:dyDescent="0.35">
      <c r="A207" s="4" t="s">
        <v>4227</v>
      </c>
      <c r="B207" s="7" t="s">
        <v>656</v>
      </c>
      <c r="C207" s="7" t="s">
        <v>3922</v>
      </c>
      <c r="D207" s="5">
        <v>4</v>
      </c>
      <c r="E207" s="7" t="str">
        <f>_xlfn.XLOOKUP(B207,Customers!A207:A1206,Customers!B207:B1206,"Customer Not Found",0)</f>
        <v>Customer_216</v>
      </c>
      <c r="F207" s="7" t="str">
        <f>_xlfn.XLOOKUP(Orders!B207,Customers!A207:A1206,Customers!C207:C1206,"Country not Found",0)</f>
        <v>Canada</v>
      </c>
      <c r="G207" s="7" t="str">
        <f>_xlfn.XLOOKUP(C207,Products!A207:A706,Products!B207:B706,"Product Missing",0)</f>
        <v>Product_452</v>
      </c>
      <c r="H207" s="7" t="str">
        <f>_xlfn.XLOOKUP(C207,Products!A207:A706,Products!C207:C706,"Category Missing",0)</f>
        <v>Food</v>
      </c>
      <c r="I207" s="11">
        <f>_xlfn.XLOOKUP(Orders!C207,Products!A207:A706,Products!D207:D706,"Price Missing",0)</f>
        <v>462.53</v>
      </c>
      <c r="J207" s="19">
        <f t="shared" si="3"/>
        <v>1850.12</v>
      </c>
    </row>
    <row r="208" spans="1:10" x14ac:dyDescent="0.35">
      <c r="A208" s="4" t="s">
        <v>4228</v>
      </c>
      <c r="B208" s="7" t="s">
        <v>521</v>
      </c>
      <c r="C208" s="7" t="s">
        <v>3526</v>
      </c>
      <c r="D208" s="5">
        <v>7</v>
      </c>
      <c r="E208" s="7" t="str">
        <f>_xlfn.XLOOKUP(B208,Customers!A208:A1207,Customers!B208:B1207,"Customer Not Found",0)</f>
        <v>Customer Not Found</v>
      </c>
      <c r="F208" s="7" t="str">
        <f>_xlfn.XLOOKUP(Orders!B208,Customers!A208:A1207,Customers!C208:C1207,"Country not Found",0)</f>
        <v>Country not Found</v>
      </c>
      <c r="G208" s="7" t="str">
        <f>_xlfn.XLOOKUP(C208,Products!A208:A707,Products!B208:B707,"Product Missing",0)</f>
        <v>Product_254</v>
      </c>
      <c r="H208" s="7" t="str">
        <f>_xlfn.XLOOKUP(C208,Products!A208:A707,Products!C208:C707,"Category Missing",0)</f>
        <v>Home</v>
      </c>
      <c r="I208" s="11">
        <f>_xlfn.XLOOKUP(Orders!C208,Products!A208:A707,Products!D208:D707,"Price Missing",0)</f>
        <v>366</v>
      </c>
      <c r="J208" s="19">
        <f t="shared" si="3"/>
        <v>2562</v>
      </c>
    </row>
    <row r="209" spans="1:10" x14ac:dyDescent="0.35">
      <c r="A209" s="4" t="s">
        <v>4229</v>
      </c>
      <c r="B209" s="7" t="s">
        <v>2909</v>
      </c>
      <c r="C209" s="7" t="s">
        <v>3472</v>
      </c>
      <c r="D209" s="5">
        <v>3</v>
      </c>
      <c r="E209" s="7" t="str">
        <f>_xlfn.XLOOKUP(B209,Customers!A209:A1208,Customers!B209:B1208,"Customer Not Found",0)</f>
        <v>Customer_967</v>
      </c>
      <c r="F209" s="7" t="str">
        <f>_xlfn.XLOOKUP(Orders!B209,Customers!A209:A1208,Customers!C209:C1208,"Country not Found",0)</f>
        <v>South Africa</v>
      </c>
      <c r="G209" s="7" t="str">
        <f>_xlfn.XLOOKUP(C209,Products!A209:A708,Products!B209:B708,"Product Missing",0)</f>
        <v>Product_227</v>
      </c>
      <c r="H209" s="7" t="str">
        <f>_xlfn.XLOOKUP(C209,Products!A209:A708,Products!C209:C708,"Category Missing",0)</f>
        <v>Home</v>
      </c>
      <c r="I209" s="11">
        <f>_xlfn.XLOOKUP(Orders!C209,Products!A209:A708,Products!D209:D708,"Price Missing",0)</f>
        <v>14.02</v>
      </c>
      <c r="J209" s="19">
        <f t="shared" si="3"/>
        <v>42.06</v>
      </c>
    </row>
    <row r="210" spans="1:10" x14ac:dyDescent="0.35">
      <c r="A210" s="4" t="s">
        <v>4230</v>
      </c>
      <c r="B210" s="7" t="s">
        <v>1259</v>
      </c>
      <c r="C210" s="7" t="s">
        <v>3306</v>
      </c>
      <c r="D210" s="5">
        <v>10</v>
      </c>
      <c r="E210" s="7" t="str">
        <f>_xlfn.XLOOKUP(B210,Customers!A210:A1209,Customers!B210:B1209,"Customer Not Found",0)</f>
        <v>Customer_417</v>
      </c>
      <c r="F210" s="7" t="str">
        <f>_xlfn.XLOOKUP(Orders!B210,Customers!A210:A1209,Customers!C210:C1209,"Country not Found",0)</f>
        <v>UK</v>
      </c>
      <c r="G210" s="7" t="str">
        <f>_xlfn.XLOOKUP(C210,Products!A210:A709,Products!B210:B709,"Product Missing",0)</f>
        <v>Product Missing</v>
      </c>
      <c r="H210" s="7" t="str">
        <f>_xlfn.XLOOKUP(C210,Products!A210:A709,Products!C210:C709,"Category Missing",0)</f>
        <v>Category Missing</v>
      </c>
      <c r="I210" s="11" t="str">
        <f>_xlfn.XLOOKUP(Orders!C210,Products!A210:A709,Products!D210:D709,"Price Missing",0)</f>
        <v>Price Missing</v>
      </c>
      <c r="J210" s="19">
        <f t="shared" si="3"/>
        <v>0</v>
      </c>
    </row>
    <row r="211" spans="1:10" x14ac:dyDescent="0.35">
      <c r="A211" s="4" t="s">
        <v>4231</v>
      </c>
      <c r="B211" s="7" t="s">
        <v>1931</v>
      </c>
      <c r="C211" s="7" t="s">
        <v>3758</v>
      </c>
      <c r="D211" s="5">
        <v>10</v>
      </c>
      <c r="E211" s="7" t="str">
        <f>_xlfn.XLOOKUP(B211,Customers!A211:A1210,Customers!B211:B1210,"Customer Not Found",0)</f>
        <v>Customer_641</v>
      </c>
      <c r="F211" s="7" t="str">
        <f>_xlfn.XLOOKUP(Orders!B211,Customers!A211:A1210,Customers!C211:C1210,"Country not Found",0)</f>
        <v>UK</v>
      </c>
      <c r="G211" s="7" t="str">
        <f>_xlfn.XLOOKUP(C211,Products!A211:A710,Products!B211:B710,"Product Missing",0)</f>
        <v>Product_370</v>
      </c>
      <c r="H211" s="7" t="str">
        <f>_xlfn.XLOOKUP(C211,Products!A211:A710,Products!C211:C710,"Category Missing",0)</f>
        <v>Clothing</v>
      </c>
      <c r="I211" s="11">
        <f>_xlfn.XLOOKUP(Orders!C211,Products!A211:A710,Products!D211:D710,"Price Missing",0)</f>
        <v>205.26</v>
      </c>
      <c r="J211" s="19">
        <f t="shared" si="3"/>
        <v>2052.6</v>
      </c>
    </row>
    <row r="212" spans="1:10" x14ac:dyDescent="0.35">
      <c r="A212" s="4" t="s">
        <v>4232</v>
      </c>
      <c r="B212" s="7" t="s">
        <v>962</v>
      </c>
      <c r="C212" s="7" t="s">
        <v>3426</v>
      </c>
      <c r="D212" s="5">
        <v>8</v>
      </c>
      <c r="E212" s="7" t="str">
        <f>_xlfn.XLOOKUP(B212,Customers!A212:A1211,Customers!B212:B1211,"Customer Not Found",0)</f>
        <v>Customer_318</v>
      </c>
      <c r="F212" s="7" t="str">
        <f>_xlfn.XLOOKUP(Orders!B212,Customers!A212:A1211,Customers!C212:C1211,"Country not Found",0)</f>
        <v>UK</v>
      </c>
      <c r="G212" s="7" t="str">
        <f>_xlfn.XLOOKUP(C212,Products!A212:A711,Products!B212:B711,"Product Missing",0)</f>
        <v>Product Missing</v>
      </c>
      <c r="H212" s="7" t="str">
        <f>_xlfn.XLOOKUP(C212,Products!A212:A711,Products!C212:C711,"Category Missing",0)</f>
        <v>Category Missing</v>
      </c>
      <c r="I212" s="11" t="str">
        <f>_xlfn.XLOOKUP(Orders!C212,Products!A212:A711,Products!D212:D711,"Price Missing",0)</f>
        <v>Price Missing</v>
      </c>
      <c r="J212" s="19">
        <f t="shared" si="3"/>
        <v>0</v>
      </c>
    </row>
    <row r="213" spans="1:10" x14ac:dyDescent="0.35">
      <c r="A213" s="4" t="s">
        <v>4233</v>
      </c>
      <c r="B213" s="7" t="s">
        <v>1535</v>
      </c>
      <c r="C213" s="7" t="s">
        <v>3400</v>
      </c>
      <c r="D213" s="5">
        <v>8</v>
      </c>
      <c r="E213" s="7" t="str">
        <f>_xlfn.XLOOKUP(B213,Customers!A213:A1212,Customers!B213:B1212,"Customer Not Found",0)</f>
        <v>Customer_509</v>
      </c>
      <c r="F213" s="7" t="str">
        <f>_xlfn.XLOOKUP(Orders!B213,Customers!A213:A1212,Customers!C213:C1212,"Country not Found",0)</f>
        <v>South Africa</v>
      </c>
      <c r="G213" s="7" t="str">
        <f>_xlfn.XLOOKUP(C213,Products!A213:A712,Products!B213:B712,"Product Missing",0)</f>
        <v>Product Missing</v>
      </c>
      <c r="H213" s="7" t="str">
        <f>_xlfn.XLOOKUP(C213,Products!A213:A712,Products!C213:C712,"Category Missing",0)</f>
        <v>Category Missing</v>
      </c>
      <c r="I213" s="11" t="str">
        <f>_xlfn.XLOOKUP(Orders!C213,Products!A213:A712,Products!D213:D712,"Price Missing",0)</f>
        <v>Price Missing</v>
      </c>
      <c r="J213" s="19">
        <f t="shared" si="3"/>
        <v>0</v>
      </c>
    </row>
    <row r="214" spans="1:10" x14ac:dyDescent="0.35">
      <c r="A214" s="4" t="s">
        <v>4234</v>
      </c>
      <c r="B214" s="7" t="s">
        <v>2672</v>
      </c>
      <c r="C214" s="7" t="s">
        <v>3176</v>
      </c>
      <c r="D214" s="5">
        <v>2</v>
      </c>
      <c r="E214" s="7" t="str">
        <f>_xlfn.XLOOKUP(B214,Customers!A214:A1213,Customers!B214:B1213,"Customer Not Found",0)</f>
        <v>Customer_888</v>
      </c>
      <c r="F214" s="7" t="str">
        <f>_xlfn.XLOOKUP(Orders!B214,Customers!A214:A1213,Customers!C214:C1213,"Country not Found",0)</f>
        <v>Canada</v>
      </c>
      <c r="G214" s="7" t="str">
        <f>_xlfn.XLOOKUP(C214,Products!A214:A713,Products!B214:B713,"Product Missing",0)</f>
        <v>Product Missing</v>
      </c>
      <c r="H214" s="7" t="str">
        <f>_xlfn.XLOOKUP(C214,Products!A214:A713,Products!C214:C713,"Category Missing",0)</f>
        <v>Category Missing</v>
      </c>
      <c r="I214" s="11" t="str">
        <f>_xlfn.XLOOKUP(Orders!C214,Products!A214:A713,Products!D214:D713,"Price Missing",0)</f>
        <v>Price Missing</v>
      </c>
      <c r="J214" s="19">
        <f t="shared" si="3"/>
        <v>0</v>
      </c>
    </row>
    <row r="215" spans="1:10" x14ac:dyDescent="0.35">
      <c r="A215" s="4" t="s">
        <v>4235</v>
      </c>
      <c r="B215" s="7" t="s">
        <v>860</v>
      </c>
      <c r="C215" s="7" t="s">
        <v>3690</v>
      </c>
      <c r="D215" s="5">
        <v>2</v>
      </c>
      <c r="E215" s="7" t="str">
        <f>_xlfn.XLOOKUP(B215,Customers!A215:A1214,Customers!B215:B1214,"Customer Not Found",0)</f>
        <v>Customer_284</v>
      </c>
      <c r="F215" s="7" t="str">
        <f>_xlfn.XLOOKUP(Orders!B215,Customers!A215:A1214,Customers!C215:C1214,"Country not Found",0)</f>
        <v>UK</v>
      </c>
      <c r="G215" s="7" t="str">
        <f>_xlfn.XLOOKUP(C215,Products!A215:A714,Products!B215:B714,"Product Missing",0)</f>
        <v>Product_336</v>
      </c>
      <c r="H215" s="7" t="str">
        <f>_xlfn.XLOOKUP(C215,Products!A215:A714,Products!C215:C714,"Category Missing",0)</f>
        <v>Sports</v>
      </c>
      <c r="I215" s="11">
        <f>_xlfn.XLOOKUP(Orders!C215,Products!A215:A714,Products!D215:D714,"Price Missing",0)</f>
        <v>71.55</v>
      </c>
      <c r="J215" s="19">
        <f t="shared" si="3"/>
        <v>143.1</v>
      </c>
    </row>
    <row r="216" spans="1:10" x14ac:dyDescent="0.35">
      <c r="A216" s="4" t="s">
        <v>4236</v>
      </c>
      <c r="B216" s="7" t="s">
        <v>1265</v>
      </c>
      <c r="C216" s="7" t="s">
        <v>3056</v>
      </c>
      <c r="D216" s="5">
        <v>4</v>
      </c>
      <c r="E216" s="7" t="str">
        <f>_xlfn.XLOOKUP(B216,Customers!A216:A1215,Customers!B216:B1215,"Customer Not Found",0)</f>
        <v>Customer_419</v>
      </c>
      <c r="F216" s="7" t="str">
        <f>_xlfn.XLOOKUP(Orders!B216,Customers!A216:A1215,Customers!C216:C1215,"Country not Found",0)</f>
        <v>Kenya</v>
      </c>
      <c r="G216" s="7" t="str">
        <f>_xlfn.XLOOKUP(C216,Products!A216:A715,Products!B216:B715,"Product Missing",0)</f>
        <v>Product Missing</v>
      </c>
      <c r="H216" s="7" t="str">
        <f>_xlfn.XLOOKUP(C216,Products!A216:A715,Products!C216:C715,"Category Missing",0)</f>
        <v>Category Missing</v>
      </c>
      <c r="I216" s="11" t="str">
        <f>_xlfn.XLOOKUP(Orders!C216,Products!A216:A715,Products!D216:D715,"Price Missing",0)</f>
        <v>Price Missing</v>
      </c>
      <c r="J216" s="19">
        <f t="shared" si="3"/>
        <v>0</v>
      </c>
    </row>
    <row r="217" spans="1:10" x14ac:dyDescent="0.35">
      <c r="A217" s="4" t="s">
        <v>4237</v>
      </c>
      <c r="B217" s="7" t="s">
        <v>1217</v>
      </c>
      <c r="C217" s="7" t="s">
        <v>3458</v>
      </c>
      <c r="D217" s="5">
        <v>5</v>
      </c>
      <c r="E217" s="7" t="str">
        <f>_xlfn.XLOOKUP(B217,Customers!A217:A1216,Customers!B217:B1216,"Customer Not Found",0)</f>
        <v>Customer_403</v>
      </c>
      <c r="F217" s="7" t="str">
        <f>_xlfn.XLOOKUP(Orders!B217,Customers!A217:A1216,Customers!C217:C1216,"Country not Found",0)</f>
        <v>Ghana</v>
      </c>
      <c r="G217" s="7" t="str">
        <f>_xlfn.XLOOKUP(C217,Products!A217:A716,Products!B217:B716,"Product Missing",0)</f>
        <v>Product_220</v>
      </c>
      <c r="H217" s="7" t="str">
        <f>_xlfn.XLOOKUP(C217,Products!A217:A716,Products!C217:C716,"Category Missing",0)</f>
        <v>Sports</v>
      </c>
      <c r="I217" s="11">
        <f>_xlfn.XLOOKUP(Orders!C217,Products!A217:A716,Products!D217:D716,"Price Missing",0)</f>
        <v>82.11</v>
      </c>
      <c r="J217" s="19">
        <f t="shared" si="3"/>
        <v>410.55</v>
      </c>
    </row>
    <row r="218" spans="1:10" x14ac:dyDescent="0.35">
      <c r="A218" s="4" t="s">
        <v>4238</v>
      </c>
      <c r="B218" s="7" t="s">
        <v>2351</v>
      </c>
      <c r="C218" s="7" t="s">
        <v>3588</v>
      </c>
      <c r="D218" s="5">
        <v>7</v>
      </c>
      <c r="E218" s="7" t="str">
        <f>_xlfn.XLOOKUP(B218,Customers!A218:A1217,Customers!B218:B1217,"Customer Not Found",0)</f>
        <v>Customer_781</v>
      </c>
      <c r="F218" s="7" t="str">
        <f>_xlfn.XLOOKUP(Orders!B218,Customers!A218:A1217,Customers!C218:C1217,"Country not Found",0)</f>
        <v>Kenya</v>
      </c>
      <c r="G218" s="7" t="str">
        <f>_xlfn.XLOOKUP(C218,Products!A218:A717,Products!B218:B717,"Product Missing",0)</f>
        <v>Product_285</v>
      </c>
      <c r="H218" s="7" t="str">
        <f>_xlfn.XLOOKUP(C218,Products!A218:A717,Products!C218:C717,"Category Missing",0)</f>
        <v>Home</v>
      </c>
      <c r="I218" s="11">
        <f>_xlfn.XLOOKUP(Orders!C218,Products!A218:A717,Products!D218:D717,"Price Missing",0)</f>
        <v>222.09</v>
      </c>
      <c r="J218" s="19">
        <f t="shared" si="3"/>
        <v>1554.63</v>
      </c>
    </row>
    <row r="219" spans="1:10" x14ac:dyDescent="0.35">
      <c r="A219" s="4" t="s">
        <v>4239</v>
      </c>
      <c r="B219" s="7" t="s">
        <v>920</v>
      </c>
      <c r="C219" s="7" t="s">
        <v>3528</v>
      </c>
      <c r="D219" s="5">
        <v>1</v>
      </c>
      <c r="E219" s="7" t="str">
        <f>_xlfn.XLOOKUP(B219,Customers!A219:A1218,Customers!B219:B1218,"Customer Not Found",0)</f>
        <v>Customer_304</v>
      </c>
      <c r="F219" s="7" t="str">
        <f>_xlfn.XLOOKUP(Orders!B219,Customers!A219:A1218,Customers!C219:C1218,"Country not Found",0)</f>
        <v>Canada</v>
      </c>
      <c r="G219" s="7" t="str">
        <f>_xlfn.XLOOKUP(C219,Products!A219:A718,Products!B219:B718,"Product Missing",0)</f>
        <v>Product_255</v>
      </c>
      <c r="H219" s="7" t="str">
        <f>_xlfn.XLOOKUP(C219,Products!A219:A718,Products!C219:C718,"Category Missing",0)</f>
        <v>Clothing</v>
      </c>
      <c r="I219" s="11">
        <f>_xlfn.XLOOKUP(Orders!C219,Products!A219:A718,Products!D219:D718,"Price Missing",0)</f>
        <v>186.57</v>
      </c>
      <c r="J219" s="19">
        <f t="shared" si="3"/>
        <v>186.57</v>
      </c>
    </row>
    <row r="220" spans="1:10" x14ac:dyDescent="0.35">
      <c r="A220" s="4" t="s">
        <v>4240</v>
      </c>
      <c r="B220" s="7" t="s">
        <v>686</v>
      </c>
      <c r="C220" s="7" t="s">
        <v>3480</v>
      </c>
      <c r="D220" s="5">
        <v>7</v>
      </c>
      <c r="E220" s="7" t="str">
        <f>_xlfn.XLOOKUP(B220,Customers!A220:A1219,Customers!B220:B1219,"Customer Not Found",0)</f>
        <v>Customer_226</v>
      </c>
      <c r="F220" s="7" t="str">
        <f>_xlfn.XLOOKUP(Orders!B220,Customers!A220:A1219,Customers!C220:C1219,"Country not Found",0)</f>
        <v>USA</v>
      </c>
      <c r="G220" s="7" t="str">
        <f>_xlfn.XLOOKUP(C220,Products!A220:A719,Products!B220:B719,"Product Missing",0)</f>
        <v>Product_231</v>
      </c>
      <c r="H220" s="7" t="str">
        <f>_xlfn.XLOOKUP(C220,Products!A220:A719,Products!C220:C719,"Category Missing",0)</f>
        <v>Food</v>
      </c>
      <c r="I220" s="11">
        <f>_xlfn.XLOOKUP(Orders!C220,Products!A220:A719,Products!D220:D719,"Price Missing",0)</f>
        <v>337.23</v>
      </c>
      <c r="J220" s="19">
        <f t="shared" si="3"/>
        <v>2360.61</v>
      </c>
    </row>
    <row r="221" spans="1:10" x14ac:dyDescent="0.35">
      <c r="A221" s="4" t="s">
        <v>4241</v>
      </c>
      <c r="B221" s="7" t="s">
        <v>179</v>
      </c>
      <c r="C221" s="7" t="s">
        <v>3202</v>
      </c>
      <c r="D221" s="5">
        <v>8</v>
      </c>
      <c r="E221" s="7" t="str">
        <f>_xlfn.XLOOKUP(B221,Customers!A221:A1220,Customers!B221:B1220,"Customer Not Found",0)</f>
        <v>Customer Not Found</v>
      </c>
      <c r="F221" s="7" t="str">
        <f>_xlfn.XLOOKUP(Orders!B221,Customers!A221:A1220,Customers!C221:C1220,"Country not Found",0)</f>
        <v>Country not Found</v>
      </c>
      <c r="G221" s="7" t="str">
        <f>_xlfn.XLOOKUP(C221,Products!A221:A720,Products!B221:B720,"Product Missing",0)</f>
        <v>Product Missing</v>
      </c>
      <c r="H221" s="7" t="str">
        <f>_xlfn.XLOOKUP(C221,Products!A221:A720,Products!C221:C720,"Category Missing",0)</f>
        <v>Category Missing</v>
      </c>
      <c r="I221" s="11" t="str">
        <f>_xlfn.XLOOKUP(Orders!C221,Products!A221:A720,Products!D221:D720,"Price Missing",0)</f>
        <v>Price Missing</v>
      </c>
      <c r="J221" s="19">
        <f t="shared" si="3"/>
        <v>0</v>
      </c>
    </row>
    <row r="222" spans="1:10" x14ac:dyDescent="0.35">
      <c r="A222" s="4" t="s">
        <v>4242</v>
      </c>
      <c r="B222" s="7" t="s">
        <v>683</v>
      </c>
      <c r="C222" s="7" t="s">
        <v>3416</v>
      </c>
      <c r="D222" s="5">
        <v>7</v>
      </c>
      <c r="E222" s="7" t="str">
        <f>_xlfn.XLOOKUP(B222,Customers!A222:A1221,Customers!B222:B1221,"Customer Not Found",0)</f>
        <v>Customer_225</v>
      </c>
      <c r="F222" s="7" t="str">
        <f>_xlfn.XLOOKUP(Orders!B222,Customers!A222:A1221,Customers!C222:C1221,"Country not Found",0)</f>
        <v>Ghana</v>
      </c>
      <c r="G222" s="7" t="str">
        <f>_xlfn.XLOOKUP(C222,Products!A222:A721,Products!B222:B721,"Product Missing",0)</f>
        <v>Product Missing</v>
      </c>
      <c r="H222" s="7" t="str">
        <f>_xlfn.XLOOKUP(C222,Products!A222:A721,Products!C222:C721,"Category Missing",0)</f>
        <v>Category Missing</v>
      </c>
      <c r="I222" s="11" t="str">
        <f>_xlfn.XLOOKUP(Orders!C222,Products!A222:A721,Products!D222:D721,"Price Missing",0)</f>
        <v>Price Missing</v>
      </c>
      <c r="J222" s="19">
        <f t="shared" si="3"/>
        <v>0</v>
      </c>
    </row>
    <row r="223" spans="1:10" x14ac:dyDescent="0.35">
      <c r="A223" s="4" t="s">
        <v>4243</v>
      </c>
      <c r="B223" s="7" t="s">
        <v>311</v>
      </c>
      <c r="C223" s="7" t="s">
        <v>3876</v>
      </c>
      <c r="D223" s="5">
        <v>6</v>
      </c>
      <c r="E223" s="7" t="str">
        <f>_xlfn.XLOOKUP(B223,Customers!A223:A1222,Customers!B223:B1222,"Customer Not Found",0)</f>
        <v>Customer Not Found</v>
      </c>
      <c r="F223" s="7" t="str">
        <f>_xlfn.XLOOKUP(Orders!B223,Customers!A223:A1222,Customers!C223:C1222,"Country not Found",0)</f>
        <v>Country not Found</v>
      </c>
      <c r="G223" s="7" t="str">
        <f>_xlfn.XLOOKUP(C223,Products!A223:A722,Products!B223:B722,"Product Missing",0)</f>
        <v>Product_429</v>
      </c>
      <c r="H223" s="7" t="str">
        <f>_xlfn.XLOOKUP(C223,Products!A223:A722,Products!C223:C722,"Category Missing",0)</f>
        <v>Sports</v>
      </c>
      <c r="I223" s="11">
        <f>_xlfn.XLOOKUP(Orders!C223,Products!A223:A722,Products!D223:D722,"Price Missing",0)</f>
        <v>269.12</v>
      </c>
      <c r="J223" s="19">
        <f t="shared" si="3"/>
        <v>1614.72</v>
      </c>
    </row>
    <row r="224" spans="1:10" x14ac:dyDescent="0.35">
      <c r="A224" s="4" t="s">
        <v>4244</v>
      </c>
      <c r="B224" s="7" t="s">
        <v>2705</v>
      </c>
      <c r="C224" s="7" t="s">
        <v>3462</v>
      </c>
      <c r="D224" s="5">
        <v>3</v>
      </c>
      <c r="E224" s="7" t="str">
        <f>_xlfn.XLOOKUP(B224,Customers!A224:A1223,Customers!B224:B1223,"Customer Not Found",0)</f>
        <v>Customer_899</v>
      </c>
      <c r="F224" s="7" t="str">
        <f>_xlfn.XLOOKUP(Orders!B224,Customers!A224:A1223,Customers!C224:C1223,"Country not Found",0)</f>
        <v>UK</v>
      </c>
      <c r="G224" s="7" t="str">
        <f>_xlfn.XLOOKUP(C224,Products!A224:A723,Products!B224:B723,"Product Missing",0)</f>
        <v>Product Missing</v>
      </c>
      <c r="H224" s="7" t="str">
        <f>_xlfn.XLOOKUP(C224,Products!A224:A723,Products!C224:C723,"Category Missing",0)</f>
        <v>Category Missing</v>
      </c>
      <c r="I224" s="11" t="str">
        <f>_xlfn.XLOOKUP(Orders!C224,Products!A224:A723,Products!D224:D723,"Price Missing",0)</f>
        <v>Price Missing</v>
      </c>
      <c r="J224" s="19">
        <f t="shared" si="3"/>
        <v>0</v>
      </c>
    </row>
    <row r="225" spans="1:10" x14ac:dyDescent="0.35">
      <c r="A225" s="4" t="s">
        <v>4245</v>
      </c>
      <c r="B225" s="7" t="s">
        <v>1982</v>
      </c>
      <c r="C225" s="7" t="s">
        <v>3564</v>
      </c>
      <c r="D225" s="5">
        <v>4</v>
      </c>
      <c r="E225" s="7" t="str">
        <f>_xlfn.XLOOKUP(B225,Customers!A225:A1224,Customers!B225:B1224,"Customer Not Found",0)</f>
        <v>Customer_658</v>
      </c>
      <c r="F225" s="7" t="str">
        <f>_xlfn.XLOOKUP(Orders!B225,Customers!A225:A1224,Customers!C225:C1224,"Country not Found",0)</f>
        <v>Nigeria</v>
      </c>
      <c r="G225" s="7" t="str">
        <f>_xlfn.XLOOKUP(C225,Products!A225:A724,Products!B225:B724,"Product Missing",0)</f>
        <v>Product_273</v>
      </c>
      <c r="H225" s="7" t="str">
        <f>_xlfn.XLOOKUP(C225,Products!A225:A724,Products!C225:C724,"Category Missing",0)</f>
        <v>Sports</v>
      </c>
      <c r="I225" s="11">
        <f>_xlfn.XLOOKUP(Orders!C225,Products!A225:A724,Products!D225:D724,"Price Missing",0)</f>
        <v>81.459999999999994</v>
      </c>
      <c r="J225" s="19">
        <f t="shared" si="3"/>
        <v>325.83999999999997</v>
      </c>
    </row>
    <row r="226" spans="1:10" x14ac:dyDescent="0.35">
      <c r="A226" s="4" t="s">
        <v>4246</v>
      </c>
      <c r="B226" s="7" t="s">
        <v>314</v>
      </c>
      <c r="C226" s="7" t="s">
        <v>3370</v>
      </c>
      <c r="D226" s="5">
        <v>4</v>
      </c>
      <c r="E226" s="7" t="str">
        <f>_xlfn.XLOOKUP(B226,Customers!A226:A1225,Customers!B226:B1225,"Customer Not Found",0)</f>
        <v>Customer Not Found</v>
      </c>
      <c r="F226" s="7" t="str">
        <f>_xlfn.XLOOKUP(Orders!B226,Customers!A226:A1225,Customers!C226:C1225,"Country not Found",0)</f>
        <v>Country not Found</v>
      </c>
      <c r="G226" s="7" t="str">
        <f>_xlfn.XLOOKUP(C226,Products!A226:A725,Products!B226:B725,"Product Missing",0)</f>
        <v>Product Missing</v>
      </c>
      <c r="H226" s="7" t="str">
        <f>_xlfn.XLOOKUP(C226,Products!A226:A725,Products!C226:C725,"Category Missing",0)</f>
        <v>Category Missing</v>
      </c>
      <c r="I226" s="11" t="str">
        <f>_xlfn.XLOOKUP(Orders!C226,Products!A226:A725,Products!D226:D725,"Price Missing",0)</f>
        <v>Price Missing</v>
      </c>
      <c r="J226" s="19">
        <f t="shared" si="3"/>
        <v>0</v>
      </c>
    </row>
    <row r="227" spans="1:10" x14ac:dyDescent="0.35">
      <c r="A227" s="4" t="s">
        <v>4247</v>
      </c>
      <c r="B227" s="7" t="s">
        <v>2915</v>
      </c>
      <c r="C227" s="7" t="s">
        <v>3856</v>
      </c>
      <c r="D227" s="5">
        <v>2</v>
      </c>
      <c r="E227" s="7" t="str">
        <f>_xlfn.XLOOKUP(B227,Customers!A227:A1226,Customers!B227:B1226,"Customer Not Found",0)</f>
        <v>Customer_969</v>
      </c>
      <c r="F227" s="7" t="str">
        <f>_xlfn.XLOOKUP(Orders!B227,Customers!A227:A1226,Customers!C227:C1226,"Country not Found",0)</f>
        <v>Canada</v>
      </c>
      <c r="G227" s="7" t="str">
        <f>_xlfn.XLOOKUP(C227,Products!A227:A726,Products!B227:B726,"Product Missing",0)</f>
        <v>Product_419</v>
      </c>
      <c r="H227" s="7" t="str">
        <f>_xlfn.XLOOKUP(C227,Products!A227:A726,Products!C227:C726,"Category Missing",0)</f>
        <v>Electronics</v>
      </c>
      <c r="I227" s="11">
        <f>_xlfn.XLOOKUP(Orders!C227,Products!A227:A726,Products!D227:D726,"Price Missing",0)</f>
        <v>34.869999999999997</v>
      </c>
      <c r="J227" s="19">
        <f t="shared" si="3"/>
        <v>69.739999999999995</v>
      </c>
    </row>
    <row r="228" spans="1:10" x14ac:dyDescent="0.35">
      <c r="A228" s="4" t="s">
        <v>4248</v>
      </c>
      <c r="B228" s="7" t="s">
        <v>2681</v>
      </c>
      <c r="C228" s="7" t="s">
        <v>3032</v>
      </c>
      <c r="D228" s="5">
        <v>2</v>
      </c>
      <c r="E228" s="7" t="str">
        <f>_xlfn.XLOOKUP(B228,Customers!A228:A1227,Customers!B228:B1227,"Customer Not Found",0)</f>
        <v>Customer_891</v>
      </c>
      <c r="F228" s="7" t="str">
        <f>_xlfn.XLOOKUP(Orders!B228,Customers!A228:A1227,Customers!C228:C1227,"Country not Found",0)</f>
        <v>Nigeria</v>
      </c>
      <c r="G228" s="7" t="str">
        <f>_xlfn.XLOOKUP(C228,Products!A228:A727,Products!B228:B727,"Product Missing",0)</f>
        <v>Product Missing</v>
      </c>
      <c r="H228" s="7" t="str">
        <f>_xlfn.XLOOKUP(C228,Products!A228:A727,Products!C228:C727,"Category Missing",0)</f>
        <v>Category Missing</v>
      </c>
      <c r="I228" s="11" t="str">
        <f>_xlfn.XLOOKUP(Orders!C228,Products!A228:A727,Products!D228:D727,"Price Missing",0)</f>
        <v>Price Missing</v>
      </c>
      <c r="J228" s="19">
        <f t="shared" si="3"/>
        <v>0</v>
      </c>
    </row>
    <row r="229" spans="1:10" x14ac:dyDescent="0.35">
      <c r="A229" s="4" t="s">
        <v>4249</v>
      </c>
      <c r="B229" s="7" t="s">
        <v>293</v>
      </c>
      <c r="C229" s="7" t="s">
        <v>3568</v>
      </c>
      <c r="D229" s="5">
        <v>1</v>
      </c>
      <c r="E229" s="7" t="str">
        <f>_xlfn.XLOOKUP(B229,Customers!A229:A1228,Customers!B229:B1228,"Customer Not Found",0)</f>
        <v>Customer Not Found</v>
      </c>
      <c r="F229" s="7" t="str">
        <f>_xlfn.XLOOKUP(Orders!B229,Customers!A229:A1228,Customers!C229:C1228,"Country not Found",0)</f>
        <v>Country not Found</v>
      </c>
      <c r="G229" s="7" t="str">
        <f>_xlfn.XLOOKUP(C229,Products!A229:A728,Products!B229:B728,"Product Missing",0)</f>
        <v>Product_275</v>
      </c>
      <c r="H229" s="7" t="str">
        <f>_xlfn.XLOOKUP(C229,Products!A229:A728,Products!C229:C728,"Category Missing",0)</f>
        <v>Sports</v>
      </c>
      <c r="I229" s="11">
        <f>_xlfn.XLOOKUP(Orders!C229,Products!A229:A728,Products!D229:D728,"Price Missing",0)</f>
        <v>472.34</v>
      </c>
      <c r="J229" s="19">
        <f t="shared" si="3"/>
        <v>472.34</v>
      </c>
    </row>
    <row r="230" spans="1:10" x14ac:dyDescent="0.35">
      <c r="A230" s="4" t="s">
        <v>4250</v>
      </c>
      <c r="B230" s="7" t="s">
        <v>356</v>
      </c>
      <c r="C230" s="7" t="s">
        <v>3164</v>
      </c>
      <c r="D230" s="5">
        <v>10</v>
      </c>
      <c r="E230" s="7" t="str">
        <f>_xlfn.XLOOKUP(B230,Customers!A230:A1229,Customers!B230:B1229,"Customer Not Found",0)</f>
        <v>Customer Not Found</v>
      </c>
      <c r="F230" s="7" t="str">
        <f>_xlfn.XLOOKUP(Orders!B230,Customers!A230:A1229,Customers!C230:C1229,"Country not Found",0)</f>
        <v>Country not Found</v>
      </c>
      <c r="G230" s="7" t="str">
        <f>_xlfn.XLOOKUP(C230,Products!A230:A729,Products!B230:B729,"Product Missing",0)</f>
        <v>Product Missing</v>
      </c>
      <c r="H230" s="7" t="str">
        <f>_xlfn.XLOOKUP(C230,Products!A230:A729,Products!C230:C729,"Category Missing",0)</f>
        <v>Category Missing</v>
      </c>
      <c r="I230" s="11" t="str">
        <f>_xlfn.XLOOKUP(Orders!C230,Products!A230:A729,Products!D230:D729,"Price Missing",0)</f>
        <v>Price Missing</v>
      </c>
      <c r="J230" s="19">
        <f t="shared" si="3"/>
        <v>0</v>
      </c>
    </row>
    <row r="231" spans="1:10" x14ac:dyDescent="0.35">
      <c r="A231" s="4" t="s">
        <v>4251</v>
      </c>
      <c r="B231" s="7" t="s">
        <v>2474</v>
      </c>
      <c r="C231" s="7" t="s">
        <v>3840</v>
      </c>
      <c r="D231" s="5">
        <v>6</v>
      </c>
      <c r="E231" s="7" t="str">
        <f>_xlfn.XLOOKUP(B231,Customers!A231:A1230,Customers!B231:B1230,"Customer Not Found",0)</f>
        <v>Customer_822</v>
      </c>
      <c r="F231" s="7" t="str">
        <f>_xlfn.XLOOKUP(Orders!B231,Customers!A231:A1230,Customers!C231:C1230,"Country not Found",0)</f>
        <v>Kenya</v>
      </c>
      <c r="G231" s="7" t="str">
        <f>_xlfn.XLOOKUP(C231,Products!A231:A730,Products!B231:B730,"Product Missing",0)</f>
        <v>Product_411</v>
      </c>
      <c r="H231" s="7" t="str">
        <f>_xlfn.XLOOKUP(C231,Products!A231:A730,Products!C231:C730,"Category Missing",0)</f>
        <v>Food</v>
      </c>
      <c r="I231" s="11">
        <f>_xlfn.XLOOKUP(Orders!C231,Products!A231:A730,Products!D231:D730,"Price Missing",0)</f>
        <v>325.14</v>
      </c>
      <c r="J231" s="19">
        <f t="shared" si="3"/>
        <v>1950.84</v>
      </c>
    </row>
    <row r="232" spans="1:10" x14ac:dyDescent="0.35">
      <c r="A232" s="4" t="s">
        <v>4252</v>
      </c>
      <c r="B232" s="7" t="s">
        <v>503</v>
      </c>
      <c r="C232" s="7" t="s">
        <v>3110</v>
      </c>
      <c r="D232" s="5">
        <v>4</v>
      </c>
      <c r="E232" s="7" t="str">
        <f>_xlfn.XLOOKUP(B232,Customers!A232:A1231,Customers!B232:B1231,"Customer Not Found",0)</f>
        <v>Customer Not Found</v>
      </c>
      <c r="F232" s="7" t="str">
        <f>_xlfn.XLOOKUP(Orders!B232,Customers!A232:A1231,Customers!C232:C1231,"Country not Found",0)</f>
        <v>Country not Found</v>
      </c>
      <c r="G232" s="7" t="str">
        <f>_xlfn.XLOOKUP(C232,Products!A232:A731,Products!B232:B731,"Product Missing",0)</f>
        <v>Product Missing</v>
      </c>
      <c r="H232" s="7" t="str">
        <f>_xlfn.XLOOKUP(C232,Products!A232:A731,Products!C232:C731,"Category Missing",0)</f>
        <v>Category Missing</v>
      </c>
      <c r="I232" s="11" t="str">
        <f>_xlfn.XLOOKUP(Orders!C232,Products!A232:A731,Products!D232:D731,"Price Missing",0)</f>
        <v>Price Missing</v>
      </c>
      <c r="J232" s="19">
        <f t="shared" si="3"/>
        <v>0</v>
      </c>
    </row>
    <row r="233" spans="1:10" x14ac:dyDescent="0.35">
      <c r="A233" s="4" t="s">
        <v>4253</v>
      </c>
      <c r="B233" s="7" t="s">
        <v>2768</v>
      </c>
      <c r="C233" s="7" t="s">
        <v>3654</v>
      </c>
      <c r="D233" s="5">
        <v>1</v>
      </c>
      <c r="E233" s="7" t="str">
        <f>_xlfn.XLOOKUP(B233,Customers!A233:A1232,Customers!B233:B1232,"Customer Not Found",0)</f>
        <v>Customer_920</v>
      </c>
      <c r="F233" s="7" t="str">
        <f>_xlfn.XLOOKUP(Orders!B233,Customers!A233:A1232,Customers!C233:C1232,"Country not Found",0)</f>
        <v>Ghana</v>
      </c>
      <c r="G233" s="7" t="str">
        <f>_xlfn.XLOOKUP(C233,Products!A233:A732,Products!B233:B732,"Product Missing",0)</f>
        <v>Product_318</v>
      </c>
      <c r="H233" s="7" t="str">
        <f>_xlfn.XLOOKUP(C233,Products!A233:A732,Products!C233:C732,"Category Missing",0)</f>
        <v>Home</v>
      </c>
      <c r="I233" s="11">
        <f>_xlfn.XLOOKUP(Orders!C233,Products!A233:A732,Products!D233:D732,"Price Missing",0)</f>
        <v>272.77999999999997</v>
      </c>
      <c r="J233" s="19">
        <f t="shared" si="3"/>
        <v>272.77999999999997</v>
      </c>
    </row>
    <row r="234" spans="1:10" x14ac:dyDescent="0.35">
      <c r="A234" s="4" t="s">
        <v>4254</v>
      </c>
      <c r="B234" s="7" t="s">
        <v>1565</v>
      </c>
      <c r="C234" s="7" t="s">
        <v>3760</v>
      </c>
      <c r="D234" s="5">
        <v>8</v>
      </c>
      <c r="E234" s="7" t="str">
        <f>_xlfn.XLOOKUP(B234,Customers!A234:A1233,Customers!B234:B1233,"Customer Not Found",0)</f>
        <v>Customer_519</v>
      </c>
      <c r="F234" s="7" t="str">
        <f>_xlfn.XLOOKUP(Orders!B234,Customers!A234:A1233,Customers!C234:C1233,"Country not Found",0)</f>
        <v>USA</v>
      </c>
      <c r="G234" s="7" t="str">
        <f>_xlfn.XLOOKUP(C234,Products!A234:A733,Products!B234:B733,"Product Missing",0)</f>
        <v>Product_371</v>
      </c>
      <c r="H234" s="7" t="str">
        <f>_xlfn.XLOOKUP(C234,Products!A234:A733,Products!C234:C733,"Category Missing",0)</f>
        <v>Sports</v>
      </c>
      <c r="I234" s="11">
        <f>_xlfn.XLOOKUP(Orders!C234,Products!A234:A733,Products!D234:D733,"Price Missing",0)</f>
        <v>160.24</v>
      </c>
      <c r="J234" s="19">
        <f t="shared" si="3"/>
        <v>1281.92</v>
      </c>
    </row>
    <row r="235" spans="1:10" x14ac:dyDescent="0.35">
      <c r="A235" s="4" t="s">
        <v>4255</v>
      </c>
      <c r="B235" s="7" t="s">
        <v>2594</v>
      </c>
      <c r="C235" s="7" t="s">
        <v>3064</v>
      </c>
      <c r="D235" s="5">
        <v>4</v>
      </c>
      <c r="E235" s="7" t="str">
        <f>_xlfn.XLOOKUP(B235,Customers!A235:A1234,Customers!B235:B1234,"Customer Not Found",0)</f>
        <v>Customer_862</v>
      </c>
      <c r="F235" s="7" t="str">
        <f>_xlfn.XLOOKUP(Orders!B235,Customers!A235:A1234,Customers!C235:C1234,"Country not Found",0)</f>
        <v>USA</v>
      </c>
      <c r="G235" s="7" t="str">
        <f>_xlfn.XLOOKUP(C235,Products!A235:A734,Products!B235:B734,"Product Missing",0)</f>
        <v>Product Missing</v>
      </c>
      <c r="H235" s="7" t="str">
        <f>_xlfn.XLOOKUP(C235,Products!A235:A734,Products!C235:C734,"Category Missing",0)</f>
        <v>Category Missing</v>
      </c>
      <c r="I235" s="11" t="str">
        <f>_xlfn.XLOOKUP(Orders!C235,Products!A235:A734,Products!D235:D734,"Price Missing",0)</f>
        <v>Price Missing</v>
      </c>
      <c r="J235" s="19">
        <f t="shared" si="3"/>
        <v>0</v>
      </c>
    </row>
    <row r="236" spans="1:10" x14ac:dyDescent="0.35">
      <c r="A236" s="4" t="s">
        <v>4256</v>
      </c>
      <c r="B236" s="7" t="s">
        <v>1679</v>
      </c>
      <c r="C236" s="7" t="s">
        <v>3654</v>
      </c>
      <c r="D236" s="5">
        <v>7</v>
      </c>
      <c r="E236" s="7" t="str">
        <f>_xlfn.XLOOKUP(B236,Customers!A236:A1235,Customers!B236:B1235,"Customer Not Found",0)</f>
        <v>Customer_557</v>
      </c>
      <c r="F236" s="7" t="str">
        <f>_xlfn.XLOOKUP(Orders!B236,Customers!A236:A1235,Customers!C236:C1235,"Country not Found",0)</f>
        <v>Canada</v>
      </c>
      <c r="G236" s="7" t="str">
        <f>_xlfn.XLOOKUP(C236,Products!A236:A735,Products!B236:B735,"Product Missing",0)</f>
        <v>Product_318</v>
      </c>
      <c r="H236" s="7" t="str">
        <f>_xlfn.XLOOKUP(C236,Products!A236:A735,Products!C236:C735,"Category Missing",0)</f>
        <v>Home</v>
      </c>
      <c r="I236" s="11">
        <f>_xlfn.XLOOKUP(Orders!C236,Products!A236:A735,Products!D236:D735,"Price Missing",0)</f>
        <v>272.77999999999997</v>
      </c>
      <c r="J236" s="19">
        <f t="shared" si="3"/>
        <v>1909.4599999999998</v>
      </c>
    </row>
    <row r="237" spans="1:10" x14ac:dyDescent="0.35">
      <c r="A237" s="4" t="s">
        <v>4257</v>
      </c>
      <c r="B237" s="7" t="s">
        <v>73</v>
      </c>
      <c r="C237" s="7" t="s">
        <v>3342</v>
      </c>
      <c r="D237" s="5">
        <v>4</v>
      </c>
      <c r="E237" s="7" t="str">
        <f>_xlfn.XLOOKUP(B237,Customers!A237:A1236,Customers!B237:B1236,"Customer Not Found",0)</f>
        <v>Customer Not Found</v>
      </c>
      <c r="F237" s="7" t="str">
        <f>_xlfn.XLOOKUP(Orders!B237,Customers!A237:A1236,Customers!C237:C1236,"Country not Found",0)</f>
        <v>Country not Found</v>
      </c>
      <c r="G237" s="7" t="str">
        <f>_xlfn.XLOOKUP(C237,Products!A237:A736,Products!B237:B736,"Product Missing",0)</f>
        <v>Product Missing</v>
      </c>
      <c r="H237" s="7" t="str">
        <f>_xlfn.XLOOKUP(C237,Products!A237:A736,Products!C237:C736,"Category Missing",0)</f>
        <v>Category Missing</v>
      </c>
      <c r="I237" s="11" t="str">
        <f>_xlfn.XLOOKUP(Orders!C237,Products!A237:A736,Products!D237:D736,"Price Missing",0)</f>
        <v>Price Missing</v>
      </c>
      <c r="J237" s="19">
        <f t="shared" si="3"/>
        <v>0</v>
      </c>
    </row>
    <row r="238" spans="1:10" x14ac:dyDescent="0.35">
      <c r="A238" s="4" t="s">
        <v>4258</v>
      </c>
      <c r="B238" s="7" t="s">
        <v>458</v>
      </c>
      <c r="C238" s="7" t="s">
        <v>3556</v>
      </c>
      <c r="D238" s="5">
        <v>3</v>
      </c>
      <c r="E238" s="7" t="str">
        <f>_xlfn.XLOOKUP(B238,Customers!A238:A1237,Customers!B238:B1237,"Customer Not Found",0)</f>
        <v>Customer Not Found</v>
      </c>
      <c r="F238" s="7" t="str">
        <f>_xlfn.XLOOKUP(Orders!B238,Customers!A238:A1237,Customers!C238:C1237,"Country not Found",0)</f>
        <v>Country not Found</v>
      </c>
      <c r="G238" s="7" t="str">
        <f>_xlfn.XLOOKUP(C238,Products!A238:A737,Products!B238:B737,"Product Missing",0)</f>
        <v>Product_269</v>
      </c>
      <c r="H238" s="7" t="str">
        <f>_xlfn.XLOOKUP(C238,Products!A238:A737,Products!C238:C737,"Category Missing",0)</f>
        <v>Food</v>
      </c>
      <c r="I238" s="11">
        <f>_xlfn.XLOOKUP(Orders!C238,Products!A238:A737,Products!D238:D737,"Price Missing",0)</f>
        <v>51.25</v>
      </c>
      <c r="J238" s="19">
        <f t="shared" si="3"/>
        <v>153.75</v>
      </c>
    </row>
    <row r="239" spans="1:10" x14ac:dyDescent="0.35">
      <c r="A239" s="4" t="s">
        <v>4259</v>
      </c>
      <c r="B239" s="7" t="s">
        <v>2324</v>
      </c>
      <c r="C239" s="7" t="s">
        <v>3168</v>
      </c>
      <c r="D239" s="5">
        <v>10</v>
      </c>
      <c r="E239" s="7" t="str">
        <f>_xlfn.XLOOKUP(B239,Customers!A239:A1238,Customers!B239:B1238,"Customer Not Found",0)</f>
        <v>Customer_772</v>
      </c>
      <c r="F239" s="7" t="str">
        <f>_xlfn.XLOOKUP(Orders!B239,Customers!A239:A1238,Customers!C239:C1238,"Country not Found",0)</f>
        <v>Ghana</v>
      </c>
      <c r="G239" s="7" t="str">
        <f>_xlfn.XLOOKUP(C239,Products!A239:A738,Products!B239:B738,"Product Missing",0)</f>
        <v>Product Missing</v>
      </c>
      <c r="H239" s="7" t="str">
        <f>_xlfn.XLOOKUP(C239,Products!A239:A738,Products!C239:C738,"Category Missing",0)</f>
        <v>Category Missing</v>
      </c>
      <c r="I239" s="11" t="str">
        <f>_xlfn.XLOOKUP(Orders!C239,Products!A239:A738,Products!D239:D738,"Price Missing",0)</f>
        <v>Price Missing</v>
      </c>
      <c r="J239" s="19">
        <f t="shared" si="3"/>
        <v>0</v>
      </c>
    </row>
    <row r="240" spans="1:10" x14ac:dyDescent="0.35">
      <c r="A240" s="4" t="s">
        <v>4260</v>
      </c>
      <c r="B240" s="7" t="s">
        <v>698</v>
      </c>
      <c r="C240" s="7" t="s">
        <v>3764</v>
      </c>
      <c r="D240" s="5">
        <v>2</v>
      </c>
      <c r="E240" s="7" t="str">
        <f>_xlfn.XLOOKUP(B240,Customers!A240:A1239,Customers!B240:B1239,"Customer Not Found",0)</f>
        <v>Customer Not Found</v>
      </c>
      <c r="F240" s="7" t="str">
        <f>_xlfn.XLOOKUP(Orders!B240,Customers!A240:A1239,Customers!C240:C1239,"Country not Found",0)</f>
        <v>Country not Found</v>
      </c>
      <c r="G240" s="7" t="str">
        <f>_xlfn.XLOOKUP(C240,Products!A240:A739,Products!B240:B739,"Product Missing",0)</f>
        <v>Product_373</v>
      </c>
      <c r="H240" s="7" t="str">
        <f>_xlfn.XLOOKUP(C240,Products!A240:A739,Products!C240:C739,"Category Missing",0)</f>
        <v>Electronics</v>
      </c>
      <c r="I240" s="11">
        <f>_xlfn.XLOOKUP(Orders!C240,Products!A240:A739,Products!D240:D739,"Price Missing",0)</f>
        <v>333.99</v>
      </c>
      <c r="J240" s="19">
        <f t="shared" si="3"/>
        <v>667.98</v>
      </c>
    </row>
    <row r="241" spans="1:10" x14ac:dyDescent="0.35">
      <c r="A241" s="4" t="s">
        <v>4261</v>
      </c>
      <c r="B241" s="7" t="s">
        <v>2474</v>
      </c>
      <c r="C241" s="7" t="s">
        <v>3966</v>
      </c>
      <c r="D241" s="5">
        <v>2</v>
      </c>
      <c r="E241" s="7" t="str">
        <f>_xlfn.XLOOKUP(B241,Customers!A241:A1240,Customers!B241:B1240,"Customer Not Found",0)</f>
        <v>Customer_822</v>
      </c>
      <c r="F241" s="7" t="str">
        <f>_xlfn.XLOOKUP(Orders!B241,Customers!A241:A1240,Customers!C241:C1240,"Country not Found",0)</f>
        <v>Kenya</v>
      </c>
      <c r="G241" s="7" t="str">
        <f>_xlfn.XLOOKUP(C241,Products!A241:A740,Products!B241:B740,"Product Missing",0)</f>
        <v>Product_474</v>
      </c>
      <c r="H241" s="7" t="str">
        <f>_xlfn.XLOOKUP(C241,Products!A241:A740,Products!C241:C740,"Category Missing",0)</f>
        <v>Food</v>
      </c>
      <c r="I241" s="11">
        <f>_xlfn.XLOOKUP(Orders!C241,Products!A241:A740,Products!D241:D740,"Price Missing",0)</f>
        <v>456.62</v>
      </c>
      <c r="J241" s="19">
        <f t="shared" si="3"/>
        <v>913.24</v>
      </c>
    </row>
    <row r="242" spans="1:10" x14ac:dyDescent="0.35">
      <c r="A242" s="4" t="s">
        <v>4262</v>
      </c>
      <c r="B242" s="7" t="s">
        <v>719</v>
      </c>
      <c r="C242" s="7" t="s">
        <v>3694</v>
      </c>
      <c r="D242" s="5">
        <v>6</v>
      </c>
      <c r="E242" s="7" t="str">
        <f>_xlfn.XLOOKUP(B242,Customers!A242:A1241,Customers!B242:B1241,"Customer Not Found",0)</f>
        <v>Customer Not Found</v>
      </c>
      <c r="F242" s="7" t="str">
        <f>_xlfn.XLOOKUP(Orders!B242,Customers!A242:A1241,Customers!C242:C1241,"Country not Found",0)</f>
        <v>Country not Found</v>
      </c>
      <c r="G242" s="7" t="str">
        <f>_xlfn.XLOOKUP(C242,Products!A242:A741,Products!B242:B741,"Product Missing",0)</f>
        <v>Product_338</v>
      </c>
      <c r="H242" s="7" t="str">
        <f>_xlfn.XLOOKUP(C242,Products!A242:A741,Products!C242:C741,"Category Missing",0)</f>
        <v>Home</v>
      </c>
      <c r="I242" s="11">
        <f>_xlfn.XLOOKUP(Orders!C242,Products!A242:A741,Products!D242:D741,"Price Missing",0)</f>
        <v>491.06</v>
      </c>
      <c r="J242" s="19">
        <f t="shared" si="3"/>
        <v>2946.36</v>
      </c>
    </row>
    <row r="243" spans="1:10" x14ac:dyDescent="0.35">
      <c r="A243" s="4" t="s">
        <v>4263</v>
      </c>
      <c r="B243" s="7" t="s">
        <v>2747</v>
      </c>
      <c r="C243" s="7" t="s">
        <v>3430</v>
      </c>
      <c r="D243" s="5">
        <v>7</v>
      </c>
      <c r="E243" s="7" t="str">
        <f>_xlfn.XLOOKUP(B243,Customers!A243:A1242,Customers!B243:B1242,"Customer Not Found",0)</f>
        <v>Customer_913</v>
      </c>
      <c r="F243" s="7" t="str">
        <f>_xlfn.XLOOKUP(Orders!B243,Customers!A243:A1242,Customers!C243:C1242,"Country not Found",0)</f>
        <v>Kenya</v>
      </c>
      <c r="G243" s="7" t="str">
        <f>_xlfn.XLOOKUP(C243,Products!A243:A742,Products!B243:B742,"Product Missing",0)</f>
        <v>Product Missing</v>
      </c>
      <c r="H243" s="7" t="str">
        <f>_xlfn.XLOOKUP(C243,Products!A243:A742,Products!C243:C742,"Category Missing",0)</f>
        <v>Category Missing</v>
      </c>
      <c r="I243" s="11" t="str">
        <f>_xlfn.XLOOKUP(Orders!C243,Products!A243:A742,Products!D243:D742,"Price Missing",0)</f>
        <v>Price Missing</v>
      </c>
      <c r="J243" s="19">
        <f t="shared" si="3"/>
        <v>0</v>
      </c>
    </row>
    <row r="244" spans="1:10" x14ac:dyDescent="0.35">
      <c r="A244" s="4" t="s">
        <v>4264</v>
      </c>
      <c r="B244" s="7" t="s">
        <v>76</v>
      </c>
      <c r="C244" s="7" t="s">
        <v>4012</v>
      </c>
      <c r="D244" s="5">
        <v>10</v>
      </c>
      <c r="E244" s="7" t="str">
        <f>_xlfn.XLOOKUP(B244,Customers!A244:A1243,Customers!B244:B1243,"Customer Not Found",0)</f>
        <v>Customer Not Found</v>
      </c>
      <c r="F244" s="7" t="str">
        <f>_xlfn.XLOOKUP(Orders!B244,Customers!A244:A1243,Customers!C244:C1243,"Country not Found",0)</f>
        <v>Country not Found</v>
      </c>
      <c r="G244" s="7" t="str">
        <f>_xlfn.XLOOKUP(C244,Products!A244:A743,Products!B244:B743,"Product Missing",0)</f>
        <v>Product_497</v>
      </c>
      <c r="H244" s="7" t="str">
        <f>_xlfn.XLOOKUP(C244,Products!A244:A743,Products!C244:C743,"Category Missing",0)</f>
        <v>Sports</v>
      </c>
      <c r="I244" s="11">
        <f>_xlfn.XLOOKUP(Orders!C244,Products!A244:A743,Products!D244:D743,"Price Missing",0)</f>
        <v>414.31</v>
      </c>
      <c r="J244" s="19">
        <f t="shared" si="3"/>
        <v>4143.1000000000004</v>
      </c>
    </row>
    <row r="245" spans="1:10" x14ac:dyDescent="0.35">
      <c r="A245" s="4" t="s">
        <v>4265</v>
      </c>
      <c r="B245" s="7" t="s">
        <v>1001</v>
      </c>
      <c r="C245" s="7" t="s">
        <v>3528</v>
      </c>
      <c r="D245" s="5">
        <v>5</v>
      </c>
      <c r="E245" s="7" t="str">
        <f>_xlfn.XLOOKUP(B245,Customers!A245:A1244,Customers!B245:B1244,"Customer Not Found",0)</f>
        <v>Customer_331</v>
      </c>
      <c r="F245" s="7" t="str">
        <f>_xlfn.XLOOKUP(Orders!B245,Customers!A245:A1244,Customers!C245:C1244,"Country not Found",0)</f>
        <v>Kenya</v>
      </c>
      <c r="G245" s="7" t="str">
        <f>_xlfn.XLOOKUP(C245,Products!A245:A744,Products!B245:B744,"Product Missing",0)</f>
        <v>Product_255</v>
      </c>
      <c r="H245" s="7" t="str">
        <f>_xlfn.XLOOKUP(C245,Products!A245:A744,Products!C245:C744,"Category Missing",0)</f>
        <v>Clothing</v>
      </c>
      <c r="I245" s="11">
        <f>_xlfn.XLOOKUP(Orders!C245,Products!A245:A744,Products!D245:D744,"Price Missing",0)</f>
        <v>186.57</v>
      </c>
      <c r="J245" s="19">
        <f t="shared" si="3"/>
        <v>932.84999999999991</v>
      </c>
    </row>
    <row r="246" spans="1:10" x14ac:dyDescent="0.35">
      <c r="A246" s="4" t="s">
        <v>4266</v>
      </c>
      <c r="B246" s="7" t="s">
        <v>1607</v>
      </c>
      <c r="C246" s="7" t="s">
        <v>3118</v>
      </c>
      <c r="D246" s="5">
        <v>9</v>
      </c>
      <c r="E246" s="7" t="str">
        <f>_xlfn.XLOOKUP(B246,Customers!A246:A1245,Customers!B246:B1245,"Customer Not Found",0)</f>
        <v>Customer_533</v>
      </c>
      <c r="F246" s="7" t="str">
        <f>_xlfn.XLOOKUP(Orders!B246,Customers!A246:A1245,Customers!C246:C1245,"Country not Found",0)</f>
        <v>South Africa</v>
      </c>
      <c r="G246" s="7" t="str">
        <f>_xlfn.XLOOKUP(C246,Products!A246:A745,Products!B246:B745,"Product Missing",0)</f>
        <v>Product Missing</v>
      </c>
      <c r="H246" s="7" t="str">
        <f>_xlfn.XLOOKUP(C246,Products!A246:A745,Products!C246:C745,"Category Missing",0)</f>
        <v>Category Missing</v>
      </c>
      <c r="I246" s="11" t="str">
        <f>_xlfn.XLOOKUP(Orders!C246,Products!A246:A745,Products!D246:D745,"Price Missing",0)</f>
        <v>Price Missing</v>
      </c>
      <c r="J246" s="19">
        <f t="shared" si="3"/>
        <v>0</v>
      </c>
    </row>
    <row r="247" spans="1:10" x14ac:dyDescent="0.35">
      <c r="A247" s="4" t="s">
        <v>4267</v>
      </c>
      <c r="B247" s="7" t="s">
        <v>2114</v>
      </c>
      <c r="C247" s="7" t="s">
        <v>3098</v>
      </c>
      <c r="D247" s="5">
        <v>8</v>
      </c>
      <c r="E247" s="7" t="str">
        <f>_xlfn.XLOOKUP(B247,Customers!A247:A1246,Customers!B247:B1246,"Customer Not Found",0)</f>
        <v>Customer_702</v>
      </c>
      <c r="F247" s="7" t="str">
        <f>_xlfn.XLOOKUP(Orders!B247,Customers!A247:A1246,Customers!C247:C1246,"Country not Found",0)</f>
        <v>Ghana</v>
      </c>
      <c r="G247" s="7" t="str">
        <f>_xlfn.XLOOKUP(C247,Products!A247:A746,Products!B247:B746,"Product Missing",0)</f>
        <v>Product Missing</v>
      </c>
      <c r="H247" s="7" t="str">
        <f>_xlfn.XLOOKUP(C247,Products!A247:A746,Products!C247:C746,"Category Missing",0)</f>
        <v>Category Missing</v>
      </c>
      <c r="I247" s="11" t="str">
        <f>_xlfn.XLOOKUP(Orders!C247,Products!A247:A746,Products!D247:D746,"Price Missing",0)</f>
        <v>Price Missing</v>
      </c>
      <c r="J247" s="19">
        <f t="shared" si="3"/>
        <v>0</v>
      </c>
    </row>
    <row r="248" spans="1:10" x14ac:dyDescent="0.35">
      <c r="A248" s="4" t="s">
        <v>4268</v>
      </c>
      <c r="B248" s="7" t="s">
        <v>2774</v>
      </c>
      <c r="C248" s="7" t="s">
        <v>3464</v>
      </c>
      <c r="D248" s="5">
        <v>4</v>
      </c>
      <c r="E248" s="7" t="str">
        <f>_xlfn.XLOOKUP(B248,Customers!A248:A1247,Customers!B248:B1247,"Customer Not Found",0)</f>
        <v>Customer_922</v>
      </c>
      <c r="F248" s="7" t="str">
        <f>_xlfn.XLOOKUP(Orders!B248,Customers!A248:A1247,Customers!C248:C1247,"Country not Found",0)</f>
        <v>Canada</v>
      </c>
      <c r="G248" s="7" t="str">
        <f>_xlfn.XLOOKUP(C248,Products!A248:A747,Products!B248:B747,"Product Missing",0)</f>
        <v>Product Missing</v>
      </c>
      <c r="H248" s="7" t="str">
        <f>_xlfn.XLOOKUP(C248,Products!A248:A747,Products!C248:C747,"Category Missing",0)</f>
        <v>Category Missing</v>
      </c>
      <c r="I248" s="11" t="str">
        <f>_xlfn.XLOOKUP(Orders!C248,Products!A248:A747,Products!D248:D747,"Price Missing",0)</f>
        <v>Price Missing</v>
      </c>
      <c r="J248" s="19">
        <f t="shared" si="3"/>
        <v>0</v>
      </c>
    </row>
    <row r="249" spans="1:10" x14ac:dyDescent="0.35">
      <c r="A249" s="4" t="s">
        <v>4269</v>
      </c>
      <c r="B249" s="7" t="s">
        <v>1838</v>
      </c>
      <c r="C249" s="7" t="s">
        <v>3714</v>
      </c>
      <c r="D249" s="5">
        <v>6</v>
      </c>
      <c r="E249" s="7" t="str">
        <f>_xlfn.XLOOKUP(B249,Customers!A249:A1248,Customers!B249:B1248,"Customer Not Found",0)</f>
        <v>Customer_610</v>
      </c>
      <c r="F249" s="7" t="str">
        <f>_xlfn.XLOOKUP(Orders!B249,Customers!A249:A1248,Customers!C249:C1248,"Country not Found",0)</f>
        <v>USA</v>
      </c>
      <c r="G249" s="7" t="str">
        <f>_xlfn.XLOOKUP(C249,Products!A249:A748,Products!B249:B748,"Product Missing",0)</f>
        <v>Product_348</v>
      </c>
      <c r="H249" s="7" t="str">
        <f>_xlfn.XLOOKUP(C249,Products!A249:A748,Products!C249:C748,"Category Missing",0)</f>
        <v>Sports</v>
      </c>
      <c r="I249" s="11">
        <f>_xlfn.XLOOKUP(Orders!C249,Products!A249:A748,Products!D249:D748,"Price Missing",0)</f>
        <v>37.74</v>
      </c>
      <c r="J249" s="19">
        <f t="shared" si="3"/>
        <v>226.44</v>
      </c>
    </row>
    <row r="250" spans="1:10" x14ac:dyDescent="0.35">
      <c r="A250" s="4" t="s">
        <v>4270</v>
      </c>
      <c r="B250" s="7" t="s">
        <v>2489</v>
      </c>
      <c r="C250" s="7" t="s">
        <v>3956</v>
      </c>
      <c r="D250" s="5">
        <v>2</v>
      </c>
      <c r="E250" s="7" t="str">
        <f>_xlfn.XLOOKUP(B250,Customers!A250:A1249,Customers!B250:B1249,"Customer Not Found",0)</f>
        <v>Customer_827</v>
      </c>
      <c r="F250" s="7" t="str">
        <f>_xlfn.XLOOKUP(Orders!B250,Customers!A250:A1249,Customers!C250:C1249,"Country not Found",0)</f>
        <v>South Africa</v>
      </c>
      <c r="G250" s="7" t="str">
        <f>_xlfn.XLOOKUP(C250,Products!A250:A749,Products!B250:B749,"Product Missing",0)</f>
        <v>Product_469</v>
      </c>
      <c r="H250" s="7" t="str">
        <f>_xlfn.XLOOKUP(C250,Products!A250:A749,Products!C250:C749,"Category Missing",0)</f>
        <v>Home</v>
      </c>
      <c r="I250" s="11">
        <f>_xlfn.XLOOKUP(Orders!C250,Products!A250:A749,Products!D250:D749,"Price Missing",0)</f>
        <v>477.63</v>
      </c>
      <c r="J250" s="19">
        <f t="shared" si="3"/>
        <v>955.26</v>
      </c>
    </row>
    <row r="251" spans="1:10" x14ac:dyDescent="0.35">
      <c r="A251" s="4" t="s">
        <v>4271</v>
      </c>
      <c r="B251" s="7" t="s">
        <v>362</v>
      </c>
      <c r="C251" s="7" t="s">
        <v>3606</v>
      </c>
      <c r="D251" s="5">
        <v>1</v>
      </c>
      <c r="E251" s="7" t="str">
        <f>_xlfn.XLOOKUP(B251,Customers!A251:A1250,Customers!B251:B1250,"Customer Not Found",0)</f>
        <v>Customer Not Found</v>
      </c>
      <c r="F251" s="7" t="str">
        <f>_xlfn.XLOOKUP(Orders!B251,Customers!A251:A1250,Customers!C251:C1250,"Country not Found",0)</f>
        <v>Country not Found</v>
      </c>
      <c r="G251" s="7" t="str">
        <f>_xlfn.XLOOKUP(C251,Products!A251:A750,Products!B251:B750,"Product Missing",0)</f>
        <v>Product_294</v>
      </c>
      <c r="H251" s="7" t="str">
        <f>_xlfn.XLOOKUP(C251,Products!A251:A750,Products!C251:C750,"Category Missing",0)</f>
        <v>Clothing</v>
      </c>
      <c r="I251" s="11">
        <f>_xlfn.XLOOKUP(Orders!C251,Products!A251:A750,Products!D251:D750,"Price Missing",0)</f>
        <v>346.85</v>
      </c>
      <c r="J251" s="19">
        <f t="shared" si="3"/>
        <v>346.85</v>
      </c>
    </row>
    <row r="252" spans="1:10" x14ac:dyDescent="0.35">
      <c r="A252" s="4" t="s">
        <v>4272</v>
      </c>
      <c r="B252" s="7" t="s">
        <v>1889</v>
      </c>
      <c r="C252" s="7" t="s">
        <v>3100</v>
      </c>
      <c r="D252" s="5">
        <v>10</v>
      </c>
      <c r="E252" s="7" t="str">
        <f>_xlfn.XLOOKUP(B252,Customers!A252:A1251,Customers!B252:B1251,"Customer Not Found",0)</f>
        <v>Customer_627</v>
      </c>
      <c r="F252" s="7" t="str">
        <f>_xlfn.XLOOKUP(Orders!B252,Customers!A252:A1251,Customers!C252:C1251,"Country not Found",0)</f>
        <v>UK</v>
      </c>
      <c r="G252" s="7" t="str">
        <f>_xlfn.XLOOKUP(C252,Products!A252:A751,Products!B252:B751,"Product Missing",0)</f>
        <v>Product Missing</v>
      </c>
      <c r="H252" s="7" t="str">
        <f>_xlfn.XLOOKUP(C252,Products!A252:A751,Products!C252:C751,"Category Missing",0)</f>
        <v>Category Missing</v>
      </c>
      <c r="I252" s="11" t="str">
        <f>_xlfn.XLOOKUP(Orders!C252,Products!A252:A751,Products!D252:D751,"Price Missing",0)</f>
        <v>Price Missing</v>
      </c>
      <c r="J252" s="19">
        <f t="shared" si="3"/>
        <v>0</v>
      </c>
    </row>
    <row r="253" spans="1:10" x14ac:dyDescent="0.35">
      <c r="A253" s="4" t="s">
        <v>4273</v>
      </c>
      <c r="B253" s="7" t="s">
        <v>2282</v>
      </c>
      <c r="C253" s="7" t="s">
        <v>3548</v>
      </c>
      <c r="D253" s="5">
        <v>3</v>
      </c>
      <c r="E253" s="7" t="str">
        <f>_xlfn.XLOOKUP(B253,Customers!A253:A1252,Customers!B253:B1252,"Customer Not Found",0)</f>
        <v>Customer_758</v>
      </c>
      <c r="F253" s="7" t="str">
        <f>_xlfn.XLOOKUP(Orders!B253,Customers!A253:A1252,Customers!C253:C1252,"Country not Found",0)</f>
        <v>UK</v>
      </c>
      <c r="G253" s="7" t="str">
        <f>_xlfn.XLOOKUP(C253,Products!A253:A752,Products!B253:B752,"Product Missing",0)</f>
        <v>Product_265</v>
      </c>
      <c r="H253" s="7" t="str">
        <f>_xlfn.XLOOKUP(C253,Products!A253:A752,Products!C253:C752,"Category Missing",0)</f>
        <v>Clothing</v>
      </c>
      <c r="I253" s="11">
        <f>_xlfn.XLOOKUP(Orders!C253,Products!A253:A752,Products!D253:D752,"Price Missing",0)</f>
        <v>300.54000000000002</v>
      </c>
      <c r="J253" s="19">
        <f t="shared" si="3"/>
        <v>901.62000000000012</v>
      </c>
    </row>
    <row r="254" spans="1:10" x14ac:dyDescent="0.35">
      <c r="A254" s="4" t="s">
        <v>4274</v>
      </c>
      <c r="B254" s="7" t="s">
        <v>2585</v>
      </c>
      <c r="C254" s="7" t="s">
        <v>3658</v>
      </c>
      <c r="D254" s="5">
        <v>5</v>
      </c>
      <c r="E254" s="7" t="str">
        <f>_xlfn.XLOOKUP(B254,Customers!A254:A1253,Customers!B254:B1253,"Customer Not Found",0)</f>
        <v>Customer_859</v>
      </c>
      <c r="F254" s="7" t="str">
        <f>_xlfn.XLOOKUP(Orders!B254,Customers!A254:A1253,Customers!C254:C1253,"Country not Found",0)</f>
        <v>UK</v>
      </c>
      <c r="G254" s="7" t="str">
        <f>_xlfn.XLOOKUP(C254,Products!A254:A753,Products!B254:B753,"Product Missing",0)</f>
        <v>Product_320</v>
      </c>
      <c r="H254" s="7" t="str">
        <f>_xlfn.XLOOKUP(C254,Products!A254:A753,Products!C254:C753,"Category Missing",0)</f>
        <v>Clothing</v>
      </c>
      <c r="I254" s="11">
        <f>_xlfn.XLOOKUP(Orders!C254,Products!A254:A753,Products!D254:D753,"Price Missing",0)</f>
        <v>161.71</v>
      </c>
      <c r="J254" s="19">
        <f t="shared" si="3"/>
        <v>808.55000000000007</v>
      </c>
    </row>
    <row r="255" spans="1:10" x14ac:dyDescent="0.35">
      <c r="A255" s="4" t="s">
        <v>4275</v>
      </c>
      <c r="B255" s="7" t="s">
        <v>2501</v>
      </c>
      <c r="C255" s="7" t="s">
        <v>3984</v>
      </c>
      <c r="D255" s="5">
        <v>5</v>
      </c>
      <c r="E255" s="7" t="str">
        <f>_xlfn.XLOOKUP(B255,Customers!A255:A1254,Customers!B255:B1254,"Customer Not Found",0)</f>
        <v>Customer_831</v>
      </c>
      <c r="F255" s="7" t="str">
        <f>_xlfn.XLOOKUP(Orders!B255,Customers!A255:A1254,Customers!C255:C1254,"Country not Found",0)</f>
        <v>Ghana</v>
      </c>
      <c r="G255" s="7" t="str">
        <f>_xlfn.XLOOKUP(C255,Products!A255:A754,Products!B255:B754,"Product Missing",0)</f>
        <v>Product_483</v>
      </c>
      <c r="H255" s="7" t="str">
        <f>_xlfn.XLOOKUP(C255,Products!A255:A754,Products!C255:C754,"Category Missing",0)</f>
        <v>Sports</v>
      </c>
      <c r="I255" s="11">
        <f>_xlfn.XLOOKUP(Orders!C255,Products!A255:A754,Products!D255:D754,"Price Missing",0)</f>
        <v>284.79000000000002</v>
      </c>
      <c r="J255" s="19">
        <f t="shared" si="3"/>
        <v>1423.95</v>
      </c>
    </row>
    <row r="256" spans="1:10" x14ac:dyDescent="0.35">
      <c r="A256" s="4" t="s">
        <v>4276</v>
      </c>
      <c r="B256" s="7" t="s">
        <v>2462</v>
      </c>
      <c r="C256" s="7" t="s">
        <v>3658</v>
      </c>
      <c r="D256" s="5">
        <v>5</v>
      </c>
      <c r="E256" s="7" t="str">
        <f>_xlfn.XLOOKUP(B256,Customers!A256:A1255,Customers!B256:B1255,"Customer Not Found",0)</f>
        <v>Customer_818</v>
      </c>
      <c r="F256" s="7" t="str">
        <f>_xlfn.XLOOKUP(Orders!B256,Customers!A256:A1255,Customers!C256:C1255,"Country not Found",0)</f>
        <v>South Africa</v>
      </c>
      <c r="G256" s="7" t="str">
        <f>_xlfn.XLOOKUP(C256,Products!A256:A755,Products!B256:B755,"Product Missing",0)</f>
        <v>Product_320</v>
      </c>
      <c r="H256" s="7" t="str">
        <f>_xlfn.XLOOKUP(C256,Products!A256:A755,Products!C256:C755,"Category Missing",0)</f>
        <v>Clothing</v>
      </c>
      <c r="I256" s="11">
        <f>_xlfn.XLOOKUP(Orders!C256,Products!A256:A755,Products!D256:D755,"Price Missing",0)</f>
        <v>161.71</v>
      </c>
      <c r="J256" s="19">
        <f t="shared" si="3"/>
        <v>808.55000000000007</v>
      </c>
    </row>
    <row r="257" spans="1:10" x14ac:dyDescent="0.35">
      <c r="A257" s="4" t="s">
        <v>4277</v>
      </c>
      <c r="B257" s="7" t="s">
        <v>767</v>
      </c>
      <c r="C257" s="7" t="s">
        <v>3134</v>
      </c>
      <c r="D257" s="5">
        <v>7</v>
      </c>
      <c r="E257" s="7" t="str">
        <f>_xlfn.XLOOKUP(B257,Customers!A257:A1256,Customers!B257:B1256,"Customer Not Found",0)</f>
        <v>Customer Not Found</v>
      </c>
      <c r="F257" s="7" t="str">
        <f>_xlfn.XLOOKUP(Orders!B257,Customers!A257:A1256,Customers!C257:C1256,"Country not Found",0)</f>
        <v>Country not Found</v>
      </c>
      <c r="G257" s="7" t="str">
        <f>_xlfn.XLOOKUP(C257,Products!A257:A756,Products!B257:B756,"Product Missing",0)</f>
        <v>Product Missing</v>
      </c>
      <c r="H257" s="7" t="str">
        <f>_xlfn.XLOOKUP(C257,Products!A257:A756,Products!C257:C756,"Category Missing",0)</f>
        <v>Category Missing</v>
      </c>
      <c r="I257" s="11" t="str">
        <f>_xlfn.XLOOKUP(Orders!C257,Products!A257:A756,Products!D257:D756,"Price Missing",0)</f>
        <v>Price Missing</v>
      </c>
      <c r="J257" s="19">
        <f t="shared" si="3"/>
        <v>0</v>
      </c>
    </row>
    <row r="258" spans="1:10" x14ac:dyDescent="0.35">
      <c r="A258" s="4" t="s">
        <v>4278</v>
      </c>
      <c r="B258" s="7" t="s">
        <v>1703</v>
      </c>
      <c r="C258" s="7" t="s">
        <v>3110</v>
      </c>
      <c r="D258" s="5">
        <v>1</v>
      </c>
      <c r="E258" s="7" t="str">
        <f>_xlfn.XLOOKUP(B258,Customers!A258:A1257,Customers!B258:B1257,"Customer Not Found",0)</f>
        <v>Customer_565</v>
      </c>
      <c r="F258" s="7" t="str">
        <f>_xlfn.XLOOKUP(Orders!B258,Customers!A258:A1257,Customers!C258:C1257,"Country not Found",0)</f>
        <v>Canada</v>
      </c>
      <c r="G258" s="7" t="str">
        <f>_xlfn.XLOOKUP(C258,Products!A258:A757,Products!B258:B757,"Product Missing",0)</f>
        <v>Product Missing</v>
      </c>
      <c r="H258" s="7" t="str">
        <f>_xlfn.XLOOKUP(C258,Products!A258:A757,Products!C258:C757,"Category Missing",0)</f>
        <v>Category Missing</v>
      </c>
      <c r="I258" s="11" t="str">
        <f>_xlfn.XLOOKUP(Orders!C258,Products!A258:A757,Products!D258:D757,"Price Missing",0)</f>
        <v>Price Missing</v>
      </c>
      <c r="J258" s="19">
        <f t="shared" si="3"/>
        <v>0</v>
      </c>
    </row>
    <row r="259" spans="1:10" x14ac:dyDescent="0.35">
      <c r="A259" s="4" t="s">
        <v>4279</v>
      </c>
      <c r="B259" s="7" t="s">
        <v>2441</v>
      </c>
      <c r="C259" s="7" t="s">
        <v>3990</v>
      </c>
      <c r="D259" s="5">
        <v>5</v>
      </c>
      <c r="E259" s="7" t="str">
        <f>_xlfn.XLOOKUP(B259,Customers!A259:A1258,Customers!B259:B1258,"Customer Not Found",0)</f>
        <v>Customer_811</v>
      </c>
      <c r="F259" s="7" t="str">
        <f>_xlfn.XLOOKUP(Orders!B259,Customers!A259:A1258,Customers!C259:C1258,"Country not Found",0)</f>
        <v>Kenya</v>
      </c>
      <c r="G259" s="7" t="str">
        <f>_xlfn.XLOOKUP(C259,Products!A259:A758,Products!B259:B758,"Product Missing",0)</f>
        <v>Product_486</v>
      </c>
      <c r="H259" s="7" t="str">
        <f>_xlfn.XLOOKUP(C259,Products!A259:A758,Products!C259:C758,"Category Missing",0)</f>
        <v>Sports</v>
      </c>
      <c r="I259" s="11">
        <f>_xlfn.XLOOKUP(Orders!C259,Products!A259:A758,Products!D259:D758,"Price Missing",0)</f>
        <v>368.74</v>
      </c>
      <c r="J259" s="19">
        <f t="shared" ref="J259:J322" si="4">IFERROR(I259*D259,0)</f>
        <v>1843.7</v>
      </c>
    </row>
    <row r="260" spans="1:10" x14ac:dyDescent="0.35">
      <c r="A260" s="4" t="s">
        <v>4280</v>
      </c>
      <c r="B260" s="7" t="s">
        <v>2168</v>
      </c>
      <c r="C260" s="7" t="s">
        <v>3322</v>
      </c>
      <c r="D260" s="5">
        <v>6</v>
      </c>
      <c r="E260" s="7" t="str">
        <f>_xlfn.XLOOKUP(B260,Customers!A260:A1259,Customers!B260:B1259,"Customer Not Found",0)</f>
        <v>Customer_720</v>
      </c>
      <c r="F260" s="7" t="str">
        <f>_xlfn.XLOOKUP(Orders!B260,Customers!A260:A1259,Customers!C260:C1259,"Country not Found",0)</f>
        <v>Kenya</v>
      </c>
      <c r="G260" s="7" t="str">
        <f>_xlfn.XLOOKUP(C260,Products!A260:A759,Products!B260:B759,"Product Missing",0)</f>
        <v>Product Missing</v>
      </c>
      <c r="H260" s="7" t="str">
        <f>_xlfn.XLOOKUP(C260,Products!A260:A759,Products!C260:C759,"Category Missing",0)</f>
        <v>Category Missing</v>
      </c>
      <c r="I260" s="11" t="str">
        <f>_xlfn.XLOOKUP(Orders!C260,Products!A260:A759,Products!D260:D759,"Price Missing",0)</f>
        <v>Price Missing</v>
      </c>
      <c r="J260" s="19">
        <f t="shared" si="4"/>
        <v>0</v>
      </c>
    </row>
    <row r="261" spans="1:10" x14ac:dyDescent="0.35">
      <c r="A261" s="4" t="s">
        <v>4281</v>
      </c>
      <c r="B261" s="7" t="s">
        <v>55</v>
      </c>
      <c r="C261" s="7" t="s">
        <v>3214</v>
      </c>
      <c r="D261" s="5">
        <v>5</v>
      </c>
      <c r="E261" s="7" t="str">
        <f>_xlfn.XLOOKUP(B261,Customers!A261:A1260,Customers!B261:B1260,"Customer Not Found",0)</f>
        <v>Customer Not Found</v>
      </c>
      <c r="F261" s="7" t="str">
        <f>_xlfn.XLOOKUP(Orders!B261,Customers!A261:A1260,Customers!C261:C1260,"Country not Found",0)</f>
        <v>Country not Found</v>
      </c>
      <c r="G261" s="7" t="str">
        <f>_xlfn.XLOOKUP(C261,Products!A261:A760,Products!B261:B760,"Product Missing",0)</f>
        <v>Product Missing</v>
      </c>
      <c r="H261" s="7" t="str">
        <f>_xlfn.XLOOKUP(C261,Products!A261:A760,Products!C261:C760,"Category Missing",0)</f>
        <v>Category Missing</v>
      </c>
      <c r="I261" s="11" t="str">
        <f>_xlfn.XLOOKUP(Orders!C261,Products!A261:A760,Products!D261:D760,"Price Missing",0)</f>
        <v>Price Missing</v>
      </c>
      <c r="J261" s="19">
        <f t="shared" si="4"/>
        <v>0</v>
      </c>
    </row>
    <row r="262" spans="1:10" x14ac:dyDescent="0.35">
      <c r="A262" s="4" t="s">
        <v>4282</v>
      </c>
      <c r="B262" s="7" t="s">
        <v>974</v>
      </c>
      <c r="C262" s="7" t="s">
        <v>3794</v>
      </c>
      <c r="D262" s="5">
        <v>7</v>
      </c>
      <c r="E262" s="7" t="str">
        <f>_xlfn.XLOOKUP(B262,Customers!A262:A1261,Customers!B262:B1261,"Customer Not Found",0)</f>
        <v>Customer_322</v>
      </c>
      <c r="F262" s="7" t="str">
        <f>_xlfn.XLOOKUP(Orders!B262,Customers!A262:A1261,Customers!C262:C1261,"Country not Found",0)</f>
        <v>UK</v>
      </c>
      <c r="G262" s="7" t="str">
        <f>_xlfn.XLOOKUP(C262,Products!A262:A761,Products!B262:B761,"Product Missing",0)</f>
        <v>Product_388</v>
      </c>
      <c r="H262" s="7" t="str">
        <f>_xlfn.XLOOKUP(C262,Products!A262:A761,Products!C262:C761,"Category Missing",0)</f>
        <v>Sports</v>
      </c>
      <c r="I262" s="11">
        <f>_xlfn.XLOOKUP(Orders!C262,Products!A262:A761,Products!D262:D761,"Price Missing",0)</f>
        <v>167.04</v>
      </c>
      <c r="J262" s="19">
        <f t="shared" si="4"/>
        <v>1169.28</v>
      </c>
    </row>
    <row r="263" spans="1:10" x14ac:dyDescent="0.35">
      <c r="A263" s="4" t="s">
        <v>4283</v>
      </c>
      <c r="B263" s="7" t="s">
        <v>2810</v>
      </c>
      <c r="C263" s="7" t="s">
        <v>3494</v>
      </c>
      <c r="D263" s="5">
        <v>7</v>
      </c>
      <c r="E263" s="7" t="str">
        <f>_xlfn.XLOOKUP(B263,Customers!A263:A1262,Customers!B263:B1262,"Customer Not Found",0)</f>
        <v>Customer_934</v>
      </c>
      <c r="F263" s="7" t="str">
        <f>_xlfn.XLOOKUP(Orders!B263,Customers!A263:A1262,Customers!C263:C1262,"Country not Found",0)</f>
        <v>Kenya</v>
      </c>
      <c r="G263" s="7" t="str">
        <f>_xlfn.XLOOKUP(C263,Products!A263:A762,Products!B263:B762,"Product Missing",0)</f>
        <v>Product Missing</v>
      </c>
      <c r="H263" s="7" t="str">
        <f>_xlfn.XLOOKUP(C263,Products!A263:A762,Products!C263:C762,"Category Missing",0)</f>
        <v>Category Missing</v>
      </c>
      <c r="I263" s="11" t="str">
        <f>_xlfn.XLOOKUP(Orders!C263,Products!A263:A762,Products!D263:D762,"Price Missing",0)</f>
        <v>Price Missing</v>
      </c>
      <c r="J263" s="19">
        <f t="shared" si="4"/>
        <v>0</v>
      </c>
    </row>
    <row r="264" spans="1:10" x14ac:dyDescent="0.35">
      <c r="A264" s="4" t="s">
        <v>4284</v>
      </c>
      <c r="B264" s="7" t="s">
        <v>1496</v>
      </c>
      <c r="C264" s="7" t="s">
        <v>3546</v>
      </c>
      <c r="D264" s="5">
        <v>4</v>
      </c>
      <c r="E264" s="7" t="str">
        <f>_xlfn.XLOOKUP(B264,Customers!A264:A1263,Customers!B264:B1263,"Customer Not Found",0)</f>
        <v>Customer_496</v>
      </c>
      <c r="F264" s="7" t="str">
        <f>_xlfn.XLOOKUP(Orders!B264,Customers!A264:A1263,Customers!C264:C1263,"Country not Found",0)</f>
        <v>Nigeria</v>
      </c>
      <c r="G264" s="7" t="str">
        <f>_xlfn.XLOOKUP(C264,Products!A264:A763,Products!B264:B763,"Product Missing",0)</f>
        <v>Product_264</v>
      </c>
      <c r="H264" s="7" t="str">
        <f>_xlfn.XLOOKUP(C264,Products!A264:A763,Products!C264:C763,"Category Missing",0)</f>
        <v>Sports</v>
      </c>
      <c r="I264" s="11">
        <f>_xlfn.XLOOKUP(Orders!C264,Products!A264:A763,Products!D264:D763,"Price Missing",0)</f>
        <v>287.17</v>
      </c>
      <c r="J264" s="19">
        <f t="shared" si="4"/>
        <v>1148.68</v>
      </c>
    </row>
    <row r="265" spans="1:10" x14ac:dyDescent="0.35">
      <c r="A265" s="4" t="s">
        <v>4285</v>
      </c>
      <c r="B265" s="7" t="s">
        <v>743</v>
      </c>
      <c r="C265" s="7" t="s">
        <v>3120</v>
      </c>
      <c r="D265" s="5">
        <v>9</v>
      </c>
      <c r="E265" s="7" t="str">
        <f>_xlfn.XLOOKUP(B265,Customers!A265:A1264,Customers!B265:B1264,"Customer Not Found",0)</f>
        <v>Customer Not Found</v>
      </c>
      <c r="F265" s="7" t="str">
        <f>_xlfn.XLOOKUP(Orders!B265,Customers!A265:A1264,Customers!C265:C1264,"Country not Found",0)</f>
        <v>Country not Found</v>
      </c>
      <c r="G265" s="7" t="str">
        <f>_xlfn.XLOOKUP(C265,Products!A265:A764,Products!B265:B764,"Product Missing",0)</f>
        <v>Product Missing</v>
      </c>
      <c r="H265" s="7" t="str">
        <f>_xlfn.XLOOKUP(C265,Products!A265:A764,Products!C265:C764,"Category Missing",0)</f>
        <v>Category Missing</v>
      </c>
      <c r="I265" s="11" t="str">
        <f>_xlfn.XLOOKUP(Orders!C265,Products!A265:A764,Products!D265:D764,"Price Missing",0)</f>
        <v>Price Missing</v>
      </c>
      <c r="J265" s="19">
        <f t="shared" si="4"/>
        <v>0</v>
      </c>
    </row>
    <row r="266" spans="1:10" x14ac:dyDescent="0.35">
      <c r="A266" s="4" t="s">
        <v>4286</v>
      </c>
      <c r="B266" s="7" t="s">
        <v>2828</v>
      </c>
      <c r="C266" s="7" t="s">
        <v>3140</v>
      </c>
      <c r="D266" s="5">
        <v>4</v>
      </c>
      <c r="E266" s="7" t="str">
        <f>_xlfn.XLOOKUP(B266,Customers!A266:A1265,Customers!B266:B1265,"Customer Not Found",0)</f>
        <v>Customer_940</v>
      </c>
      <c r="F266" s="7" t="str">
        <f>_xlfn.XLOOKUP(Orders!B266,Customers!A266:A1265,Customers!C266:C1265,"Country not Found",0)</f>
        <v>USA</v>
      </c>
      <c r="G266" s="7" t="str">
        <f>_xlfn.XLOOKUP(C266,Products!A266:A765,Products!B266:B765,"Product Missing",0)</f>
        <v>Product Missing</v>
      </c>
      <c r="H266" s="7" t="str">
        <f>_xlfn.XLOOKUP(C266,Products!A266:A765,Products!C266:C765,"Category Missing",0)</f>
        <v>Category Missing</v>
      </c>
      <c r="I266" s="11" t="str">
        <f>_xlfn.XLOOKUP(Orders!C266,Products!A266:A765,Products!D266:D765,"Price Missing",0)</f>
        <v>Price Missing</v>
      </c>
      <c r="J266" s="19">
        <f t="shared" si="4"/>
        <v>0</v>
      </c>
    </row>
    <row r="267" spans="1:10" x14ac:dyDescent="0.35">
      <c r="A267" s="4" t="s">
        <v>4287</v>
      </c>
      <c r="B267" s="7" t="s">
        <v>743</v>
      </c>
      <c r="C267" s="7" t="s">
        <v>3278</v>
      </c>
      <c r="D267" s="5">
        <v>10</v>
      </c>
      <c r="E267" s="7" t="str">
        <f>_xlfn.XLOOKUP(B267,Customers!A267:A1266,Customers!B267:B1266,"Customer Not Found",0)</f>
        <v>Customer Not Found</v>
      </c>
      <c r="F267" s="7" t="str">
        <f>_xlfn.XLOOKUP(Orders!B267,Customers!A267:A1266,Customers!C267:C1266,"Country not Found",0)</f>
        <v>Country not Found</v>
      </c>
      <c r="G267" s="7" t="str">
        <f>_xlfn.XLOOKUP(C267,Products!A267:A766,Products!B267:B766,"Product Missing",0)</f>
        <v>Product Missing</v>
      </c>
      <c r="H267" s="7" t="str">
        <f>_xlfn.XLOOKUP(C267,Products!A267:A766,Products!C267:C766,"Category Missing",0)</f>
        <v>Category Missing</v>
      </c>
      <c r="I267" s="11" t="str">
        <f>_xlfn.XLOOKUP(Orders!C267,Products!A267:A766,Products!D267:D766,"Price Missing",0)</f>
        <v>Price Missing</v>
      </c>
      <c r="J267" s="19">
        <f t="shared" si="4"/>
        <v>0</v>
      </c>
    </row>
    <row r="268" spans="1:10" x14ac:dyDescent="0.35">
      <c r="A268" s="4" t="s">
        <v>4288</v>
      </c>
      <c r="B268" s="7" t="s">
        <v>2429</v>
      </c>
      <c r="C268" s="7" t="s">
        <v>3630</v>
      </c>
      <c r="D268" s="5">
        <v>3</v>
      </c>
      <c r="E268" s="7" t="str">
        <f>_xlfn.XLOOKUP(B268,Customers!A268:A1267,Customers!B268:B1267,"Customer Not Found",0)</f>
        <v>Customer_807</v>
      </c>
      <c r="F268" s="7" t="str">
        <f>_xlfn.XLOOKUP(Orders!B268,Customers!A268:A1267,Customers!C268:C1267,"Country not Found",0)</f>
        <v>Nigeria</v>
      </c>
      <c r="G268" s="7" t="str">
        <f>_xlfn.XLOOKUP(C268,Products!A268:A767,Products!B268:B767,"Product Missing",0)</f>
        <v>Product_306</v>
      </c>
      <c r="H268" s="7" t="str">
        <f>_xlfn.XLOOKUP(C268,Products!A268:A767,Products!C268:C767,"Category Missing",0)</f>
        <v>Food</v>
      </c>
      <c r="I268" s="11">
        <f>_xlfn.XLOOKUP(Orders!C268,Products!A268:A767,Products!D268:D767,"Price Missing",0)</f>
        <v>181.6</v>
      </c>
      <c r="J268" s="19">
        <f t="shared" si="4"/>
        <v>544.79999999999995</v>
      </c>
    </row>
    <row r="269" spans="1:10" x14ac:dyDescent="0.35">
      <c r="A269" s="4" t="s">
        <v>4289</v>
      </c>
      <c r="B269" s="7" t="s">
        <v>932</v>
      </c>
      <c r="C269" s="7" t="s">
        <v>3216</v>
      </c>
      <c r="D269" s="5">
        <v>1</v>
      </c>
      <c r="E269" s="7" t="str">
        <f>_xlfn.XLOOKUP(B269,Customers!A269:A1268,Customers!B269:B1268,"Customer Not Found",0)</f>
        <v>Customer_308</v>
      </c>
      <c r="F269" s="7" t="str">
        <f>_xlfn.XLOOKUP(Orders!B269,Customers!A269:A1268,Customers!C269:C1268,"Country not Found",0)</f>
        <v>Nigeria</v>
      </c>
      <c r="G269" s="7" t="str">
        <f>_xlfn.XLOOKUP(C269,Products!A269:A768,Products!B269:B768,"Product Missing",0)</f>
        <v>Product Missing</v>
      </c>
      <c r="H269" s="7" t="str">
        <f>_xlfn.XLOOKUP(C269,Products!A269:A768,Products!C269:C768,"Category Missing",0)</f>
        <v>Category Missing</v>
      </c>
      <c r="I269" s="11" t="str">
        <f>_xlfn.XLOOKUP(Orders!C269,Products!A269:A768,Products!D269:D768,"Price Missing",0)</f>
        <v>Price Missing</v>
      </c>
      <c r="J269" s="19">
        <f t="shared" si="4"/>
        <v>0</v>
      </c>
    </row>
    <row r="270" spans="1:10" x14ac:dyDescent="0.35">
      <c r="A270" s="4" t="s">
        <v>4290</v>
      </c>
      <c r="B270" s="7" t="s">
        <v>1787</v>
      </c>
      <c r="C270" s="7" t="s">
        <v>3134</v>
      </c>
      <c r="D270" s="5">
        <v>4</v>
      </c>
      <c r="E270" s="7" t="str">
        <f>_xlfn.XLOOKUP(B270,Customers!A270:A1269,Customers!B270:B1269,"Customer Not Found",0)</f>
        <v>Customer_593</v>
      </c>
      <c r="F270" s="7" t="str">
        <f>_xlfn.XLOOKUP(Orders!B270,Customers!A270:A1269,Customers!C270:C1269,"Country not Found",0)</f>
        <v>Kenya</v>
      </c>
      <c r="G270" s="7" t="str">
        <f>_xlfn.XLOOKUP(C270,Products!A270:A769,Products!B270:B769,"Product Missing",0)</f>
        <v>Product Missing</v>
      </c>
      <c r="H270" s="7" t="str">
        <f>_xlfn.XLOOKUP(C270,Products!A270:A769,Products!C270:C769,"Category Missing",0)</f>
        <v>Category Missing</v>
      </c>
      <c r="I270" s="11" t="str">
        <f>_xlfn.XLOOKUP(Orders!C270,Products!A270:A769,Products!D270:D769,"Price Missing",0)</f>
        <v>Price Missing</v>
      </c>
      <c r="J270" s="19">
        <f t="shared" si="4"/>
        <v>0</v>
      </c>
    </row>
    <row r="271" spans="1:10" x14ac:dyDescent="0.35">
      <c r="A271" s="4" t="s">
        <v>4291</v>
      </c>
      <c r="B271" s="7" t="s">
        <v>1985</v>
      </c>
      <c r="C271" s="7" t="s">
        <v>3656</v>
      </c>
      <c r="D271" s="5">
        <v>4</v>
      </c>
      <c r="E271" s="7" t="str">
        <f>_xlfn.XLOOKUP(B271,Customers!A271:A1270,Customers!B271:B1270,"Customer Not Found",0)</f>
        <v>Customer_659</v>
      </c>
      <c r="F271" s="7" t="str">
        <f>_xlfn.XLOOKUP(Orders!B271,Customers!A271:A1270,Customers!C271:C1270,"Country not Found",0)</f>
        <v>Nigeria</v>
      </c>
      <c r="G271" s="7" t="str">
        <f>_xlfn.XLOOKUP(C271,Products!A271:A770,Products!B271:B770,"Product Missing",0)</f>
        <v>Product_319</v>
      </c>
      <c r="H271" s="7" t="str">
        <f>_xlfn.XLOOKUP(C271,Products!A271:A770,Products!C271:C770,"Category Missing",0)</f>
        <v>Clothing</v>
      </c>
      <c r="I271" s="11">
        <f>_xlfn.XLOOKUP(Orders!C271,Products!A271:A770,Products!D271:D770,"Price Missing",0)</f>
        <v>370.98</v>
      </c>
      <c r="J271" s="19">
        <f t="shared" si="4"/>
        <v>1483.92</v>
      </c>
    </row>
    <row r="272" spans="1:10" x14ac:dyDescent="0.35">
      <c r="A272" s="4" t="s">
        <v>4292</v>
      </c>
      <c r="B272" s="7" t="s">
        <v>2240</v>
      </c>
      <c r="C272" s="7" t="s">
        <v>3840</v>
      </c>
      <c r="D272" s="5">
        <v>1</v>
      </c>
      <c r="E272" s="7" t="str">
        <f>_xlfn.XLOOKUP(B272,Customers!A272:A1271,Customers!B272:B1271,"Customer Not Found",0)</f>
        <v>Customer_744</v>
      </c>
      <c r="F272" s="7" t="str">
        <f>_xlfn.XLOOKUP(Orders!B272,Customers!A272:A1271,Customers!C272:C1271,"Country not Found",0)</f>
        <v>Canada</v>
      </c>
      <c r="G272" s="7" t="str">
        <f>_xlfn.XLOOKUP(C272,Products!A272:A771,Products!B272:B771,"Product Missing",0)</f>
        <v>Product_411</v>
      </c>
      <c r="H272" s="7" t="str">
        <f>_xlfn.XLOOKUP(C272,Products!A272:A771,Products!C272:C771,"Category Missing",0)</f>
        <v>Food</v>
      </c>
      <c r="I272" s="11">
        <f>_xlfn.XLOOKUP(Orders!C272,Products!A272:A771,Products!D272:D771,"Price Missing",0)</f>
        <v>325.14</v>
      </c>
      <c r="J272" s="19">
        <f t="shared" si="4"/>
        <v>325.14</v>
      </c>
    </row>
    <row r="273" spans="1:10" x14ac:dyDescent="0.35">
      <c r="A273" s="4" t="s">
        <v>4293</v>
      </c>
      <c r="B273" s="7" t="s">
        <v>320</v>
      </c>
      <c r="C273" s="7" t="s">
        <v>3756</v>
      </c>
      <c r="D273" s="5">
        <v>3</v>
      </c>
      <c r="E273" s="7" t="str">
        <f>_xlfn.XLOOKUP(B273,Customers!A273:A1272,Customers!B273:B1272,"Customer Not Found",0)</f>
        <v>Customer Not Found</v>
      </c>
      <c r="F273" s="7" t="str">
        <f>_xlfn.XLOOKUP(Orders!B273,Customers!A273:A1272,Customers!C273:C1272,"Country not Found",0)</f>
        <v>Country not Found</v>
      </c>
      <c r="G273" s="7" t="str">
        <f>_xlfn.XLOOKUP(C273,Products!A273:A772,Products!B273:B772,"Product Missing",0)</f>
        <v>Product_369</v>
      </c>
      <c r="H273" s="7" t="str">
        <f>_xlfn.XLOOKUP(C273,Products!A273:A772,Products!C273:C772,"Category Missing",0)</f>
        <v>Home</v>
      </c>
      <c r="I273" s="11">
        <f>_xlfn.XLOOKUP(Orders!C273,Products!A273:A772,Products!D273:D772,"Price Missing",0)</f>
        <v>330.56</v>
      </c>
      <c r="J273" s="19">
        <f t="shared" si="4"/>
        <v>991.68000000000006</v>
      </c>
    </row>
    <row r="274" spans="1:10" x14ac:dyDescent="0.35">
      <c r="A274" s="4" t="s">
        <v>4294</v>
      </c>
      <c r="B274" s="7" t="s">
        <v>560</v>
      </c>
      <c r="C274" s="7" t="s">
        <v>3027</v>
      </c>
      <c r="D274" s="5">
        <v>9</v>
      </c>
      <c r="E274" s="7" t="str">
        <f>_xlfn.XLOOKUP(B274,Customers!A274:A1273,Customers!B274:B1273,"Customer Not Found",0)</f>
        <v>Customer Not Found</v>
      </c>
      <c r="F274" s="7" t="str">
        <f>_xlfn.XLOOKUP(Orders!B274,Customers!A274:A1273,Customers!C274:C1273,"Country not Found",0)</f>
        <v>Country not Found</v>
      </c>
      <c r="G274" s="7" t="str">
        <f>_xlfn.XLOOKUP(C274,Products!A274:A773,Products!B274:B773,"Product Missing",0)</f>
        <v>Product Missing</v>
      </c>
      <c r="H274" s="7" t="str">
        <f>_xlfn.XLOOKUP(C274,Products!A274:A773,Products!C274:C773,"Category Missing",0)</f>
        <v>Category Missing</v>
      </c>
      <c r="I274" s="11" t="str">
        <f>_xlfn.XLOOKUP(Orders!C274,Products!A274:A773,Products!D274:D773,"Price Missing",0)</f>
        <v>Price Missing</v>
      </c>
      <c r="J274" s="19">
        <f t="shared" si="4"/>
        <v>0</v>
      </c>
    </row>
    <row r="275" spans="1:10" x14ac:dyDescent="0.35">
      <c r="A275" s="4" t="s">
        <v>4295</v>
      </c>
      <c r="B275" s="7" t="s">
        <v>2231</v>
      </c>
      <c r="C275" s="7" t="s">
        <v>3446</v>
      </c>
      <c r="D275" s="5">
        <v>4</v>
      </c>
      <c r="E275" s="7" t="str">
        <f>_xlfn.XLOOKUP(B275,Customers!A275:A1274,Customers!B275:B1274,"Customer Not Found",0)</f>
        <v>Customer_741</v>
      </c>
      <c r="F275" s="7" t="str">
        <f>_xlfn.XLOOKUP(Orders!B275,Customers!A275:A1274,Customers!C275:C1274,"Country not Found",0)</f>
        <v>Ghana</v>
      </c>
      <c r="G275" s="7" t="str">
        <f>_xlfn.XLOOKUP(C275,Products!A275:A774,Products!B275:B774,"Product Missing",0)</f>
        <v>Product Missing</v>
      </c>
      <c r="H275" s="7" t="str">
        <f>_xlfn.XLOOKUP(C275,Products!A275:A774,Products!C275:C774,"Category Missing",0)</f>
        <v>Category Missing</v>
      </c>
      <c r="I275" s="11" t="str">
        <f>_xlfn.XLOOKUP(Orders!C275,Products!A275:A774,Products!D275:D774,"Price Missing",0)</f>
        <v>Price Missing</v>
      </c>
      <c r="J275" s="19">
        <f t="shared" si="4"/>
        <v>0</v>
      </c>
    </row>
    <row r="276" spans="1:10" x14ac:dyDescent="0.35">
      <c r="A276" s="4" t="s">
        <v>4296</v>
      </c>
      <c r="B276" s="7" t="s">
        <v>2024</v>
      </c>
      <c r="C276" s="7" t="s">
        <v>3412</v>
      </c>
      <c r="D276" s="5">
        <v>3</v>
      </c>
      <c r="E276" s="7" t="str">
        <f>_xlfn.XLOOKUP(B276,Customers!A276:A1275,Customers!B276:B1275,"Customer Not Found",0)</f>
        <v>Customer_672</v>
      </c>
      <c r="F276" s="7" t="str">
        <f>_xlfn.XLOOKUP(Orders!B276,Customers!A276:A1275,Customers!C276:C1275,"Country not Found",0)</f>
        <v>Ghana</v>
      </c>
      <c r="G276" s="7" t="str">
        <f>_xlfn.XLOOKUP(C276,Products!A276:A775,Products!B276:B775,"Product Missing",0)</f>
        <v>Product Missing</v>
      </c>
      <c r="H276" s="7" t="str">
        <f>_xlfn.XLOOKUP(C276,Products!A276:A775,Products!C276:C775,"Category Missing",0)</f>
        <v>Category Missing</v>
      </c>
      <c r="I276" s="11" t="str">
        <f>_xlfn.XLOOKUP(Orders!C276,Products!A276:A775,Products!D276:D775,"Price Missing",0)</f>
        <v>Price Missing</v>
      </c>
      <c r="J276" s="19">
        <f t="shared" si="4"/>
        <v>0</v>
      </c>
    </row>
    <row r="277" spans="1:10" x14ac:dyDescent="0.35">
      <c r="A277" s="4" t="s">
        <v>4297</v>
      </c>
      <c r="B277" s="7" t="s">
        <v>1445</v>
      </c>
      <c r="C277" s="7" t="s">
        <v>3440</v>
      </c>
      <c r="D277" s="5">
        <v>10</v>
      </c>
      <c r="E277" s="7" t="str">
        <f>_xlfn.XLOOKUP(B277,Customers!A277:A1276,Customers!B277:B1276,"Customer Not Found",0)</f>
        <v>Customer_479</v>
      </c>
      <c r="F277" s="7" t="str">
        <f>_xlfn.XLOOKUP(Orders!B277,Customers!A277:A1276,Customers!C277:C1276,"Country not Found",0)</f>
        <v>USA</v>
      </c>
      <c r="G277" s="7" t="str">
        <f>_xlfn.XLOOKUP(C277,Products!A277:A776,Products!B277:B776,"Product Missing",0)</f>
        <v>Product Missing</v>
      </c>
      <c r="H277" s="7" t="str">
        <f>_xlfn.XLOOKUP(C277,Products!A277:A776,Products!C277:C776,"Category Missing",0)</f>
        <v>Category Missing</v>
      </c>
      <c r="I277" s="11" t="str">
        <f>_xlfn.XLOOKUP(Orders!C277,Products!A277:A776,Products!D277:D776,"Price Missing",0)</f>
        <v>Price Missing</v>
      </c>
      <c r="J277" s="19">
        <f t="shared" si="4"/>
        <v>0</v>
      </c>
    </row>
    <row r="278" spans="1:10" x14ac:dyDescent="0.35">
      <c r="A278" s="4" t="s">
        <v>4298</v>
      </c>
      <c r="B278" s="7" t="s">
        <v>1634</v>
      </c>
      <c r="C278" s="7" t="s">
        <v>3662</v>
      </c>
      <c r="D278" s="5">
        <v>9</v>
      </c>
      <c r="E278" s="7" t="str">
        <f>_xlfn.XLOOKUP(B278,Customers!A278:A1277,Customers!B278:B1277,"Customer Not Found",0)</f>
        <v>Customer_542</v>
      </c>
      <c r="F278" s="7" t="str">
        <f>_xlfn.XLOOKUP(Orders!B278,Customers!A278:A1277,Customers!C278:C1277,"Country not Found",0)</f>
        <v>Ghana</v>
      </c>
      <c r="G278" s="7" t="str">
        <f>_xlfn.XLOOKUP(C278,Products!A278:A777,Products!B278:B777,"Product Missing",0)</f>
        <v>Product_322</v>
      </c>
      <c r="H278" s="7" t="str">
        <f>_xlfn.XLOOKUP(C278,Products!A278:A777,Products!C278:C777,"Category Missing",0)</f>
        <v>Clothing</v>
      </c>
      <c r="I278" s="11">
        <f>_xlfn.XLOOKUP(Orders!C278,Products!A278:A777,Products!D278:D777,"Price Missing",0)</f>
        <v>14.3</v>
      </c>
      <c r="J278" s="19">
        <f t="shared" si="4"/>
        <v>128.70000000000002</v>
      </c>
    </row>
    <row r="279" spans="1:10" x14ac:dyDescent="0.35">
      <c r="A279" s="4" t="s">
        <v>4299</v>
      </c>
      <c r="B279" s="7" t="s">
        <v>1937</v>
      </c>
      <c r="C279" s="7" t="s">
        <v>3412</v>
      </c>
      <c r="D279" s="5">
        <v>7</v>
      </c>
      <c r="E279" s="7" t="str">
        <f>_xlfn.XLOOKUP(B279,Customers!A279:A1278,Customers!B279:B1278,"Customer Not Found",0)</f>
        <v>Customer_643</v>
      </c>
      <c r="F279" s="7" t="str">
        <f>_xlfn.XLOOKUP(Orders!B279,Customers!A279:A1278,Customers!C279:C1278,"Country not Found",0)</f>
        <v>South Africa</v>
      </c>
      <c r="G279" s="7" t="str">
        <f>_xlfn.XLOOKUP(C279,Products!A279:A778,Products!B279:B778,"Product Missing",0)</f>
        <v>Product Missing</v>
      </c>
      <c r="H279" s="7" t="str">
        <f>_xlfn.XLOOKUP(C279,Products!A279:A778,Products!C279:C778,"Category Missing",0)</f>
        <v>Category Missing</v>
      </c>
      <c r="I279" s="11" t="str">
        <f>_xlfn.XLOOKUP(Orders!C279,Products!A279:A778,Products!D279:D778,"Price Missing",0)</f>
        <v>Price Missing</v>
      </c>
      <c r="J279" s="19">
        <f t="shared" si="4"/>
        <v>0</v>
      </c>
    </row>
    <row r="280" spans="1:10" x14ac:dyDescent="0.35">
      <c r="A280" s="4" t="s">
        <v>4300</v>
      </c>
      <c r="B280" s="7" t="s">
        <v>1160</v>
      </c>
      <c r="C280" s="7" t="s">
        <v>3734</v>
      </c>
      <c r="D280" s="5">
        <v>4</v>
      </c>
      <c r="E280" s="7" t="str">
        <f>_xlfn.XLOOKUP(B280,Customers!A280:A1279,Customers!B280:B1279,"Customer Not Found",0)</f>
        <v>Customer_384</v>
      </c>
      <c r="F280" s="7" t="str">
        <f>_xlfn.XLOOKUP(Orders!B280,Customers!A280:A1279,Customers!C280:C1279,"Country not Found",0)</f>
        <v>Kenya</v>
      </c>
      <c r="G280" s="7" t="str">
        <f>_xlfn.XLOOKUP(C280,Products!A280:A779,Products!B280:B779,"Product Missing",0)</f>
        <v>Product_358</v>
      </c>
      <c r="H280" s="7" t="str">
        <f>_xlfn.XLOOKUP(C280,Products!A280:A779,Products!C280:C779,"Category Missing",0)</f>
        <v>Food</v>
      </c>
      <c r="I280" s="11">
        <f>_xlfn.XLOOKUP(Orders!C280,Products!A280:A779,Products!D280:D779,"Price Missing",0)</f>
        <v>242.48</v>
      </c>
      <c r="J280" s="19">
        <f t="shared" si="4"/>
        <v>969.92</v>
      </c>
    </row>
    <row r="281" spans="1:10" x14ac:dyDescent="0.35">
      <c r="A281" s="4" t="s">
        <v>4301</v>
      </c>
      <c r="B281" s="7" t="s">
        <v>2705</v>
      </c>
      <c r="C281" s="7" t="s">
        <v>4018</v>
      </c>
      <c r="D281" s="5">
        <v>7</v>
      </c>
      <c r="E281" s="7" t="str">
        <f>_xlfn.XLOOKUP(B281,Customers!A281:A1280,Customers!B281:B1280,"Customer Not Found",0)</f>
        <v>Customer_899</v>
      </c>
      <c r="F281" s="7" t="str">
        <f>_xlfn.XLOOKUP(Orders!B281,Customers!A281:A1280,Customers!C281:C1280,"Country not Found",0)</f>
        <v>UK</v>
      </c>
      <c r="G281" s="7" t="str">
        <f>_xlfn.XLOOKUP(C281,Products!A281:A780,Products!B281:B780,"Product Missing",0)</f>
        <v>Product_500</v>
      </c>
      <c r="H281" s="7" t="str">
        <f>_xlfn.XLOOKUP(C281,Products!A281:A780,Products!C281:C780,"Category Missing",0)</f>
        <v>Food</v>
      </c>
      <c r="I281" s="11">
        <f>_xlfn.XLOOKUP(Orders!C281,Products!A281:A780,Products!D281:D780,"Price Missing",0)</f>
        <v>22.78</v>
      </c>
      <c r="J281" s="19">
        <f t="shared" si="4"/>
        <v>159.46</v>
      </c>
    </row>
    <row r="282" spans="1:10" x14ac:dyDescent="0.35">
      <c r="A282" s="4" t="s">
        <v>4302</v>
      </c>
      <c r="B282" s="7" t="s">
        <v>704</v>
      </c>
      <c r="C282" s="7" t="s">
        <v>3756</v>
      </c>
      <c r="D282" s="5">
        <v>6</v>
      </c>
      <c r="E282" s="7" t="str">
        <f>_xlfn.XLOOKUP(B282,Customers!A282:A1281,Customers!B282:B1281,"Customer Not Found",0)</f>
        <v>Customer Not Found</v>
      </c>
      <c r="F282" s="7" t="str">
        <f>_xlfn.XLOOKUP(Orders!B282,Customers!A282:A1281,Customers!C282:C1281,"Country not Found",0)</f>
        <v>Country not Found</v>
      </c>
      <c r="G282" s="7" t="str">
        <f>_xlfn.XLOOKUP(C282,Products!A282:A781,Products!B282:B781,"Product Missing",0)</f>
        <v>Product_369</v>
      </c>
      <c r="H282" s="7" t="str">
        <f>_xlfn.XLOOKUP(C282,Products!A282:A781,Products!C282:C781,"Category Missing",0)</f>
        <v>Home</v>
      </c>
      <c r="I282" s="11">
        <f>_xlfn.XLOOKUP(Orders!C282,Products!A282:A781,Products!D282:D781,"Price Missing",0)</f>
        <v>330.56</v>
      </c>
      <c r="J282" s="19">
        <f t="shared" si="4"/>
        <v>1983.3600000000001</v>
      </c>
    </row>
    <row r="283" spans="1:10" x14ac:dyDescent="0.35">
      <c r="A283" s="4" t="s">
        <v>4303</v>
      </c>
      <c r="B283" s="7" t="s">
        <v>1595</v>
      </c>
      <c r="C283" s="7" t="s">
        <v>3982</v>
      </c>
      <c r="D283" s="5">
        <v>7</v>
      </c>
      <c r="E283" s="7" t="str">
        <f>_xlfn.XLOOKUP(B283,Customers!A283:A1282,Customers!B283:B1282,"Customer Not Found",0)</f>
        <v>Customer_529</v>
      </c>
      <c r="F283" s="7" t="str">
        <f>_xlfn.XLOOKUP(Orders!B283,Customers!A283:A1282,Customers!C283:C1282,"Country not Found",0)</f>
        <v>Ghana</v>
      </c>
      <c r="G283" s="7" t="str">
        <f>_xlfn.XLOOKUP(C283,Products!A283:A782,Products!B283:B782,"Product Missing",0)</f>
        <v>Product_482</v>
      </c>
      <c r="H283" s="7" t="str">
        <f>_xlfn.XLOOKUP(C283,Products!A283:A782,Products!C283:C782,"Category Missing",0)</f>
        <v>Clothing</v>
      </c>
      <c r="I283" s="11">
        <f>_xlfn.XLOOKUP(Orders!C283,Products!A283:A782,Products!D283:D782,"Price Missing",0)</f>
        <v>313.66000000000003</v>
      </c>
      <c r="J283" s="19">
        <f t="shared" si="4"/>
        <v>2195.6200000000003</v>
      </c>
    </row>
    <row r="284" spans="1:10" x14ac:dyDescent="0.35">
      <c r="A284" s="4" t="s">
        <v>4304</v>
      </c>
      <c r="B284" s="7" t="s">
        <v>2000</v>
      </c>
      <c r="C284" s="7" t="s">
        <v>3760</v>
      </c>
      <c r="D284" s="5">
        <v>6</v>
      </c>
      <c r="E284" s="7" t="str">
        <f>_xlfn.XLOOKUP(B284,Customers!A284:A1283,Customers!B284:B1283,"Customer Not Found",0)</f>
        <v>Customer_664</v>
      </c>
      <c r="F284" s="7" t="str">
        <f>_xlfn.XLOOKUP(Orders!B284,Customers!A284:A1283,Customers!C284:C1283,"Country not Found",0)</f>
        <v>Kenya</v>
      </c>
      <c r="G284" s="7" t="str">
        <f>_xlfn.XLOOKUP(C284,Products!A284:A783,Products!B284:B783,"Product Missing",0)</f>
        <v>Product_371</v>
      </c>
      <c r="H284" s="7" t="str">
        <f>_xlfn.XLOOKUP(C284,Products!A284:A783,Products!C284:C783,"Category Missing",0)</f>
        <v>Sports</v>
      </c>
      <c r="I284" s="11">
        <f>_xlfn.XLOOKUP(Orders!C284,Products!A284:A783,Products!D284:D783,"Price Missing",0)</f>
        <v>160.24</v>
      </c>
      <c r="J284" s="19">
        <f t="shared" si="4"/>
        <v>961.44</v>
      </c>
    </row>
    <row r="285" spans="1:10" x14ac:dyDescent="0.35">
      <c r="A285" s="4" t="s">
        <v>4305</v>
      </c>
      <c r="B285" s="7" t="s">
        <v>1343</v>
      </c>
      <c r="C285" s="7" t="s">
        <v>3248</v>
      </c>
      <c r="D285" s="5">
        <v>6</v>
      </c>
      <c r="E285" s="7" t="str">
        <f>_xlfn.XLOOKUP(B285,Customers!A285:A1284,Customers!B285:B1284,"Customer Not Found",0)</f>
        <v>Customer_445</v>
      </c>
      <c r="F285" s="7" t="str">
        <f>_xlfn.XLOOKUP(Orders!B285,Customers!A285:A1284,Customers!C285:C1284,"Country not Found",0)</f>
        <v>Canada</v>
      </c>
      <c r="G285" s="7" t="str">
        <f>_xlfn.XLOOKUP(C285,Products!A285:A784,Products!B285:B784,"Product Missing",0)</f>
        <v>Product Missing</v>
      </c>
      <c r="H285" s="7" t="str">
        <f>_xlfn.XLOOKUP(C285,Products!A285:A784,Products!C285:C784,"Category Missing",0)</f>
        <v>Category Missing</v>
      </c>
      <c r="I285" s="11" t="str">
        <f>_xlfn.XLOOKUP(Orders!C285,Products!A285:A784,Products!D285:D784,"Price Missing",0)</f>
        <v>Price Missing</v>
      </c>
      <c r="J285" s="19">
        <f t="shared" si="4"/>
        <v>0</v>
      </c>
    </row>
    <row r="286" spans="1:10" x14ac:dyDescent="0.35">
      <c r="A286" s="4" t="s">
        <v>4306</v>
      </c>
      <c r="B286" s="7" t="s">
        <v>1697</v>
      </c>
      <c r="C286" s="7" t="s">
        <v>3138</v>
      </c>
      <c r="D286" s="5">
        <v>7</v>
      </c>
      <c r="E286" s="7" t="str">
        <f>_xlfn.XLOOKUP(B286,Customers!A286:A1285,Customers!B286:B1285,"Customer Not Found",0)</f>
        <v>Customer_563</v>
      </c>
      <c r="F286" s="7" t="str">
        <f>_xlfn.XLOOKUP(Orders!B286,Customers!A286:A1285,Customers!C286:C1285,"Country not Found",0)</f>
        <v>Kenya</v>
      </c>
      <c r="G286" s="7" t="str">
        <f>_xlfn.XLOOKUP(C286,Products!A286:A785,Products!B286:B785,"Product Missing",0)</f>
        <v>Product Missing</v>
      </c>
      <c r="H286" s="7" t="str">
        <f>_xlfn.XLOOKUP(C286,Products!A286:A785,Products!C286:C785,"Category Missing",0)</f>
        <v>Category Missing</v>
      </c>
      <c r="I286" s="11" t="str">
        <f>_xlfn.XLOOKUP(Orders!C286,Products!A286:A785,Products!D286:D785,"Price Missing",0)</f>
        <v>Price Missing</v>
      </c>
      <c r="J286" s="19">
        <f t="shared" si="4"/>
        <v>0</v>
      </c>
    </row>
    <row r="287" spans="1:10" x14ac:dyDescent="0.35">
      <c r="A287" s="4" t="s">
        <v>4307</v>
      </c>
      <c r="B287" s="7" t="s">
        <v>200</v>
      </c>
      <c r="C287" s="7" t="s">
        <v>3254</v>
      </c>
      <c r="D287" s="5">
        <v>5</v>
      </c>
      <c r="E287" s="7" t="str">
        <f>_xlfn.XLOOKUP(B287,Customers!A287:A1286,Customers!B287:B1286,"Customer Not Found",0)</f>
        <v>Customer Not Found</v>
      </c>
      <c r="F287" s="7" t="str">
        <f>_xlfn.XLOOKUP(Orders!B287,Customers!A287:A1286,Customers!C287:C1286,"Country not Found",0)</f>
        <v>Country not Found</v>
      </c>
      <c r="G287" s="7" t="str">
        <f>_xlfn.XLOOKUP(C287,Products!A287:A786,Products!B287:B786,"Product Missing",0)</f>
        <v>Product Missing</v>
      </c>
      <c r="H287" s="7" t="str">
        <f>_xlfn.XLOOKUP(C287,Products!A287:A786,Products!C287:C786,"Category Missing",0)</f>
        <v>Category Missing</v>
      </c>
      <c r="I287" s="11" t="str">
        <f>_xlfn.XLOOKUP(Orders!C287,Products!A287:A786,Products!D287:D786,"Price Missing",0)</f>
        <v>Price Missing</v>
      </c>
      <c r="J287" s="19">
        <f t="shared" si="4"/>
        <v>0</v>
      </c>
    </row>
    <row r="288" spans="1:10" x14ac:dyDescent="0.35">
      <c r="A288" s="4" t="s">
        <v>4308</v>
      </c>
      <c r="B288" s="7" t="s">
        <v>1556</v>
      </c>
      <c r="C288" s="7" t="s">
        <v>3920</v>
      </c>
      <c r="D288" s="5">
        <v>1</v>
      </c>
      <c r="E288" s="7" t="str">
        <f>_xlfn.XLOOKUP(B288,Customers!A288:A1287,Customers!B288:B1287,"Customer Not Found",0)</f>
        <v>Customer_516</v>
      </c>
      <c r="F288" s="7" t="str">
        <f>_xlfn.XLOOKUP(Orders!B288,Customers!A288:A1287,Customers!C288:C1287,"Country not Found",0)</f>
        <v>USA</v>
      </c>
      <c r="G288" s="7" t="str">
        <f>_xlfn.XLOOKUP(C288,Products!A288:A787,Products!B288:B787,"Product Missing",0)</f>
        <v>Product_451</v>
      </c>
      <c r="H288" s="7" t="str">
        <f>_xlfn.XLOOKUP(C288,Products!A288:A787,Products!C288:C787,"Category Missing",0)</f>
        <v>Food</v>
      </c>
      <c r="I288" s="11">
        <f>_xlfn.XLOOKUP(Orders!C288,Products!A288:A787,Products!D288:D787,"Price Missing",0)</f>
        <v>399.91</v>
      </c>
      <c r="J288" s="19">
        <f t="shared" si="4"/>
        <v>399.91</v>
      </c>
    </row>
    <row r="289" spans="1:10" x14ac:dyDescent="0.35">
      <c r="A289" s="4" t="s">
        <v>4309</v>
      </c>
      <c r="B289" s="7" t="s">
        <v>884</v>
      </c>
      <c r="C289" s="7" t="s">
        <v>3668</v>
      </c>
      <c r="D289" s="5">
        <v>10</v>
      </c>
      <c r="E289" s="7" t="str">
        <f>_xlfn.XLOOKUP(B289,Customers!A289:A1288,Customers!B289:B1288,"Customer Not Found",0)</f>
        <v>Customer_292</v>
      </c>
      <c r="F289" s="7" t="str">
        <f>_xlfn.XLOOKUP(Orders!B289,Customers!A289:A1288,Customers!C289:C1288,"Country not Found",0)</f>
        <v>UK</v>
      </c>
      <c r="G289" s="7" t="str">
        <f>_xlfn.XLOOKUP(C289,Products!A289:A788,Products!B289:B788,"Product Missing",0)</f>
        <v>Product_325</v>
      </c>
      <c r="H289" s="7" t="str">
        <f>_xlfn.XLOOKUP(C289,Products!A289:A788,Products!C289:C788,"Category Missing",0)</f>
        <v>Home</v>
      </c>
      <c r="I289" s="11">
        <f>_xlfn.XLOOKUP(Orders!C289,Products!A289:A788,Products!D289:D788,"Price Missing",0)</f>
        <v>428.04</v>
      </c>
      <c r="J289" s="19">
        <f t="shared" si="4"/>
        <v>4280.4000000000005</v>
      </c>
    </row>
    <row r="290" spans="1:10" x14ac:dyDescent="0.35">
      <c r="A290" s="4" t="s">
        <v>4310</v>
      </c>
      <c r="B290" s="7" t="s">
        <v>1919</v>
      </c>
      <c r="C290" s="7" t="s">
        <v>3754</v>
      </c>
      <c r="D290" s="5">
        <v>7</v>
      </c>
      <c r="E290" s="7" t="str">
        <f>_xlfn.XLOOKUP(B290,Customers!A290:A1289,Customers!B290:B1289,"Customer Not Found",0)</f>
        <v>Customer_637</v>
      </c>
      <c r="F290" s="7" t="str">
        <f>_xlfn.XLOOKUP(Orders!B290,Customers!A290:A1289,Customers!C290:C1289,"Country not Found",0)</f>
        <v>UK</v>
      </c>
      <c r="G290" s="7" t="str">
        <f>_xlfn.XLOOKUP(C290,Products!A290:A789,Products!B290:B789,"Product Missing",0)</f>
        <v>Product_368</v>
      </c>
      <c r="H290" s="7" t="str">
        <f>_xlfn.XLOOKUP(C290,Products!A290:A789,Products!C290:C789,"Category Missing",0)</f>
        <v>Home</v>
      </c>
      <c r="I290" s="11">
        <f>_xlfn.XLOOKUP(Orders!C290,Products!A290:A789,Products!D290:D789,"Price Missing",0)</f>
        <v>469.99</v>
      </c>
      <c r="J290" s="19">
        <f t="shared" si="4"/>
        <v>3289.9300000000003</v>
      </c>
    </row>
    <row r="291" spans="1:10" x14ac:dyDescent="0.35">
      <c r="A291" s="4" t="s">
        <v>4311</v>
      </c>
      <c r="B291" s="7" t="s">
        <v>1565</v>
      </c>
      <c r="C291" s="7" t="s">
        <v>3870</v>
      </c>
      <c r="D291" s="5">
        <v>3</v>
      </c>
      <c r="E291" s="7" t="str">
        <f>_xlfn.XLOOKUP(B291,Customers!A291:A1290,Customers!B291:B1290,"Customer Not Found",0)</f>
        <v>Customer_519</v>
      </c>
      <c r="F291" s="7" t="str">
        <f>_xlfn.XLOOKUP(Orders!B291,Customers!A291:A1290,Customers!C291:C1290,"Country not Found",0)</f>
        <v>USA</v>
      </c>
      <c r="G291" s="7" t="str">
        <f>_xlfn.XLOOKUP(C291,Products!A291:A790,Products!B291:B790,"Product Missing",0)</f>
        <v>Product_426</v>
      </c>
      <c r="H291" s="7" t="str">
        <f>_xlfn.XLOOKUP(C291,Products!A291:A790,Products!C291:C790,"Category Missing",0)</f>
        <v>Clothing</v>
      </c>
      <c r="I291" s="11">
        <f>_xlfn.XLOOKUP(Orders!C291,Products!A291:A790,Products!D291:D790,"Price Missing",0)</f>
        <v>114.92</v>
      </c>
      <c r="J291" s="19">
        <f t="shared" si="4"/>
        <v>344.76</v>
      </c>
    </row>
    <row r="292" spans="1:10" x14ac:dyDescent="0.35">
      <c r="A292" s="4" t="s">
        <v>4312</v>
      </c>
      <c r="B292" s="7" t="s">
        <v>284</v>
      </c>
      <c r="C292" s="7" t="s">
        <v>3806</v>
      </c>
      <c r="D292" s="5">
        <v>8</v>
      </c>
      <c r="E292" s="7" t="str">
        <f>_xlfn.XLOOKUP(B292,Customers!A292:A1291,Customers!B292:B1291,"Customer Not Found",0)</f>
        <v>Customer Not Found</v>
      </c>
      <c r="F292" s="7" t="str">
        <f>_xlfn.XLOOKUP(Orders!B292,Customers!A292:A1291,Customers!C292:C1291,"Country not Found",0)</f>
        <v>Country not Found</v>
      </c>
      <c r="G292" s="7" t="str">
        <f>_xlfn.XLOOKUP(C292,Products!A292:A791,Products!B292:B791,"Product Missing",0)</f>
        <v>Product_394</v>
      </c>
      <c r="H292" s="7" t="str">
        <f>_xlfn.XLOOKUP(C292,Products!A292:A791,Products!C292:C791,"Category Missing",0)</f>
        <v>Food</v>
      </c>
      <c r="I292" s="11">
        <f>_xlfn.XLOOKUP(Orders!C292,Products!A292:A791,Products!D292:D791,"Price Missing",0)</f>
        <v>146.80000000000001</v>
      </c>
      <c r="J292" s="19">
        <f t="shared" si="4"/>
        <v>1174.4000000000001</v>
      </c>
    </row>
    <row r="293" spans="1:10" x14ac:dyDescent="0.35">
      <c r="A293" s="4" t="s">
        <v>4313</v>
      </c>
      <c r="B293" s="7" t="s">
        <v>1862</v>
      </c>
      <c r="C293" s="7" t="s">
        <v>3398</v>
      </c>
      <c r="D293" s="5">
        <v>9</v>
      </c>
      <c r="E293" s="7" t="str">
        <f>_xlfn.XLOOKUP(B293,Customers!A293:A1292,Customers!B293:B1292,"Customer Not Found",0)</f>
        <v>Customer_618</v>
      </c>
      <c r="F293" s="7" t="str">
        <f>_xlfn.XLOOKUP(Orders!B293,Customers!A293:A1292,Customers!C293:C1292,"Country not Found",0)</f>
        <v>Nigeria</v>
      </c>
      <c r="G293" s="7" t="str">
        <f>_xlfn.XLOOKUP(C293,Products!A293:A792,Products!B293:B792,"Product Missing",0)</f>
        <v>Product Missing</v>
      </c>
      <c r="H293" s="7" t="str">
        <f>_xlfn.XLOOKUP(C293,Products!A293:A792,Products!C293:C792,"Category Missing",0)</f>
        <v>Category Missing</v>
      </c>
      <c r="I293" s="11" t="str">
        <f>_xlfn.XLOOKUP(Orders!C293,Products!A293:A792,Products!D293:D792,"Price Missing",0)</f>
        <v>Price Missing</v>
      </c>
      <c r="J293" s="19">
        <f t="shared" si="4"/>
        <v>0</v>
      </c>
    </row>
    <row r="294" spans="1:10" x14ac:dyDescent="0.35">
      <c r="A294" s="4" t="s">
        <v>4314</v>
      </c>
      <c r="B294" s="7" t="s">
        <v>359</v>
      </c>
      <c r="C294" s="7" t="s">
        <v>3620</v>
      </c>
      <c r="D294" s="5">
        <v>5</v>
      </c>
      <c r="E294" s="7" t="str">
        <f>_xlfn.XLOOKUP(B294,Customers!A294:A1293,Customers!B294:B1293,"Customer Not Found",0)</f>
        <v>Customer Not Found</v>
      </c>
      <c r="F294" s="7" t="str">
        <f>_xlfn.XLOOKUP(Orders!B294,Customers!A294:A1293,Customers!C294:C1293,"Country not Found",0)</f>
        <v>Country not Found</v>
      </c>
      <c r="G294" s="7" t="str">
        <f>_xlfn.XLOOKUP(C294,Products!A294:A793,Products!B294:B793,"Product Missing",0)</f>
        <v>Product_301</v>
      </c>
      <c r="H294" s="7" t="str">
        <f>_xlfn.XLOOKUP(C294,Products!A294:A793,Products!C294:C793,"Category Missing",0)</f>
        <v>Sports</v>
      </c>
      <c r="I294" s="11">
        <f>_xlfn.XLOOKUP(Orders!C294,Products!A294:A793,Products!D294:D793,"Price Missing",0)</f>
        <v>369.34</v>
      </c>
      <c r="J294" s="19">
        <f t="shared" si="4"/>
        <v>1846.6999999999998</v>
      </c>
    </row>
    <row r="295" spans="1:10" x14ac:dyDescent="0.35">
      <c r="A295" s="4" t="s">
        <v>4315</v>
      </c>
      <c r="B295" s="7" t="s">
        <v>1685</v>
      </c>
      <c r="C295" s="7" t="s">
        <v>3734</v>
      </c>
      <c r="D295" s="5">
        <v>7</v>
      </c>
      <c r="E295" s="7" t="str">
        <f>_xlfn.XLOOKUP(B295,Customers!A295:A1294,Customers!B295:B1294,"Customer Not Found",0)</f>
        <v>Customer_559</v>
      </c>
      <c r="F295" s="7" t="str">
        <f>_xlfn.XLOOKUP(Orders!B295,Customers!A295:A1294,Customers!C295:C1294,"Country not Found",0)</f>
        <v>Nigeria</v>
      </c>
      <c r="G295" s="7" t="str">
        <f>_xlfn.XLOOKUP(C295,Products!A295:A794,Products!B295:B794,"Product Missing",0)</f>
        <v>Product_358</v>
      </c>
      <c r="H295" s="7" t="str">
        <f>_xlfn.XLOOKUP(C295,Products!A295:A794,Products!C295:C794,"Category Missing",0)</f>
        <v>Food</v>
      </c>
      <c r="I295" s="11">
        <f>_xlfn.XLOOKUP(Orders!C295,Products!A295:A794,Products!D295:D794,"Price Missing",0)</f>
        <v>242.48</v>
      </c>
      <c r="J295" s="19">
        <f t="shared" si="4"/>
        <v>1697.36</v>
      </c>
    </row>
    <row r="296" spans="1:10" x14ac:dyDescent="0.35">
      <c r="A296" s="4" t="s">
        <v>4316</v>
      </c>
      <c r="B296" s="7" t="s">
        <v>2054</v>
      </c>
      <c r="C296" s="7" t="s">
        <v>3422</v>
      </c>
      <c r="D296" s="5">
        <v>2</v>
      </c>
      <c r="E296" s="7" t="str">
        <f>_xlfn.XLOOKUP(B296,Customers!A296:A1295,Customers!B296:B1295,"Customer Not Found",0)</f>
        <v>Customer_682</v>
      </c>
      <c r="F296" s="7" t="str">
        <f>_xlfn.XLOOKUP(Orders!B296,Customers!A296:A1295,Customers!C296:C1295,"Country not Found",0)</f>
        <v>South Africa</v>
      </c>
      <c r="G296" s="7" t="str">
        <f>_xlfn.XLOOKUP(C296,Products!A296:A795,Products!B296:B795,"Product Missing",0)</f>
        <v>Product Missing</v>
      </c>
      <c r="H296" s="7" t="str">
        <f>_xlfn.XLOOKUP(C296,Products!A296:A795,Products!C296:C795,"Category Missing",0)</f>
        <v>Category Missing</v>
      </c>
      <c r="I296" s="11" t="str">
        <f>_xlfn.XLOOKUP(Orders!C296,Products!A296:A795,Products!D296:D795,"Price Missing",0)</f>
        <v>Price Missing</v>
      </c>
      <c r="J296" s="19">
        <f t="shared" si="4"/>
        <v>0</v>
      </c>
    </row>
    <row r="297" spans="1:10" x14ac:dyDescent="0.35">
      <c r="A297" s="4" t="s">
        <v>4317</v>
      </c>
      <c r="B297" s="7" t="s">
        <v>1541</v>
      </c>
      <c r="C297" s="7" t="s">
        <v>3198</v>
      </c>
      <c r="D297" s="5">
        <v>5</v>
      </c>
      <c r="E297" s="7" t="str">
        <f>_xlfn.XLOOKUP(B297,Customers!A297:A1296,Customers!B297:B1296,"Customer Not Found",0)</f>
        <v>Customer_511</v>
      </c>
      <c r="F297" s="7" t="str">
        <f>_xlfn.XLOOKUP(Orders!B297,Customers!A297:A1296,Customers!C297:C1296,"Country not Found",0)</f>
        <v>UK</v>
      </c>
      <c r="G297" s="7" t="str">
        <f>_xlfn.XLOOKUP(C297,Products!A297:A796,Products!B297:B796,"Product Missing",0)</f>
        <v>Product Missing</v>
      </c>
      <c r="H297" s="7" t="str">
        <f>_xlfn.XLOOKUP(C297,Products!A297:A796,Products!C297:C796,"Category Missing",0)</f>
        <v>Category Missing</v>
      </c>
      <c r="I297" s="11" t="str">
        <f>_xlfn.XLOOKUP(Orders!C297,Products!A297:A796,Products!D297:D796,"Price Missing",0)</f>
        <v>Price Missing</v>
      </c>
      <c r="J297" s="19">
        <f t="shared" si="4"/>
        <v>0</v>
      </c>
    </row>
    <row r="298" spans="1:10" x14ac:dyDescent="0.35">
      <c r="A298" s="4" t="s">
        <v>4318</v>
      </c>
      <c r="B298" s="7" t="s">
        <v>119</v>
      </c>
      <c r="C298" s="7" t="s">
        <v>3470</v>
      </c>
      <c r="D298" s="5">
        <v>4</v>
      </c>
      <c r="E298" s="7" t="str">
        <f>_xlfn.XLOOKUP(B298,Customers!A298:A1297,Customers!B298:B1297,"Customer Not Found",0)</f>
        <v>Customer Not Found</v>
      </c>
      <c r="F298" s="7" t="str">
        <f>_xlfn.XLOOKUP(Orders!B298,Customers!A298:A1297,Customers!C298:C1297,"Country not Found",0)</f>
        <v>Country not Found</v>
      </c>
      <c r="G298" s="7" t="str">
        <f>_xlfn.XLOOKUP(C298,Products!A298:A797,Products!B298:B797,"Product Missing",0)</f>
        <v>Product Missing</v>
      </c>
      <c r="H298" s="7" t="str">
        <f>_xlfn.XLOOKUP(C298,Products!A298:A797,Products!C298:C797,"Category Missing",0)</f>
        <v>Category Missing</v>
      </c>
      <c r="I298" s="11" t="str">
        <f>_xlfn.XLOOKUP(Orders!C298,Products!A298:A797,Products!D298:D797,"Price Missing",0)</f>
        <v>Price Missing</v>
      </c>
      <c r="J298" s="19">
        <f t="shared" si="4"/>
        <v>0</v>
      </c>
    </row>
    <row r="299" spans="1:10" x14ac:dyDescent="0.35">
      <c r="A299" s="4" t="s">
        <v>4319</v>
      </c>
      <c r="B299" s="7" t="s">
        <v>923</v>
      </c>
      <c r="C299" s="7" t="s">
        <v>3360</v>
      </c>
      <c r="D299" s="5">
        <v>4</v>
      </c>
      <c r="E299" s="7" t="str">
        <f>_xlfn.XLOOKUP(B299,Customers!A299:A1298,Customers!B299:B1298,"Customer Not Found",0)</f>
        <v>Customer_305</v>
      </c>
      <c r="F299" s="7" t="str">
        <f>_xlfn.XLOOKUP(Orders!B299,Customers!A299:A1298,Customers!C299:C1298,"Country not Found",0)</f>
        <v>USA</v>
      </c>
      <c r="G299" s="7" t="str">
        <f>_xlfn.XLOOKUP(C299,Products!A299:A798,Products!B299:B798,"Product Missing",0)</f>
        <v>Product Missing</v>
      </c>
      <c r="H299" s="7" t="str">
        <f>_xlfn.XLOOKUP(C299,Products!A299:A798,Products!C299:C798,"Category Missing",0)</f>
        <v>Category Missing</v>
      </c>
      <c r="I299" s="11" t="str">
        <f>_xlfn.XLOOKUP(Orders!C299,Products!A299:A798,Products!D299:D798,"Price Missing",0)</f>
        <v>Price Missing</v>
      </c>
      <c r="J299" s="19">
        <f t="shared" si="4"/>
        <v>0</v>
      </c>
    </row>
    <row r="300" spans="1:10" x14ac:dyDescent="0.35">
      <c r="A300" s="4" t="s">
        <v>4320</v>
      </c>
      <c r="B300" s="7" t="s">
        <v>2132</v>
      </c>
      <c r="C300" s="7" t="s">
        <v>3594</v>
      </c>
      <c r="D300" s="5">
        <v>7</v>
      </c>
      <c r="E300" s="7" t="str">
        <f>_xlfn.XLOOKUP(B300,Customers!A300:A1299,Customers!B300:B1299,"Customer Not Found",0)</f>
        <v>Customer_708</v>
      </c>
      <c r="F300" s="7" t="str">
        <f>_xlfn.XLOOKUP(Orders!B300,Customers!A300:A1299,Customers!C300:C1299,"Country not Found",0)</f>
        <v>Nigeria</v>
      </c>
      <c r="G300" s="7" t="str">
        <f>_xlfn.XLOOKUP(C300,Products!A300:A799,Products!B300:B799,"Product Missing",0)</f>
        <v>Product Missing</v>
      </c>
      <c r="H300" s="7" t="str">
        <f>_xlfn.XLOOKUP(C300,Products!A300:A799,Products!C300:C799,"Category Missing",0)</f>
        <v>Category Missing</v>
      </c>
      <c r="I300" s="11" t="str">
        <f>_xlfn.XLOOKUP(Orders!C300,Products!A300:A799,Products!D300:D799,"Price Missing",0)</f>
        <v>Price Missing</v>
      </c>
      <c r="J300" s="19">
        <f t="shared" si="4"/>
        <v>0</v>
      </c>
    </row>
    <row r="301" spans="1:10" x14ac:dyDescent="0.35">
      <c r="A301" s="4" t="s">
        <v>4321</v>
      </c>
      <c r="B301" s="7" t="s">
        <v>761</v>
      </c>
      <c r="C301" s="7" t="s">
        <v>3508</v>
      </c>
      <c r="D301" s="5">
        <v>5</v>
      </c>
      <c r="E301" s="7" t="str">
        <f>_xlfn.XLOOKUP(B301,Customers!A301:A1300,Customers!B301:B1300,"Customer Not Found",0)</f>
        <v>Customer Not Found</v>
      </c>
      <c r="F301" s="7" t="str">
        <f>_xlfn.XLOOKUP(Orders!B301,Customers!A301:A1300,Customers!C301:C1300,"Country not Found",0)</f>
        <v>Country not Found</v>
      </c>
      <c r="G301" s="7" t="str">
        <f>_xlfn.XLOOKUP(C301,Products!A301:A800,Products!B301:B800,"Product Missing",0)</f>
        <v>Product Missing</v>
      </c>
      <c r="H301" s="7" t="str">
        <f>_xlfn.XLOOKUP(C301,Products!A301:A800,Products!C301:C800,"Category Missing",0)</f>
        <v>Category Missing</v>
      </c>
      <c r="I301" s="11" t="str">
        <f>_xlfn.XLOOKUP(Orders!C301,Products!A301:A800,Products!D301:D800,"Price Missing",0)</f>
        <v>Price Missing</v>
      </c>
      <c r="J301" s="19">
        <f t="shared" si="4"/>
        <v>0</v>
      </c>
    </row>
    <row r="302" spans="1:10" x14ac:dyDescent="0.35">
      <c r="A302" s="4" t="s">
        <v>4322</v>
      </c>
      <c r="B302" s="7" t="s">
        <v>971</v>
      </c>
      <c r="C302" s="7" t="s">
        <v>3702</v>
      </c>
      <c r="D302" s="5">
        <v>5</v>
      </c>
      <c r="E302" s="7" t="str">
        <f>_xlfn.XLOOKUP(B302,Customers!A302:A1301,Customers!B302:B1301,"Customer Not Found",0)</f>
        <v>Customer_321</v>
      </c>
      <c r="F302" s="7" t="str">
        <f>_xlfn.XLOOKUP(Orders!B302,Customers!A302:A1301,Customers!C302:C1301,"Country not Found",0)</f>
        <v>Ghana</v>
      </c>
      <c r="G302" s="7" t="str">
        <f>_xlfn.XLOOKUP(C302,Products!A302:A801,Products!B302:B801,"Product Missing",0)</f>
        <v>Product_342</v>
      </c>
      <c r="H302" s="7" t="str">
        <f>_xlfn.XLOOKUP(C302,Products!A302:A801,Products!C302:C801,"Category Missing",0)</f>
        <v>Home</v>
      </c>
      <c r="I302" s="11">
        <f>_xlfn.XLOOKUP(Orders!C302,Products!A302:A801,Products!D302:D801,"Price Missing",0)</f>
        <v>79.48</v>
      </c>
      <c r="J302" s="19">
        <f t="shared" si="4"/>
        <v>397.40000000000003</v>
      </c>
    </row>
    <row r="303" spans="1:10" x14ac:dyDescent="0.35">
      <c r="A303" s="4" t="s">
        <v>4323</v>
      </c>
      <c r="B303" s="7" t="s">
        <v>326</v>
      </c>
      <c r="C303" s="7" t="s">
        <v>3784</v>
      </c>
      <c r="D303" s="5">
        <v>7</v>
      </c>
      <c r="E303" s="7" t="str">
        <f>_xlfn.XLOOKUP(B303,Customers!A303:A1302,Customers!B303:B1302,"Customer Not Found",0)</f>
        <v>Customer Not Found</v>
      </c>
      <c r="F303" s="7" t="str">
        <f>_xlfn.XLOOKUP(Orders!B303,Customers!A303:A1302,Customers!C303:C1302,"Country not Found",0)</f>
        <v>Country not Found</v>
      </c>
      <c r="G303" s="7" t="str">
        <f>_xlfn.XLOOKUP(C303,Products!A303:A802,Products!B303:B802,"Product Missing",0)</f>
        <v>Product_383</v>
      </c>
      <c r="H303" s="7" t="str">
        <f>_xlfn.XLOOKUP(C303,Products!A303:A802,Products!C303:C802,"Category Missing",0)</f>
        <v>Clothing</v>
      </c>
      <c r="I303" s="11">
        <f>_xlfn.XLOOKUP(Orders!C303,Products!A303:A802,Products!D303:D802,"Price Missing",0)</f>
        <v>177.98</v>
      </c>
      <c r="J303" s="19">
        <f t="shared" si="4"/>
        <v>1245.8599999999999</v>
      </c>
    </row>
    <row r="304" spans="1:10" x14ac:dyDescent="0.35">
      <c r="A304" s="4" t="s">
        <v>4324</v>
      </c>
      <c r="B304" s="7" t="s">
        <v>317</v>
      </c>
      <c r="C304" s="7" t="s">
        <v>3910</v>
      </c>
      <c r="D304" s="5">
        <v>5</v>
      </c>
      <c r="E304" s="7" t="str">
        <f>_xlfn.XLOOKUP(B304,Customers!A304:A1303,Customers!B304:B1303,"Customer Not Found",0)</f>
        <v>Customer Not Found</v>
      </c>
      <c r="F304" s="7" t="str">
        <f>_xlfn.XLOOKUP(Orders!B304,Customers!A304:A1303,Customers!C304:C1303,"Country not Found",0)</f>
        <v>Country not Found</v>
      </c>
      <c r="G304" s="7" t="str">
        <f>_xlfn.XLOOKUP(C304,Products!A304:A803,Products!B304:B803,"Product Missing",0)</f>
        <v>Product_446</v>
      </c>
      <c r="H304" s="7" t="str">
        <f>_xlfn.XLOOKUP(C304,Products!A304:A803,Products!C304:C803,"Category Missing",0)</f>
        <v>Food</v>
      </c>
      <c r="I304" s="11">
        <f>_xlfn.XLOOKUP(Orders!C304,Products!A304:A803,Products!D304:D803,"Price Missing",0)</f>
        <v>92.46</v>
      </c>
      <c r="J304" s="19">
        <f t="shared" si="4"/>
        <v>462.29999999999995</v>
      </c>
    </row>
    <row r="305" spans="1:10" x14ac:dyDescent="0.35">
      <c r="A305" s="4" t="s">
        <v>4325</v>
      </c>
      <c r="B305" s="7" t="s">
        <v>2216</v>
      </c>
      <c r="C305" s="7" t="s">
        <v>3730</v>
      </c>
      <c r="D305" s="5">
        <v>4</v>
      </c>
      <c r="E305" s="7" t="str">
        <f>_xlfn.XLOOKUP(B305,Customers!A305:A1304,Customers!B305:B1304,"Customer Not Found",0)</f>
        <v>Customer_736</v>
      </c>
      <c r="F305" s="7" t="str">
        <f>_xlfn.XLOOKUP(Orders!B305,Customers!A305:A1304,Customers!C305:C1304,"Country not Found",0)</f>
        <v>Kenya</v>
      </c>
      <c r="G305" s="7" t="str">
        <f>_xlfn.XLOOKUP(C305,Products!A305:A804,Products!B305:B804,"Product Missing",0)</f>
        <v>Product_356</v>
      </c>
      <c r="H305" s="7" t="str">
        <f>_xlfn.XLOOKUP(C305,Products!A305:A804,Products!C305:C804,"Category Missing",0)</f>
        <v>Clothing</v>
      </c>
      <c r="I305" s="11">
        <f>_xlfn.XLOOKUP(Orders!C305,Products!A305:A804,Products!D305:D804,"Price Missing",0)</f>
        <v>177.09</v>
      </c>
      <c r="J305" s="19">
        <f t="shared" si="4"/>
        <v>708.36</v>
      </c>
    </row>
    <row r="306" spans="1:10" x14ac:dyDescent="0.35">
      <c r="A306" s="4" t="s">
        <v>4326</v>
      </c>
      <c r="B306" s="7" t="s">
        <v>902</v>
      </c>
      <c r="C306" s="7" t="s">
        <v>3218</v>
      </c>
      <c r="D306" s="5">
        <v>10</v>
      </c>
      <c r="E306" s="7" t="str">
        <f>_xlfn.XLOOKUP(B306,Customers!A306:A1305,Customers!B306:B1305,"Customer Not Found",0)</f>
        <v>Customer Not Found</v>
      </c>
      <c r="F306" s="7" t="str">
        <f>_xlfn.XLOOKUP(Orders!B306,Customers!A306:A1305,Customers!C306:C1305,"Country not Found",0)</f>
        <v>Country not Found</v>
      </c>
      <c r="G306" s="7" t="str">
        <f>_xlfn.XLOOKUP(C306,Products!A306:A805,Products!B306:B805,"Product Missing",0)</f>
        <v>Product Missing</v>
      </c>
      <c r="H306" s="7" t="str">
        <f>_xlfn.XLOOKUP(C306,Products!A306:A805,Products!C306:C805,"Category Missing",0)</f>
        <v>Category Missing</v>
      </c>
      <c r="I306" s="11" t="str">
        <f>_xlfn.XLOOKUP(Orders!C306,Products!A306:A805,Products!D306:D805,"Price Missing",0)</f>
        <v>Price Missing</v>
      </c>
      <c r="J306" s="19">
        <f t="shared" si="4"/>
        <v>0</v>
      </c>
    </row>
    <row r="307" spans="1:10" x14ac:dyDescent="0.35">
      <c r="A307" s="4" t="s">
        <v>4327</v>
      </c>
      <c r="B307" s="7" t="s">
        <v>464</v>
      </c>
      <c r="C307" s="7" t="s">
        <v>3184</v>
      </c>
      <c r="D307" s="5">
        <v>7</v>
      </c>
      <c r="E307" s="7" t="str">
        <f>_xlfn.XLOOKUP(B307,Customers!A307:A1306,Customers!B307:B1306,"Customer Not Found",0)</f>
        <v>Customer Not Found</v>
      </c>
      <c r="F307" s="7" t="str">
        <f>_xlfn.XLOOKUP(Orders!B307,Customers!A307:A1306,Customers!C307:C1306,"Country not Found",0)</f>
        <v>Country not Found</v>
      </c>
      <c r="G307" s="7" t="str">
        <f>_xlfn.XLOOKUP(C307,Products!A307:A806,Products!B307:B806,"Product Missing",0)</f>
        <v>Product Missing</v>
      </c>
      <c r="H307" s="7" t="str">
        <f>_xlfn.XLOOKUP(C307,Products!A307:A806,Products!C307:C806,"Category Missing",0)</f>
        <v>Category Missing</v>
      </c>
      <c r="I307" s="11" t="str">
        <f>_xlfn.XLOOKUP(Orders!C307,Products!A307:A806,Products!D307:D806,"Price Missing",0)</f>
        <v>Price Missing</v>
      </c>
      <c r="J307" s="19">
        <f t="shared" si="4"/>
        <v>0</v>
      </c>
    </row>
    <row r="308" spans="1:10" x14ac:dyDescent="0.35">
      <c r="A308" s="4" t="s">
        <v>4328</v>
      </c>
      <c r="B308" s="7" t="s">
        <v>104</v>
      </c>
      <c r="C308" s="7" t="s">
        <v>3254</v>
      </c>
      <c r="D308" s="5">
        <v>4</v>
      </c>
      <c r="E308" s="7" t="str">
        <f>_xlfn.XLOOKUP(B308,Customers!A308:A1307,Customers!B308:B1307,"Customer Not Found",0)</f>
        <v>Customer Not Found</v>
      </c>
      <c r="F308" s="7" t="str">
        <f>_xlfn.XLOOKUP(Orders!B308,Customers!A308:A1307,Customers!C308:C1307,"Country not Found",0)</f>
        <v>Country not Found</v>
      </c>
      <c r="G308" s="7" t="str">
        <f>_xlfn.XLOOKUP(C308,Products!A308:A807,Products!B308:B807,"Product Missing",0)</f>
        <v>Product Missing</v>
      </c>
      <c r="H308" s="7" t="str">
        <f>_xlfn.XLOOKUP(C308,Products!A308:A807,Products!C308:C807,"Category Missing",0)</f>
        <v>Category Missing</v>
      </c>
      <c r="I308" s="11" t="str">
        <f>_xlfn.XLOOKUP(Orders!C308,Products!A308:A807,Products!D308:D807,"Price Missing",0)</f>
        <v>Price Missing</v>
      </c>
      <c r="J308" s="19">
        <f t="shared" si="4"/>
        <v>0</v>
      </c>
    </row>
    <row r="309" spans="1:10" x14ac:dyDescent="0.35">
      <c r="A309" s="4" t="s">
        <v>4329</v>
      </c>
      <c r="B309" s="7" t="s">
        <v>1502</v>
      </c>
      <c r="C309" s="7" t="s">
        <v>3100</v>
      </c>
      <c r="D309" s="5">
        <v>3</v>
      </c>
      <c r="E309" s="7" t="str">
        <f>_xlfn.XLOOKUP(B309,Customers!A309:A1308,Customers!B309:B1308,"Customer Not Found",0)</f>
        <v>Customer_498</v>
      </c>
      <c r="F309" s="7" t="str">
        <f>_xlfn.XLOOKUP(Orders!B309,Customers!A309:A1308,Customers!C309:C1308,"Country not Found",0)</f>
        <v>USA</v>
      </c>
      <c r="G309" s="7" t="str">
        <f>_xlfn.XLOOKUP(C309,Products!A309:A808,Products!B309:B808,"Product Missing",0)</f>
        <v>Product Missing</v>
      </c>
      <c r="H309" s="7" t="str">
        <f>_xlfn.XLOOKUP(C309,Products!A309:A808,Products!C309:C808,"Category Missing",0)</f>
        <v>Category Missing</v>
      </c>
      <c r="I309" s="11" t="str">
        <f>_xlfn.XLOOKUP(Orders!C309,Products!A309:A808,Products!D309:D808,"Price Missing",0)</f>
        <v>Price Missing</v>
      </c>
      <c r="J309" s="19">
        <f t="shared" si="4"/>
        <v>0</v>
      </c>
    </row>
    <row r="310" spans="1:10" x14ac:dyDescent="0.35">
      <c r="A310" s="4" t="s">
        <v>4330</v>
      </c>
      <c r="B310" s="7" t="s">
        <v>989</v>
      </c>
      <c r="C310" s="7" t="s">
        <v>3784</v>
      </c>
      <c r="D310" s="5">
        <v>6</v>
      </c>
      <c r="E310" s="7" t="str">
        <f>_xlfn.XLOOKUP(B310,Customers!A310:A1309,Customers!B310:B1309,"Customer Not Found",0)</f>
        <v>Customer_327</v>
      </c>
      <c r="F310" s="7" t="str">
        <f>_xlfn.XLOOKUP(Orders!B310,Customers!A310:A1309,Customers!C310:C1309,"Country not Found",0)</f>
        <v>USA</v>
      </c>
      <c r="G310" s="7" t="str">
        <f>_xlfn.XLOOKUP(C310,Products!A310:A809,Products!B310:B809,"Product Missing",0)</f>
        <v>Product_383</v>
      </c>
      <c r="H310" s="7" t="str">
        <f>_xlfn.XLOOKUP(C310,Products!A310:A809,Products!C310:C809,"Category Missing",0)</f>
        <v>Clothing</v>
      </c>
      <c r="I310" s="11">
        <f>_xlfn.XLOOKUP(Orders!C310,Products!A310:A809,Products!D310:D809,"Price Missing",0)</f>
        <v>177.98</v>
      </c>
      <c r="J310" s="19">
        <f t="shared" si="4"/>
        <v>1067.8799999999999</v>
      </c>
    </row>
    <row r="311" spans="1:10" x14ac:dyDescent="0.35">
      <c r="A311" s="4" t="s">
        <v>4331</v>
      </c>
      <c r="B311" s="7" t="s">
        <v>2477</v>
      </c>
      <c r="C311" s="7" t="s">
        <v>3348</v>
      </c>
      <c r="D311" s="5">
        <v>1</v>
      </c>
      <c r="E311" s="7" t="str">
        <f>_xlfn.XLOOKUP(B311,Customers!A311:A1310,Customers!B311:B1310,"Customer Not Found",0)</f>
        <v>Customer_823</v>
      </c>
      <c r="F311" s="7" t="str">
        <f>_xlfn.XLOOKUP(Orders!B311,Customers!A311:A1310,Customers!C311:C1310,"Country not Found",0)</f>
        <v>Nigeria</v>
      </c>
      <c r="G311" s="7" t="str">
        <f>_xlfn.XLOOKUP(C311,Products!A311:A810,Products!B311:B810,"Product Missing",0)</f>
        <v>Product Missing</v>
      </c>
      <c r="H311" s="7" t="str">
        <f>_xlfn.XLOOKUP(C311,Products!A311:A810,Products!C311:C810,"Category Missing",0)</f>
        <v>Category Missing</v>
      </c>
      <c r="I311" s="11" t="str">
        <f>_xlfn.XLOOKUP(Orders!C311,Products!A311:A810,Products!D311:D810,"Price Missing",0)</f>
        <v>Price Missing</v>
      </c>
      <c r="J311" s="19">
        <f t="shared" si="4"/>
        <v>0</v>
      </c>
    </row>
    <row r="312" spans="1:10" x14ac:dyDescent="0.35">
      <c r="A312" s="4" t="s">
        <v>4332</v>
      </c>
      <c r="B312" s="7" t="s">
        <v>686</v>
      </c>
      <c r="C312" s="7" t="s">
        <v>3812</v>
      </c>
      <c r="D312" s="5">
        <v>5</v>
      </c>
      <c r="E312" s="7" t="str">
        <f>_xlfn.XLOOKUP(B312,Customers!A312:A1311,Customers!B312:B1311,"Customer Not Found",0)</f>
        <v>Customer Not Found</v>
      </c>
      <c r="F312" s="7" t="str">
        <f>_xlfn.XLOOKUP(Orders!B312,Customers!A312:A1311,Customers!C312:C1311,"Country not Found",0)</f>
        <v>Country not Found</v>
      </c>
      <c r="G312" s="7" t="str">
        <f>_xlfn.XLOOKUP(C312,Products!A312:A811,Products!B312:B811,"Product Missing",0)</f>
        <v>Product_397</v>
      </c>
      <c r="H312" s="7" t="str">
        <f>_xlfn.XLOOKUP(C312,Products!A312:A811,Products!C312:C811,"Category Missing",0)</f>
        <v>Food</v>
      </c>
      <c r="I312" s="11">
        <f>_xlfn.XLOOKUP(Orders!C312,Products!A312:A811,Products!D312:D811,"Price Missing",0)</f>
        <v>449.14</v>
      </c>
      <c r="J312" s="19">
        <f t="shared" si="4"/>
        <v>2245.6999999999998</v>
      </c>
    </row>
    <row r="313" spans="1:10" x14ac:dyDescent="0.35">
      <c r="A313" s="4" t="s">
        <v>4333</v>
      </c>
      <c r="B313" s="7" t="s">
        <v>665</v>
      </c>
      <c r="C313" s="7" t="s">
        <v>3948</v>
      </c>
      <c r="D313" s="5">
        <v>5</v>
      </c>
      <c r="E313" s="7" t="str">
        <f>_xlfn.XLOOKUP(B313,Customers!A313:A1312,Customers!B313:B1312,"Customer Not Found",0)</f>
        <v>Customer Not Found</v>
      </c>
      <c r="F313" s="7" t="str">
        <f>_xlfn.XLOOKUP(Orders!B313,Customers!A313:A1312,Customers!C313:C1312,"Country not Found",0)</f>
        <v>Country not Found</v>
      </c>
      <c r="G313" s="7" t="str">
        <f>_xlfn.XLOOKUP(C313,Products!A313:A812,Products!B313:B812,"Product Missing",0)</f>
        <v>Product_465</v>
      </c>
      <c r="H313" s="7" t="str">
        <f>_xlfn.XLOOKUP(C313,Products!A313:A812,Products!C313:C812,"Category Missing",0)</f>
        <v>Food</v>
      </c>
      <c r="I313" s="11">
        <f>_xlfn.XLOOKUP(Orders!C313,Products!A313:A812,Products!D313:D812,"Price Missing",0)</f>
        <v>82.99</v>
      </c>
      <c r="J313" s="19">
        <f t="shared" si="4"/>
        <v>414.95</v>
      </c>
    </row>
    <row r="314" spans="1:10" x14ac:dyDescent="0.35">
      <c r="A314" s="4" t="s">
        <v>4334</v>
      </c>
      <c r="B314" s="7" t="s">
        <v>1613</v>
      </c>
      <c r="C314" s="7" t="s">
        <v>3678</v>
      </c>
      <c r="D314" s="5">
        <v>6</v>
      </c>
      <c r="E314" s="7" t="str">
        <f>_xlfn.XLOOKUP(B314,Customers!A314:A1313,Customers!B314:B1313,"Customer Not Found",0)</f>
        <v>Customer_535</v>
      </c>
      <c r="F314" s="7" t="str">
        <f>_xlfn.XLOOKUP(Orders!B314,Customers!A314:A1313,Customers!C314:C1313,"Country not Found",0)</f>
        <v>Ghana</v>
      </c>
      <c r="G314" s="7" t="str">
        <f>_xlfn.XLOOKUP(C314,Products!A314:A813,Products!B314:B813,"Product Missing",0)</f>
        <v>Product_330</v>
      </c>
      <c r="H314" s="7" t="str">
        <f>_xlfn.XLOOKUP(C314,Products!A314:A813,Products!C314:C813,"Category Missing",0)</f>
        <v>Clothing</v>
      </c>
      <c r="I314" s="11">
        <f>_xlfn.XLOOKUP(Orders!C314,Products!A314:A813,Products!D314:D813,"Price Missing",0)</f>
        <v>18.88</v>
      </c>
      <c r="J314" s="19">
        <f t="shared" si="4"/>
        <v>113.28</v>
      </c>
    </row>
    <row r="315" spans="1:10" x14ac:dyDescent="0.35">
      <c r="A315" s="4" t="s">
        <v>4335</v>
      </c>
      <c r="B315" s="7" t="s">
        <v>1568</v>
      </c>
      <c r="C315" s="7" t="s">
        <v>3118</v>
      </c>
      <c r="D315" s="5">
        <v>6</v>
      </c>
      <c r="E315" s="7" t="str">
        <f>_xlfn.XLOOKUP(B315,Customers!A315:A1314,Customers!B315:B1314,"Customer Not Found",0)</f>
        <v>Customer_520</v>
      </c>
      <c r="F315" s="7" t="str">
        <f>_xlfn.XLOOKUP(Orders!B315,Customers!A315:A1314,Customers!C315:C1314,"Country not Found",0)</f>
        <v>Kenya</v>
      </c>
      <c r="G315" s="7" t="str">
        <f>_xlfn.XLOOKUP(C315,Products!A315:A814,Products!B315:B814,"Product Missing",0)</f>
        <v>Product Missing</v>
      </c>
      <c r="H315" s="7" t="str">
        <f>_xlfn.XLOOKUP(C315,Products!A315:A814,Products!C315:C814,"Category Missing",0)</f>
        <v>Category Missing</v>
      </c>
      <c r="I315" s="11" t="str">
        <f>_xlfn.XLOOKUP(Orders!C315,Products!A315:A814,Products!D315:D814,"Price Missing",0)</f>
        <v>Price Missing</v>
      </c>
      <c r="J315" s="19">
        <f t="shared" si="4"/>
        <v>0</v>
      </c>
    </row>
    <row r="316" spans="1:10" x14ac:dyDescent="0.35">
      <c r="A316" s="4" t="s">
        <v>4336</v>
      </c>
      <c r="B316" s="7" t="s">
        <v>1163</v>
      </c>
      <c r="C316" s="7" t="s">
        <v>4010</v>
      </c>
      <c r="D316" s="5">
        <v>7</v>
      </c>
      <c r="E316" s="7" t="str">
        <f>_xlfn.XLOOKUP(B316,Customers!A316:A1315,Customers!B316:B1315,"Customer Not Found",0)</f>
        <v>Customer_385</v>
      </c>
      <c r="F316" s="7" t="str">
        <f>_xlfn.XLOOKUP(Orders!B316,Customers!A316:A1315,Customers!C316:C1315,"Country not Found",0)</f>
        <v>USA</v>
      </c>
      <c r="G316" s="7" t="str">
        <f>_xlfn.XLOOKUP(C316,Products!A316:A815,Products!B316:B815,"Product Missing",0)</f>
        <v>Product_496</v>
      </c>
      <c r="H316" s="7" t="str">
        <f>_xlfn.XLOOKUP(C316,Products!A316:A815,Products!C316:C815,"Category Missing",0)</f>
        <v>Clothing</v>
      </c>
      <c r="I316" s="11">
        <f>_xlfn.XLOOKUP(Orders!C316,Products!A316:A815,Products!D316:D815,"Price Missing",0)</f>
        <v>233.39</v>
      </c>
      <c r="J316" s="19">
        <f t="shared" si="4"/>
        <v>1633.73</v>
      </c>
    </row>
    <row r="317" spans="1:10" x14ac:dyDescent="0.35">
      <c r="A317" s="4" t="s">
        <v>4337</v>
      </c>
      <c r="B317" s="7" t="s">
        <v>2018</v>
      </c>
      <c r="C317" s="7" t="s">
        <v>3206</v>
      </c>
      <c r="D317" s="5">
        <v>2</v>
      </c>
      <c r="E317" s="7" t="str">
        <f>_xlfn.XLOOKUP(B317,Customers!A317:A1316,Customers!B317:B1316,"Customer Not Found",0)</f>
        <v>Customer_670</v>
      </c>
      <c r="F317" s="7" t="str">
        <f>_xlfn.XLOOKUP(Orders!B317,Customers!A317:A1316,Customers!C317:C1316,"Country not Found",0)</f>
        <v>Kenya</v>
      </c>
      <c r="G317" s="7" t="str">
        <f>_xlfn.XLOOKUP(C317,Products!A317:A816,Products!B317:B816,"Product Missing",0)</f>
        <v>Product Missing</v>
      </c>
      <c r="H317" s="7" t="str">
        <f>_xlfn.XLOOKUP(C317,Products!A317:A816,Products!C317:C816,"Category Missing",0)</f>
        <v>Category Missing</v>
      </c>
      <c r="I317" s="11" t="str">
        <f>_xlfn.XLOOKUP(Orders!C317,Products!A317:A816,Products!D317:D816,"Price Missing",0)</f>
        <v>Price Missing</v>
      </c>
      <c r="J317" s="19">
        <f t="shared" si="4"/>
        <v>0</v>
      </c>
    </row>
    <row r="318" spans="1:10" x14ac:dyDescent="0.35">
      <c r="A318" s="4" t="s">
        <v>4338</v>
      </c>
      <c r="B318" s="7" t="s">
        <v>770</v>
      </c>
      <c r="C318" s="7" t="s">
        <v>3854</v>
      </c>
      <c r="D318" s="5">
        <v>5</v>
      </c>
      <c r="E318" s="7" t="str">
        <f>_xlfn.XLOOKUP(B318,Customers!A318:A1317,Customers!B318:B1317,"Customer Not Found",0)</f>
        <v>Customer Not Found</v>
      </c>
      <c r="F318" s="7" t="str">
        <f>_xlfn.XLOOKUP(Orders!B318,Customers!A318:A1317,Customers!C318:C1317,"Country not Found",0)</f>
        <v>Country not Found</v>
      </c>
      <c r="G318" s="7" t="str">
        <f>_xlfn.XLOOKUP(C318,Products!A318:A817,Products!B318:B817,"Product Missing",0)</f>
        <v>Product_418</v>
      </c>
      <c r="H318" s="7" t="str">
        <f>_xlfn.XLOOKUP(C318,Products!A318:A817,Products!C318:C817,"Category Missing",0)</f>
        <v>Home</v>
      </c>
      <c r="I318" s="11">
        <f>_xlfn.XLOOKUP(Orders!C318,Products!A318:A817,Products!D318:D817,"Price Missing",0)</f>
        <v>106.33</v>
      </c>
      <c r="J318" s="19">
        <f t="shared" si="4"/>
        <v>531.65</v>
      </c>
    </row>
    <row r="319" spans="1:10" x14ac:dyDescent="0.35">
      <c r="A319" s="4" t="s">
        <v>4339</v>
      </c>
      <c r="B319" s="7" t="s">
        <v>1079</v>
      </c>
      <c r="C319" s="7" t="s">
        <v>3182</v>
      </c>
      <c r="D319" s="5">
        <v>1</v>
      </c>
      <c r="E319" s="7" t="str">
        <f>_xlfn.XLOOKUP(B319,Customers!A319:A1318,Customers!B319:B1318,"Customer Not Found",0)</f>
        <v>Customer_357</v>
      </c>
      <c r="F319" s="7" t="str">
        <f>_xlfn.XLOOKUP(Orders!B319,Customers!A319:A1318,Customers!C319:C1318,"Country not Found",0)</f>
        <v>Kenya</v>
      </c>
      <c r="G319" s="7" t="str">
        <f>_xlfn.XLOOKUP(C319,Products!A319:A818,Products!B319:B818,"Product Missing",0)</f>
        <v>Product Missing</v>
      </c>
      <c r="H319" s="7" t="str">
        <f>_xlfn.XLOOKUP(C319,Products!A319:A818,Products!C319:C818,"Category Missing",0)</f>
        <v>Category Missing</v>
      </c>
      <c r="I319" s="11" t="str">
        <f>_xlfn.XLOOKUP(Orders!C319,Products!A319:A818,Products!D319:D818,"Price Missing",0)</f>
        <v>Price Missing</v>
      </c>
      <c r="J319" s="19">
        <f t="shared" si="4"/>
        <v>0</v>
      </c>
    </row>
    <row r="320" spans="1:10" x14ac:dyDescent="0.35">
      <c r="A320" s="4" t="s">
        <v>4340</v>
      </c>
      <c r="B320" s="7" t="s">
        <v>1913</v>
      </c>
      <c r="C320" s="7" t="s">
        <v>3184</v>
      </c>
      <c r="D320" s="5">
        <v>10</v>
      </c>
      <c r="E320" s="7" t="str">
        <f>_xlfn.XLOOKUP(B320,Customers!A320:A1319,Customers!B320:B1319,"Customer Not Found",0)</f>
        <v>Customer_635</v>
      </c>
      <c r="F320" s="7" t="str">
        <f>_xlfn.XLOOKUP(Orders!B320,Customers!A320:A1319,Customers!C320:C1319,"Country not Found",0)</f>
        <v>Nigeria</v>
      </c>
      <c r="G320" s="7" t="str">
        <f>_xlfn.XLOOKUP(C320,Products!A320:A819,Products!B320:B819,"Product Missing",0)</f>
        <v>Product Missing</v>
      </c>
      <c r="H320" s="7" t="str">
        <f>_xlfn.XLOOKUP(C320,Products!A320:A819,Products!C320:C819,"Category Missing",0)</f>
        <v>Category Missing</v>
      </c>
      <c r="I320" s="11" t="str">
        <f>_xlfn.XLOOKUP(Orders!C320,Products!A320:A819,Products!D320:D819,"Price Missing",0)</f>
        <v>Price Missing</v>
      </c>
      <c r="J320" s="19">
        <f t="shared" si="4"/>
        <v>0</v>
      </c>
    </row>
    <row r="321" spans="1:10" x14ac:dyDescent="0.35">
      <c r="A321" s="4" t="s">
        <v>4341</v>
      </c>
      <c r="B321" s="7" t="s">
        <v>2978</v>
      </c>
      <c r="C321" s="7" t="s">
        <v>3118</v>
      </c>
      <c r="D321" s="5">
        <v>1</v>
      </c>
      <c r="E321" s="7" t="str">
        <f>_xlfn.XLOOKUP(B321,Customers!A321:A1320,Customers!B321:B1320,"Customer Not Found",0)</f>
        <v>Customer_990</v>
      </c>
      <c r="F321" s="7" t="str">
        <f>_xlfn.XLOOKUP(Orders!B321,Customers!A321:A1320,Customers!C321:C1320,"Country not Found",0)</f>
        <v>Kenya</v>
      </c>
      <c r="G321" s="7" t="str">
        <f>_xlfn.XLOOKUP(C321,Products!A321:A820,Products!B321:B820,"Product Missing",0)</f>
        <v>Product Missing</v>
      </c>
      <c r="H321" s="7" t="str">
        <f>_xlfn.XLOOKUP(C321,Products!A321:A820,Products!C321:C820,"Category Missing",0)</f>
        <v>Category Missing</v>
      </c>
      <c r="I321" s="11" t="str">
        <f>_xlfn.XLOOKUP(Orders!C321,Products!A321:A820,Products!D321:D820,"Price Missing",0)</f>
        <v>Price Missing</v>
      </c>
      <c r="J321" s="19">
        <f t="shared" si="4"/>
        <v>0</v>
      </c>
    </row>
    <row r="322" spans="1:10" x14ac:dyDescent="0.35">
      <c r="A322" s="4" t="s">
        <v>4342</v>
      </c>
      <c r="B322" s="7" t="s">
        <v>1088</v>
      </c>
      <c r="C322" s="7" t="s">
        <v>3804</v>
      </c>
      <c r="D322" s="5">
        <v>9</v>
      </c>
      <c r="E322" s="7" t="str">
        <f>_xlfn.XLOOKUP(B322,Customers!A322:A1321,Customers!B322:B1321,"Customer Not Found",0)</f>
        <v>Customer_360</v>
      </c>
      <c r="F322" s="7" t="str">
        <f>_xlfn.XLOOKUP(Orders!B322,Customers!A322:A1321,Customers!C322:C1321,"Country not Found",0)</f>
        <v>Kenya</v>
      </c>
      <c r="G322" s="7" t="str">
        <f>_xlfn.XLOOKUP(C322,Products!A322:A821,Products!B322:B821,"Product Missing",0)</f>
        <v>Product_393</v>
      </c>
      <c r="H322" s="7" t="str">
        <f>_xlfn.XLOOKUP(C322,Products!A322:A821,Products!C322:C821,"Category Missing",0)</f>
        <v>Sports</v>
      </c>
      <c r="I322" s="11">
        <f>_xlfn.XLOOKUP(Orders!C322,Products!A322:A821,Products!D322:D821,"Price Missing",0)</f>
        <v>478.11</v>
      </c>
      <c r="J322" s="19">
        <f t="shared" si="4"/>
        <v>4302.99</v>
      </c>
    </row>
    <row r="323" spans="1:10" x14ac:dyDescent="0.35">
      <c r="A323" s="4" t="s">
        <v>4343</v>
      </c>
      <c r="B323" s="7" t="s">
        <v>101</v>
      </c>
      <c r="C323" s="7" t="s">
        <v>3838</v>
      </c>
      <c r="D323" s="5">
        <v>8</v>
      </c>
      <c r="E323" s="7" t="str">
        <f>_xlfn.XLOOKUP(B323,Customers!A323:A1322,Customers!B323:B1322,"Customer Not Found",0)</f>
        <v>Customer Not Found</v>
      </c>
      <c r="F323" s="7" t="str">
        <f>_xlfn.XLOOKUP(Orders!B323,Customers!A323:A1322,Customers!C323:C1322,"Country not Found",0)</f>
        <v>Country not Found</v>
      </c>
      <c r="G323" s="7" t="str">
        <f>_xlfn.XLOOKUP(C323,Products!A323:A822,Products!B323:B822,"Product Missing",0)</f>
        <v>Product_410</v>
      </c>
      <c r="H323" s="7" t="str">
        <f>_xlfn.XLOOKUP(C323,Products!A323:A822,Products!C323:C822,"Category Missing",0)</f>
        <v>Sports</v>
      </c>
      <c r="I323" s="11">
        <f>_xlfn.XLOOKUP(Orders!C323,Products!A323:A822,Products!D323:D822,"Price Missing",0)</f>
        <v>375.9</v>
      </c>
      <c r="J323" s="19">
        <f t="shared" ref="J323:J386" si="5">IFERROR(I323*D323,0)</f>
        <v>3007.2</v>
      </c>
    </row>
    <row r="324" spans="1:10" x14ac:dyDescent="0.35">
      <c r="A324" s="4" t="s">
        <v>4344</v>
      </c>
      <c r="B324" s="7" t="s">
        <v>2423</v>
      </c>
      <c r="C324" s="7" t="s">
        <v>3318</v>
      </c>
      <c r="D324" s="5">
        <v>10</v>
      </c>
      <c r="E324" s="7" t="str">
        <f>_xlfn.XLOOKUP(B324,Customers!A324:A1323,Customers!B324:B1323,"Customer Not Found",0)</f>
        <v>Customer_805</v>
      </c>
      <c r="F324" s="7" t="str">
        <f>_xlfn.XLOOKUP(Orders!B324,Customers!A324:A1323,Customers!C324:C1323,"Country not Found",0)</f>
        <v>South Africa</v>
      </c>
      <c r="G324" s="7" t="str">
        <f>_xlfn.XLOOKUP(C324,Products!A324:A823,Products!B324:B823,"Product Missing",0)</f>
        <v>Product Missing</v>
      </c>
      <c r="H324" s="7" t="str">
        <f>_xlfn.XLOOKUP(C324,Products!A324:A823,Products!C324:C823,"Category Missing",0)</f>
        <v>Category Missing</v>
      </c>
      <c r="I324" s="11" t="str">
        <f>_xlfn.XLOOKUP(Orders!C324,Products!A324:A823,Products!D324:D823,"Price Missing",0)</f>
        <v>Price Missing</v>
      </c>
      <c r="J324" s="19">
        <f t="shared" si="5"/>
        <v>0</v>
      </c>
    </row>
    <row r="325" spans="1:10" x14ac:dyDescent="0.35">
      <c r="A325" s="4" t="s">
        <v>4345</v>
      </c>
      <c r="B325" s="7" t="s">
        <v>854</v>
      </c>
      <c r="C325" s="7" t="s">
        <v>3994</v>
      </c>
      <c r="D325" s="5">
        <v>10</v>
      </c>
      <c r="E325" s="7" t="str">
        <f>_xlfn.XLOOKUP(B325,Customers!A325:A1324,Customers!B325:B1324,"Customer Not Found",0)</f>
        <v>Customer Not Found</v>
      </c>
      <c r="F325" s="7" t="str">
        <f>_xlfn.XLOOKUP(Orders!B325,Customers!A325:A1324,Customers!C325:C1324,"Country not Found",0)</f>
        <v>Country not Found</v>
      </c>
      <c r="G325" s="7" t="str">
        <f>_xlfn.XLOOKUP(C325,Products!A325:A824,Products!B325:B824,"Product Missing",0)</f>
        <v>Product_488</v>
      </c>
      <c r="H325" s="7" t="str">
        <f>_xlfn.XLOOKUP(C325,Products!A325:A824,Products!C325:C824,"Category Missing",0)</f>
        <v>Sports</v>
      </c>
      <c r="I325" s="11">
        <f>_xlfn.XLOOKUP(Orders!C325,Products!A325:A824,Products!D325:D824,"Price Missing",0)</f>
        <v>401.33</v>
      </c>
      <c r="J325" s="19">
        <f t="shared" si="5"/>
        <v>4013.2999999999997</v>
      </c>
    </row>
    <row r="326" spans="1:10" x14ac:dyDescent="0.35">
      <c r="A326" s="4" t="s">
        <v>4346</v>
      </c>
      <c r="B326" s="7" t="s">
        <v>1406</v>
      </c>
      <c r="C326" s="7" t="s">
        <v>3082</v>
      </c>
      <c r="D326" s="5">
        <v>3</v>
      </c>
      <c r="E326" s="7" t="str">
        <f>_xlfn.XLOOKUP(B326,Customers!A326:A1325,Customers!B326:B1325,"Customer Not Found",0)</f>
        <v>Customer_466</v>
      </c>
      <c r="F326" s="7" t="str">
        <f>_xlfn.XLOOKUP(Orders!B326,Customers!A326:A1325,Customers!C326:C1325,"Country not Found",0)</f>
        <v>UK</v>
      </c>
      <c r="G326" s="7" t="str">
        <f>_xlfn.XLOOKUP(C326,Products!A326:A825,Products!B326:B825,"Product Missing",0)</f>
        <v>Product Missing</v>
      </c>
      <c r="H326" s="7" t="str">
        <f>_xlfn.XLOOKUP(C326,Products!A326:A825,Products!C326:C825,"Category Missing",0)</f>
        <v>Category Missing</v>
      </c>
      <c r="I326" s="11" t="str">
        <f>_xlfn.XLOOKUP(Orders!C326,Products!A326:A825,Products!D326:D825,"Price Missing",0)</f>
        <v>Price Missing</v>
      </c>
      <c r="J326" s="19">
        <f t="shared" si="5"/>
        <v>0</v>
      </c>
    </row>
    <row r="327" spans="1:10" x14ac:dyDescent="0.35">
      <c r="A327" s="4" t="s">
        <v>4347</v>
      </c>
      <c r="B327" s="7" t="s">
        <v>2726</v>
      </c>
      <c r="C327" s="7" t="s">
        <v>3446</v>
      </c>
      <c r="D327" s="5">
        <v>9</v>
      </c>
      <c r="E327" s="7" t="str">
        <f>_xlfn.XLOOKUP(B327,Customers!A327:A1326,Customers!B327:B1326,"Customer Not Found",0)</f>
        <v>Customer_906</v>
      </c>
      <c r="F327" s="7" t="str">
        <f>_xlfn.XLOOKUP(Orders!B327,Customers!A327:A1326,Customers!C327:C1326,"Country not Found",0)</f>
        <v>Canada</v>
      </c>
      <c r="G327" s="7" t="str">
        <f>_xlfn.XLOOKUP(C327,Products!A327:A826,Products!B327:B826,"Product Missing",0)</f>
        <v>Product Missing</v>
      </c>
      <c r="H327" s="7" t="str">
        <f>_xlfn.XLOOKUP(C327,Products!A327:A826,Products!C327:C826,"Category Missing",0)</f>
        <v>Category Missing</v>
      </c>
      <c r="I327" s="11" t="str">
        <f>_xlfn.XLOOKUP(Orders!C327,Products!A327:A826,Products!D327:D826,"Price Missing",0)</f>
        <v>Price Missing</v>
      </c>
      <c r="J327" s="19">
        <f t="shared" si="5"/>
        <v>0</v>
      </c>
    </row>
    <row r="328" spans="1:10" x14ac:dyDescent="0.35">
      <c r="A328" s="4" t="s">
        <v>4348</v>
      </c>
      <c r="B328" s="7" t="s">
        <v>2417</v>
      </c>
      <c r="C328" s="7" t="s">
        <v>4002</v>
      </c>
      <c r="D328" s="5">
        <v>4</v>
      </c>
      <c r="E328" s="7" t="str">
        <f>_xlfn.XLOOKUP(B328,Customers!A328:A1327,Customers!B328:B1327,"Customer Not Found",0)</f>
        <v>Customer_803</v>
      </c>
      <c r="F328" s="7" t="str">
        <f>_xlfn.XLOOKUP(Orders!B328,Customers!A328:A1327,Customers!C328:C1327,"Country not Found",0)</f>
        <v>Ghana</v>
      </c>
      <c r="G328" s="7" t="str">
        <f>_xlfn.XLOOKUP(C328,Products!A328:A827,Products!B328:B827,"Product Missing",0)</f>
        <v>Product_492</v>
      </c>
      <c r="H328" s="7" t="str">
        <f>_xlfn.XLOOKUP(C328,Products!A328:A827,Products!C328:C827,"Category Missing",0)</f>
        <v>Sports</v>
      </c>
      <c r="I328" s="11">
        <f>_xlfn.XLOOKUP(Orders!C328,Products!A328:A827,Products!D328:D827,"Price Missing",0)</f>
        <v>390.12</v>
      </c>
      <c r="J328" s="19">
        <f t="shared" si="5"/>
        <v>1560.48</v>
      </c>
    </row>
    <row r="329" spans="1:10" x14ac:dyDescent="0.35">
      <c r="A329" s="4" t="s">
        <v>4349</v>
      </c>
      <c r="B329" s="7" t="s">
        <v>2966</v>
      </c>
      <c r="C329" s="7" t="s">
        <v>3810</v>
      </c>
      <c r="D329" s="5">
        <v>9</v>
      </c>
      <c r="E329" s="7" t="str">
        <f>_xlfn.XLOOKUP(B329,Customers!A329:A1328,Customers!B329:B1328,"Customer Not Found",0)</f>
        <v>Customer_986</v>
      </c>
      <c r="F329" s="7" t="str">
        <f>_xlfn.XLOOKUP(Orders!B329,Customers!A329:A1328,Customers!C329:C1328,"Country not Found",0)</f>
        <v>Kenya</v>
      </c>
      <c r="G329" s="7" t="str">
        <f>_xlfn.XLOOKUP(C329,Products!A329:A828,Products!B329:B828,"Product Missing",0)</f>
        <v>Product_396</v>
      </c>
      <c r="H329" s="7" t="str">
        <f>_xlfn.XLOOKUP(C329,Products!A329:A828,Products!C329:C828,"Category Missing",0)</f>
        <v>Home</v>
      </c>
      <c r="I329" s="11">
        <f>_xlfn.XLOOKUP(Orders!C329,Products!A329:A828,Products!D329:D828,"Price Missing",0)</f>
        <v>379.82</v>
      </c>
      <c r="J329" s="19">
        <f t="shared" si="5"/>
        <v>3418.38</v>
      </c>
    </row>
    <row r="330" spans="1:10" x14ac:dyDescent="0.35">
      <c r="A330" s="4" t="s">
        <v>4350</v>
      </c>
      <c r="B330" s="7" t="s">
        <v>236</v>
      </c>
      <c r="C330" s="7" t="s">
        <v>3304</v>
      </c>
      <c r="D330" s="5">
        <v>8</v>
      </c>
      <c r="E330" s="7" t="str">
        <f>_xlfn.XLOOKUP(B330,Customers!A330:A1329,Customers!B330:B1329,"Customer Not Found",0)</f>
        <v>Customer Not Found</v>
      </c>
      <c r="F330" s="7" t="str">
        <f>_xlfn.XLOOKUP(Orders!B330,Customers!A330:A1329,Customers!C330:C1329,"Country not Found",0)</f>
        <v>Country not Found</v>
      </c>
      <c r="G330" s="7" t="str">
        <f>_xlfn.XLOOKUP(C330,Products!A330:A829,Products!B330:B829,"Product Missing",0)</f>
        <v>Product Missing</v>
      </c>
      <c r="H330" s="7" t="str">
        <f>_xlfn.XLOOKUP(C330,Products!A330:A829,Products!C330:C829,"Category Missing",0)</f>
        <v>Category Missing</v>
      </c>
      <c r="I330" s="11" t="str">
        <f>_xlfn.XLOOKUP(Orders!C330,Products!A330:A829,Products!D330:D829,"Price Missing",0)</f>
        <v>Price Missing</v>
      </c>
      <c r="J330" s="19">
        <f t="shared" si="5"/>
        <v>0</v>
      </c>
    </row>
    <row r="331" spans="1:10" x14ac:dyDescent="0.35">
      <c r="A331" s="4" t="s">
        <v>4351</v>
      </c>
      <c r="B331" s="7" t="s">
        <v>1889</v>
      </c>
      <c r="C331" s="7" t="s">
        <v>3642</v>
      </c>
      <c r="D331" s="5">
        <v>9</v>
      </c>
      <c r="E331" s="7" t="str">
        <f>_xlfn.XLOOKUP(B331,Customers!A331:A1330,Customers!B331:B1330,"Customer Not Found",0)</f>
        <v>Customer_627</v>
      </c>
      <c r="F331" s="7" t="str">
        <f>_xlfn.XLOOKUP(Orders!B331,Customers!A331:A1330,Customers!C331:C1330,"Country not Found",0)</f>
        <v>UK</v>
      </c>
      <c r="G331" s="7" t="str">
        <f>_xlfn.XLOOKUP(C331,Products!A331:A830,Products!B331:B830,"Product Missing",0)</f>
        <v>Product Missing</v>
      </c>
      <c r="H331" s="7" t="str">
        <f>_xlfn.XLOOKUP(C331,Products!A331:A830,Products!C331:C830,"Category Missing",0)</f>
        <v>Category Missing</v>
      </c>
      <c r="I331" s="11" t="str">
        <f>_xlfn.XLOOKUP(Orders!C331,Products!A331:A830,Products!D331:D830,"Price Missing",0)</f>
        <v>Price Missing</v>
      </c>
      <c r="J331" s="19">
        <f t="shared" si="5"/>
        <v>0</v>
      </c>
    </row>
    <row r="332" spans="1:10" x14ac:dyDescent="0.35">
      <c r="A332" s="4" t="s">
        <v>4352</v>
      </c>
      <c r="B332" s="7" t="s">
        <v>227</v>
      </c>
      <c r="C332" s="7" t="s">
        <v>3045</v>
      </c>
      <c r="D332" s="5">
        <v>8</v>
      </c>
      <c r="E332" s="7" t="str">
        <f>_xlfn.XLOOKUP(B332,Customers!A332:A1331,Customers!B332:B1331,"Customer Not Found",0)</f>
        <v>Customer Not Found</v>
      </c>
      <c r="F332" s="7" t="str">
        <f>_xlfn.XLOOKUP(Orders!B332,Customers!A332:A1331,Customers!C332:C1331,"Country not Found",0)</f>
        <v>Country not Found</v>
      </c>
      <c r="G332" s="7" t="str">
        <f>_xlfn.XLOOKUP(C332,Products!A332:A831,Products!B332:B831,"Product Missing",0)</f>
        <v>Product Missing</v>
      </c>
      <c r="H332" s="7" t="str">
        <f>_xlfn.XLOOKUP(C332,Products!A332:A831,Products!C332:C831,"Category Missing",0)</f>
        <v>Category Missing</v>
      </c>
      <c r="I332" s="11" t="str">
        <f>_xlfn.XLOOKUP(Orders!C332,Products!A332:A831,Products!D332:D831,"Price Missing",0)</f>
        <v>Price Missing</v>
      </c>
      <c r="J332" s="19">
        <f t="shared" si="5"/>
        <v>0</v>
      </c>
    </row>
    <row r="333" spans="1:10" x14ac:dyDescent="0.35">
      <c r="A333" s="4" t="s">
        <v>4353</v>
      </c>
      <c r="B333" s="7" t="s">
        <v>1442</v>
      </c>
      <c r="C333" s="7" t="s">
        <v>3254</v>
      </c>
      <c r="D333" s="5">
        <v>5</v>
      </c>
      <c r="E333" s="7" t="str">
        <f>_xlfn.XLOOKUP(B333,Customers!A333:A1332,Customers!B333:B1332,"Customer Not Found",0)</f>
        <v>Customer_478</v>
      </c>
      <c r="F333" s="7" t="str">
        <f>_xlfn.XLOOKUP(Orders!B333,Customers!A333:A1332,Customers!C333:C1332,"Country not Found",0)</f>
        <v>Ghana</v>
      </c>
      <c r="G333" s="7" t="str">
        <f>_xlfn.XLOOKUP(C333,Products!A333:A832,Products!B333:B832,"Product Missing",0)</f>
        <v>Product Missing</v>
      </c>
      <c r="H333" s="7" t="str">
        <f>_xlfn.XLOOKUP(C333,Products!A333:A832,Products!C333:C832,"Category Missing",0)</f>
        <v>Category Missing</v>
      </c>
      <c r="I333" s="11" t="str">
        <f>_xlfn.XLOOKUP(Orders!C333,Products!A333:A832,Products!D333:D832,"Price Missing",0)</f>
        <v>Price Missing</v>
      </c>
      <c r="J333" s="19">
        <f t="shared" si="5"/>
        <v>0</v>
      </c>
    </row>
    <row r="334" spans="1:10" x14ac:dyDescent="0.35">
      <c r="A334" s="4" t="s">
        <v>4354</v>
      </c>
      <c r="B334" s="7" t="s">
        <v>1070</v>
      </c>
      <c r="C334" s="7" t="s">
        <v>3070</v>
      </c>
      <c r="D334" s="5">
        <v>8</v>
      </c>
      <c r="E334" s="7" t="str">
        <f>_xlfn.XLOOKUP(B334,Customers!A334:A1333,Customers!B334:B1333,"Customer Not Found",0)</f>
        <v>Customer_354</v>
      </c>
      <c r="F334" s="7" t="str">
        <f>_xlfn.XLOOKUP(Orders!B334,Customers!A334:A1333,Customers!C334:C1333,"Country not Found",0)</f>
        <v>Nigeria</v>
      </c>
      <c r="G334" s="7" t="str">
        <f>_xlfn.XLOOKUP(C334,Products!A334:A833,Products!B334:B833,"Product Missing",0)</f>
        <v>Product Missing</v>
      </c>
      <c r="H334" s="7" t="str">
        <f>_xlfn.XLOOKUP(C334,Products!A334:A833,Products!C334:C833,"Category Missing",0)</f>
        <v>Category Missing</v>
      </c>
      <c r="I334" s="11" t="str">
        <f>_xlfn.XLOOKUP(Orders!C334,Products!A334:A833,Products!D334:D833,"Price Missing",0)</f>
        <v>Price Missing</v>
      </c>
      <c r="J334" s="19">
        <f t="shared" si="5"/>
        <v>0</v>
      </c>
    </row>
    <row r="335" spans="1:10" x14ac:dyDescent="0.35">
      <c r="A335" s="4" t="s">
        <v>4355</v>
      </c>
      <c r="B335" s="7" t="s">
        <v>2630</v>
      </c>
      <c r="C335" s="7" t="s">
        <v>3186</v>
      </c>
      <c r="D335" s="5">
        <v>6</v>
      </c>
      <c r="E335" s="7" t="str">
        <f>_xlfn.XLOOKUP(B335,Customers!A335:A1334,Customers!B335:B1334,"Customer Not Found",0)</f>
        <v>Customer_874</v>
      </c>
      <c r="F335" s="7" t="str">
        <f>_xlfn.XLOOKUP(Orders!B335,Customers!A335:A1334,Customers!C335:C1334,"Country not Found",0)</f>
        <v>UK</v>
      </c>
      <c r="G335" s="7" t="str">
        <f>_xlfn.XLOOKUP(C335,Products!A335:A834,Products!B335:B834,"Product Missing",0)</f>
        <v>Product Missing</v>
      </c>
      <c r="H335" s="7" t="str">
        <f>_xlfn.XLOOKUP(C335,Products!A335:A834,Products!C335:C834,"Category Missing",0)</f>
        <v>Category Missing</v>
      </c>
      <c r="I335" s="11" t="str">
        <f>_xlfn.XLOOKUP(Orders!C335,Products!A335:A834,Products!D335:D834,"Price Missing",0)</f>
        <v>Price Missing</v>
      </c>
      <c r="J335" s="19">
        <f t="shared" si="5"/>
        <v>0</v>
      </c>
    </row>
    <row r="336" spans="1:10" x14ac:dyDescent="0.35">
      <c r="A336" s="4" t="s">
        <v>4356</v>
      </c>
      <c r="B336" s="7" t="s">
        <v>2666</v>
      </c>
      <c r="C336" s="7" t="s">
        <v>3092</v>
      </c>
      <c r="D336" s="5">
        <v>9</v>
      </c>
      <c r="E336" s="7" t="str">
        <f>_xlfn.XLOOKUP(B336,Customers!A336:A1335,Customers!B336:B1335,"Customer Not Found",0)</f>
        <v>Customer_886</v>
      </c>
      <c r="F336" s="7" t="str">
        <f>_xlfn.XLOOKUP(Orders!B336,Customers!A336:A1335,Customers!C336:C1335,"Country not Found",0)</f>
        <v>USA</v>
      </c>
      <c r="G336" s="7" t="str">
        <f>_xlfn.XLOOKUP(C336,Products!A336:A835,Products!B336:B835,"Product Missing",0)</f>
        <v>Product Missing</v>
      </c>
      <c r="H336" s="7" t="str">
        <f>_xlfn.XLOOKUP(C336,Products!A336:A835,Products!C336:C835,"Category Missing",0)</f>
        <v>Category Missing</v>
      </c>
      <c r="I336" s="11" t="str">
        <f>_xlfn.XLOOKUP(Orders!C336,Products!A336:A835,Products!D336:D835,"Price Missing",0)</f>
        <v>Price Missing</v>
      </c>
      <c r="J336" s="19">
        <f t="shared" si="5"/>
        <v>0</v>
      </c>
    </row>
    <row r="337" spans="1:10" x14ac:dyDescent="0.35">
      <c r="A337" s="4" t="s">
        <v>4357</v>
      </c>
      <c r="B337" s="7" t="s">
        <v>110</v>
      </c>
      <c r="C337" s="7" t="s">
        <v>4008</v>
      </c>
      <c r="D337" s="5">
        <v>9</v>
      </c>
      <c r="E337" s="7" t="str">
        <f>_xlfn.XLOOKUP(B337,Customers!A337:A1336,Customers!B337:B1336,"Customer Not Found",0)</f>
        <v>Customer Not Found</v>
      </c>
      <c r="F337" s="7" t="str">
        <f>_xlfn.XLOOKUP(Orders!B337,Customers!A337:A1336,Customers!C337:C1336,"Country not Found",0)</f>
        <v>Country not Found</v>
      </c>
      <c r="G337" s="7" t="str">
        <f>_xlfn.XLOOKUP(C337,Products!A337:A836,Products!B337:B836,"Product Missing",0)</f>
        <v>Product_495</v>
      </c>
      <c r="H337" s="7" t="str">
        <f>_xlfn.XLOOKUP(C337,Products!A337:A836,Products!C337:C836,"Category Missing",0)</f>
        <v>Clothing</v>
      </c>
      <c r="I337" s="11">
        <f>_xlfn.XLOOKUP(Orders!C337,Products!A337:A836,Products!D337:D836,"Price Missing",0)</f>
        <v>413.82</v>
      </c>
      <c r="J337" s="19">
        <f t="shared" si="5"/>
        <v>3724.38</v>
      </c>
    </row>
    <row r="338" spans="1:10" x14ac:dyDescent="0.35">
      <c r="A338" s="4" t="s">
        <v>4358</v>
      </c>
      <c r="B338" s="7" t="s">
        <v>1532</v>
      </c>
      <c r="C338" s="7" t="s">
        <v>3916</v>
      </c>
      <c r="D338" s="5">
        <v>9</v>
      </c>
      <c r="E338" s="7" t="str">
        <f>_xlfn.XLOOKUP(B338,Customers!A338:A1337,Customers!B338:B1337,"Customer Not Found",0)</f>
        <v>Customer_508</v>
      </c>
      <c r="F338" s="7" t="str">
        <f>_xlfn.XLOOKUP(Orders!B338,Customers!A338:A1337,Customers!C338:C1337,"Country not Found",0)</f>
        <v>UK</v>
      </c>
      <c r="G338" s="7" t="str">
        <f>_xlfn.XLOOKUP(C338,Products!A338:A837,Products!B338:B837,"Product Missing",0)</f>
        <v>Product_449</v>
      </c>
      <c r="H338" s="7" t="str">
        <f>_xlfn.XLOOKUP(C338,Products!A338:A837,Products!C338:C837,"Category Missing",0)</f>
        <v>Food</v>
      </c>
      <c r="I338" s="11">
        <f>_xlfn.XLOOKUP(Orders!C338,Products!A338:A837,Products!D338:D837,"Price Missing",0)</f>
        <v>53.69</v>
      </c>
      <c r="J338" s="19">
        <f t="shared" si="5"/>
        <v>483.21</v>
      </c>
    </row>
    <row r="339" spans="1:10" x14ac:dyDescent="0.35">
      <c r="A339" s="4" t="s">
        <v>4359</v>
      </c>
      <c r="B339" s="7" t="s">
        <v>1907</v>
      </c>
      <c r="C339" s="7" t="s">
        <v>3034</v>
      </c>
      <c r="D339" s="5">
        <v>5</v>
      </c>
      <c r="E339" s="7" t="str">
        <f>_xlfn.XLOOKUP(B339,Customers!A339:A1338,Customers!B339:B1338,"Customer Not Found",0)</f>
        <v>Customer_633</v>
      </c>
      <c r="F339" s="7" t="str">
        <f>_xlfn.XLOOKUP(Orders!B339,Customers!A339:A1338,Customers!C339:C1338,"Country not Found",0)</f>
        <v>Ghana</v>
      </c>
      <c r="G339" s="7" t="str">
        <f>_xlfn.XLOOKUP(C339,Products!A339:A838,Products!B339:B838,"Product Missing",0)</f>
        <v>Product Missing</v>
      </c>
      <c r="H339" s="7" t="str">
        <f>_xlfn.XLOOKUP(C339,Products!A339:A838,Products!C339:C838,"Category Missing",0)</f>
        <v>Category Missing</v>
      </c>
      <c r="I339" s="11" t="str">
        <f>_xlfn.XLOOKUP(Orders!C339,Products!A339:A838,Products!D339:D838,"Price Missing",0)</f>
        <v>Price Missing</v>
      </c>
      <c r="J339" s="19">
        <f t="shared" si="5"/>
        <v>0</v>
      </c>
    </row>
    <row r="340" spans="1:10" x14ac:dyDescent="0.35">
      <c r="A340" s="4" t="s">
        <v>4360</v>
      </c>
      <c r="B340" s="7" t="s">
        <v>713</v>
      </c>
      <c r="C340" s="7" t="s">
        <v>3212</v>
      </c>
      <c r="D340" s="5">
        <v>9</v>
      </c>
      <c r="E340" s="7" t="str">
        <f>_xlfn.XLOOKUP(B340,Customers!A340:A1339,Customers!B340:B1339,"Customer Not Found",0)</f>
        <v>Customer Not Found</v>
      </c>
      <c r="F340" s="7" t="str">
        <f>_xlfn.XLOOKUP(Orders!B340,Customers!A340:A1339,Customers!C340:C1339,"Country not Found",0)</f>
        <v>Country not Found</v>
      </c>
      <c r="G340" s="7" t="str">
        <f>_xlfn.XLOOKUP(C340,Products!A340:A839,Products!B340:B839,"Product Missing",0)</f>
        <v>Product Missing</v>
      </c>
      <c r="H340" s="7" t="str">
        <f>_xlfn.XLOOKUP(C340,Products!A340:A839,Products!C340:C839,"Category Missing",0)</f>
        <v>Category Missing</v>
      </c>
      <c r="I340" s="11" t="str">
        <f>_xlfn.XLOOKUP(Orders!C340,Products!A340:A839,Products!D340:D839,"Price Missing",0)</f>
        <v>Price Missing</v>
      </c>
      <c r="J340" s="19">
        <f t="shared" si="5"/>
        <v>0</v>
      </c>
    </row>
    <row r="341" spans="1:10" x14ac:dyDescent="0.35">
      <c r="A341" s="4" t="s">
        <v>4361</v>
      </c>
      <c r="B341" s="7" t="s">
        <v>233</v>
      </c>
      <c r="C341" s="7" t="s">
        <v>3078</v>
      </c>
      <c r="D341" s="5">
        <v>2</v>
      </c>
      <c r="E341" s="7" t="str">
        <f>_xlfn.XLOOKUP(B341,Customers!A341:A1340,Customers!B341:B1340,"Customer Not Found",0)</f>
        <v>Customer Not Found</v>
      </c>
      <c r="F341" s="7" t="str">
        <f>_xlfn.XLOOKUP(Orders!B341,Customers!A341:A1340,Customers!C341:C1340,"Country not Found",0)</f>
        <v>Country not Found</v>
      </c>
      <c r="G341" s="7" t="str">
        <f>_xlfn.XLOOKUP(C341,Products!A341:A840,Products!B341:B840,"Product Missing",0)</f>
        <v>Product Missing</v>
      </c>
      <c r="H341" s="7" t="str">
        <f>_xlfn.XLOOKUP(C341,Products!A341:A840,Products!C341:C840,"Category Missing",0)</f>
        <v>Category Missing</v>
      </c>
      <c r="I341" s="11" t="str">
        <f>_xlfn.XLOOKUP(Orders!C341,Products!A341:A840,Products!D341:D840,"Price Missing",0)</f>
        <v>Price Missing</v>
      </c>
      <c r="J341" s="19">
        <f t="shared" si="5"/>
        <v>0</v>
      </c>
    </row>
    <row r="342" spans="1:10" x14ac:dyDescent="0.35">
      <c r="A342" s="4" t="s">
        <v>4362</v>
      </c>
      <c r="B342" s="7" t="s">
        <v>2048</v>
      </c>
      <c r="C342" s="7" t="s">
        <v>3592</v>
      </c>
      <c r="D342" s="5">
        <v>5</v>
      </c>
      <c r="E342" s="7" t="str">
        <f>_xlfn.XLOOKUP(B342,Customers!A342:A1341,Customers!B342:B1341,"Customer Not Found",0)</f>
        <v>Customer_680</v>
      </c>
      <c r="F342" s="7" t="str">
        <f>_xlfn.XLOOKUP(Orders!B342,Customers!A342:A1341,Customers!C342:C1341,"Country not Found",0)</f>
        <v>South Africa</v>
      </c>
      <c r="G342" s="7" t="str">
        <f>_xlfn.XLOOKUP(C342,Products!A342:A841,Products!B342:B841,"Product Missing",0)</f>
        <v>Product Missing</v>
      </c>
      <c r="H342" s="7" t="str">
        <f>_xlfn.XLOOKUP(C342,Products!A342:A841,Products!C342:C841,"Category Missing",0)</f>
        <v>Category Missing</v>
      </c>
      <c r="I342" s="11" t="str">
        <f>_xlfn.XLOOKUP(Orders!C342,Products!A342:A841,Products!D342:D841,"Price Missing",0)</f>
        <v>Price Missing</v>
      </c>
      <c r="J342" s="19">
        <f t="shared" si="5"/>
        <v>0</v>
      </c>
    </row>
    <row r="343" spans="1:10" x14ac:dyDescent="0.35">
      <c r="A343" s="4" t="s">
        <v>4363</v>
      </c>
      <c r="B343" s="7" t="s">
        <v>1763</v>
      </c>
      <c r="C343" s="7" t="s">
        <v>3218</v>
      </c>
      <c r="D343" s="5">
        <v>2</v>
      </c>
      <c r="E343" s="7" t="str">
        <f>_xlfn.XLOOKUP(B343,Customers!A343:A1342,Customers!B343:B1342,"Customer Not Found",0)</f>
        <v>Customer_585</v>
      </c>
      <c r="F343" s="7" t="str">
        <f>_xlfn.XLOOKUP(Orders!B343,Customers!A343:A1342,Customers!C343:C1342,"Country not Found",0)</f>
        <v>Ghana</v>
      </c>
      <c r="G343" s="7" t="str">
        <f>_xlfn.XLOOKUP(C343,Products!A343:A842,Products!B343:B842,"Product Missing",0)</f>
        <v>Product Missing</v>
      </c>
      <c r="H343" s="7" t="str">
        <f>_xlfn.XLOOKUP(C343,Products!A343:A842,Products!C343:C842,"Category Missing",0)</f>
        <v>Category Missing</v>
      </c>
      <c r="I343" s="11" t="str">
        <f>_xlfn.XLOOKUP(Orders!C343,Products!A343:A842,Products!D343:D842,"Price Missing",0)</f>
        <v>Price Missing</v>
      </c>
      <c r="J343" s="19">
        <f t="shared" si="5"/>
        <v>0</v>
      </c>
    </row>
    <row r="344" spans="1:10" x14ac:dyDescent="0.35">
      <c r="A344" s="4" t="s">
        <v>4364</v>
      </c>
      <c r="B344" s="7" t="s">
        <v>815</v>
      </c>
      <c r="C344" s="7" t="s">
        <v>3916</v>
      </c>
      <c r="D344" s="5">
        <v>3</v>
      </c>
      <c r="E344" s="7" t="str">
        <f>_xlfn.XLOOKUP(B344,Customers!A344:A1343,Customers!B344:B1343,"Customer Not Found",0)</f>
        <v>Customer Not Found</v>
      </c>
      <c r="F344" s="7" t="str">
        <f>_xlfn.XLOOKUP(Orders!B344,Customers!A344:A1343,Customers!C344:C1343,"Country not Found",0)</f>
        <v>Country not Found</v>
      </c>
      <c r="G344" s="7" t="str">
        <f>_xlfn.XLOOKUP(C344,Products!A344:A843,Products!B344:B843,"Product Missing",0)</f>
        <v>Product_449</v>
      </c>
      <c r="H344" s="7" t="str">
        <f>_xlfn.XLOOKUP(C344,Products!A344:A843,Products!C344:C843,"Category Missing",0)</f>
        <v>Food</v>
      </c>
      <c r="I344" s="11">
        <f>_xlfn.XLOOKUP(Orders!C344,Products!A344:A843,Products!D344:D843,"Price Missing",0)</f>
        <v>53.69</v>
      </c>
      <c r="J344" s="19">
        <f t="shared" si="5"/>
        <v>161.07</v>
      </c>
    </row>
    <row r="345" spans="1:10" x14ac:dyDescent="0.35">
      <c r="A345" s="4" t="s">
        <v>4365</v>
      </c>
      <c r="B345" s="7" t="s">
        <v>386</v>
      </c>
      <c r="C345" s="7" t="s">
        <v>3128</v>
      </c>
      <c r="D345" s="5">
        <v>6</v>
      </c>
      <c r="E345" s="7" t="str">
        <f>_xlfn.XLOOKUP(B345,Customers!A345:A1344,Customers!B345:B1344,"Customer Not Found",0)</f>
        <v>Customer Not Found</v>
      </c>
      <c r="F345" s="7" t="str">
        <f>_xlfn.XLOOKUP(Orders!B345,Customers!A345:A1344,Customers!C345:C1344,"Country not Found",0)</f>
        <v>Country not Found</v>
      </c>
      <c r="G345" s="7" t="str">
        <f>_xlfn.XLOOKUP(C345,Products!A345:A844,Products!B345:B844,"Product Missing",0)</f>
        <v>Product Missing</v>
      </c>
      <c r="H345" s="7" t="str">
        <f>_xlfn.XLOOKUP(C345,Products!A345:A844,Products!C345:C844,"Category Missing",0)</f>
        <v>Category Missing</v>
      </c>
      <c r="I345" s="11" t="str">
        <f>_xlfn.XLOOKUP(Orders!C345,Products!A345:A844,Products!D345:D844,"Price Missing",0)</f>
        <v>Price Missing</v>
      </c>
      <c r="J345" s="19">
        <f t="shared" si="5"/>
        <v>0</v>
      </c>
    </row>
    <row r="346" spans="1:10" x14ac:dyDescent="0.35">
      <c r="A346" s="4" t="s">
        <v>4366</v>
      </c>
      <c r="B346" s="7" t="s">
        <v>569</v>
      </c>
      <c r="C346" s="7" t="s">
        <v>3576</v>
      </c>
      <c r="D346" s="5">
        <v>5</v>
      </c>
      <c r="E346" s="7" t="str">
        <f>_xlfn.XLOOKUP(B346,Customers!A346:A1345,Customers!B346:B1345,"Customer Not Found",0)</f>
        <v>Customer Not Found</v>
      </c>
      <c r="F346" s="7" t="str">
        <f>_xlfn.XLOOKUP(Orders!B346,Customers!A346:A1345,Customers!C346:C1345,"Country not Found",0)</f>
        <v>Country not Found</v>
      </c>
      <c r="G346" s="7" t="str">
        <f>_xlfn.XLOOKUP(C346,Products!A346:A845,Products!B346:B845,"Product Missing",0)</f>
        <v>Product Missing</v>
      </c>
      <c r="H346" s="7" t="str">
        <f>_xlfn.XLOOKUP(C346,Products!A346:A845,Products!C346:C845,"Category Missing",0)</f>
        <v>Category Missing</v>
      </c>
      <c r="I346" s="11" t="str">
        <f>_xlfn.XLOOKUP(Orders!C346,Products!A346:A845,Products!D346:D845,"Price Missing",0)</f>
        <v>Price Missing</v>
      </c>
      <c r="J346" s="19">
        <f t="shared" si="5"/>
        <v>0</v>
      </c>
    </row>
    <row r="347" spans="1:10" x14ac:dyDescent="0.35">
      <c r="A347" s="4" t="s">
        <v>4367</v>
      </c>
      <c r="B347" s="7" t="s">
        <v>2867</v>
      </c>
      <c r="C347" s="7" t="s">
        <v>3856</v>
      </c>
      <c r="D347" s="5">
        <v>9</v>
      </c>
      <c r="E347" s="7" t="str">
        <f>_xlfn.XLOOKUP(B347,Customers!A347:A1346,Customers!B347:B1346,"Customer Not Found",0)</f>
        <v>Customer_953</v>
      </c>
      <c r="F347" s="7" t="str">
        <f>_xlfn.XLOOKUP(Orders!B347,Customers!A347:A1346,Customers!C347:C1346,"Country not Found",0)</f>
        <v>Kenya</v>
      </c>
      <c r="G347" s="7" t="str">
        <f>_xlfn.XLOOKUP(C347,Products!A347:A846,Products!B347:B846,"Product Missing",0)</f>
        <v>Product_419</v>
      </c>
      <c r="H347" s="7" t="str">
        <f>_xlfn.XLOOKUP(C347,Products!A347:A846,Products!C347:C846,"Category Missing",0)</f>
        <v>Electronics</v>
      </c>
      <c r="I347" s="11">
        <f>_xlfn.XLOOKUP(Orders!C347,Products!A347:A846,Products!D347:D846,"Price Missing",0)</f>
        <v>34.869999999999997</v>
      </c>
      <c r="J347" s="19">
        <f t="shared" si="5"/>
        <v>313.83</v>
      </c>
    </row>
    <row r="348" spans="1:10" x14ac:dyDescent="0.35">
      <c r="A348" s="4" t="s">
        <v>4368</v>
      </c>
      <c r="B348" s="7" t="s">
        <v>1199</v>
      </c>
      <c r="C348" s="7" t="s">
        <v>3650</v>
      </c>
      <c r="D348" s="5">
        <v>1</v>
      </c>
      <c r="E348" s="7" t="str">
        <f>_xlfn.XLOOKUP(B348,Customers!A348:A1347,Customers!B348:B1347,"Customer Not Found",0)</f>
        <v>Customer_397</v>
      </c>
      <c r="F348" s="7" t="str">
        <f>_xlfn.XLOOKUP(Orders!B348,Customers!A348:A1347,Customers!C348:C1347,"Country not Found",0)</f>
        <v>USA</v>
      </c>
      <c r="G348" s="7" t="str">
        <f>_xlfn.XLOOKUP(C348,Products!A348:A847,Products!B348:B847,"Product Missing",0)</f>
        <v>Product Missing</v>
      </c>
      <c r="H348" s="7" t="str">
        <f>_xlfn.XLOOKUP(C348,Products!A348:A847,Products!C348:C847,"Category Missing",0)</f>
        <v>Category Missing</v>
      </c>
      <c r="I348" s="11" t="str">
        <f>_xlfn.XLOOKUP(Orders!C348,Products!A348:A847,Products!D348:D847,"Price Missing",0)</f>
        <v>Price Missing</v>
      </c>
      <c r="J348" s="19">
        <f t="shared" si="5"/>
        <v>0</v>
      </c>
    </row>
    <row r="349" spans="1:10" x14ac:dyDescent="0.35">
      <c r="A349" s="4" t="s">
        <v>4369</v>
      </c>
      <c r="B349" s="7" t="s">
        <v>2120</v>
      </c>
      <c r="C349" s="7" t="s">
        <v>3936</v>
      </c>
      <c r="D349" s="5">
        <v>7</v>
      </c>
      <c r="E349" s="7" t="str">
        <f>_xlfn.XLOOKUP(B349,Customers!A349:A1348,Customers!B349:B1348,"Customer Not Found",0)</f>
        <v>Customer_704</v>
      </c>
      <c r="F349" s="7" t="str">
        <f>_xlfn.XLOOKUP(Orders!B349,Customers!A349:A1348,Customers!C349:C1348,"Country not Found",0)</f>
        <v>Kenya</v>
      </c>
      <c r="G349" s="7" t="str">
        <f>_xlfn.XLOOKUP(C349,Products!A349:A848,Products!B349:B848,"Product Missing",0)</f>
        <v>Product_459</v>
      </c>
      <c r="H349" s="7" t="str">
        <f>_xlfn.XLOOKUP(C349,Products!A349:A848,Products!C349:C848,"Category Missing",0)</f>
        <v>Sports</v>
      </c>
      <c r="I349" s="11">
        <f>_xlfn.XLOOKUP(Orders!C349,Products!A349:A848,Products!D349:D848,"Price Missing",0)</f>
        <v>496.34</v>
      </c>
      <c r="J349" s="19">
        <f t="shared" si="5"/>
        <v>3474.3799999999997</v>
      </c>
    </row>
    <row r="350" spans="1:10" x14ac:dyDescent="0.35">
      <c r="A350" s="4" t="s">
        <v>4370</v>
      </c>
      <c r="B350" s="7" t="s">
        <v>1559</v>
      </c>
      <c r="C350" s="7" t="s">
        <v>3446</v>
      </c>
      <c r="D350" s="5">
        <v>8</v>
      </c>
      <c r="E350" s="7" t="str">
        <f>_xlfn.XLOOKUP(B350,Customers!A350:A1349,Customers!B350:B1349,"Customer Not Found",0)</f>
        <v>Customer_517</v>
      </c>
      <c r="F350" s="7" t="str">
        <f>_xlfn.XLOOKUP(Orders!B350,Customers!A350:A1349,Customers!C350:C1349,"Country not Found",0)</f>
        <v>USA</v>
      </c>
      <c r="G350" s="7" t="str">
        <f>_xlfn.XLOOKUP(C350,Products!A350:A849,Products!B350:B849,"Product Missing",0)</f>
        <v>Product Missing</v>
      </c>
      <c r="H350" s="7" t="str">
        <f>_xlfn.XLOOKUP(C350,Products!A350:A849,Products!C350:C849,"Category Missing",0)</f>
        <v>Category Missing</v>
      </c>
      <c r="I350" s="11" t="str">
        <f>_xlfn.XLOOKUP(Orders!C350,Products!A350:A849,Products!D350:D849,"Price Missing",0)</f>
        <v>Price Missing</v>
      </c>
      <c r="J350" s="19">
        <f t="shared" si="5"/>
        <v>0</v>
      </c>
    </row>
    <row r="351" spans="1:10" x14ac:dyDescent="0.35">
      <c r="A351" s="4" t="s">
        <v>4371</v>
      </c>
      <c r="B351" s="7" t="s">
        <v>2015</v>
      </c>
      <c r="C351" s="7" t="s">
        <v>3226</v>
      </c>
      <c r="D351" s="5">
        <v>5</v>
      </c>
      <c r="E351" s="7" t="str">
        <f>_xlfn.XLOOKUP(B351,Customers!A351:A1350,Customers!B351:B1350,"Customer Not Found",0)</f>
        <v>Customer_669</v>
      </c>
      <c r="F351" s="7" t="str">
        <f>_xlfn.XLOOKUP(Orders!B351,Customers!A351:A1350,Customers!C351:C1350,"Country not Found",0)</f>
        <v>Canada</v>
      </c>
      <c r="G351" s="7" t="str">
        <f>_xlfn.XLOOKUP(C351,Products!A351:A850,Products!B351:B850,"Product Missing",0)</f>
        <v>Product Missing</v>
      </c>
      <c r="H351" s="7" t="str">
        <f>_xlfn.XLOOKUP(C351,Products!A351:A850,Products!C351:C850,"Category Missing",0)</f>
        <v>Category Missing</v>
      </c>
      <c r="I351" s="11" t="str">
        <f>_xlfn.XLOOKUP(Orders!C351,Products!A351:A850,Products!D351:D850,"Price Missing",0)</f>
        <v>Price Missing</v>
      </c>
      <c r="J351" s="19">
        <f t="shared" si="5"/>
        <v>0</v>
      </c>
    </row>
    <row r="352" spans="1:10" x14ac:dyDescent="0.35">
      <c r="A352" s="4" t="s">
        <v>4372</v>
      </c>
      <c r="B352" s="7" t="s">
        <v>1802</v>
      </c>
      <c r="C352" s="7" t="s">
        <v>3522</v>
      </c>
      <c r="D352" s="5">
        <v>4</v>
      </c>
      <c r="E352" s="7" t="str">
        <f>_xlfn.XLOOKUP(B352,Customers!A352:A1351,Customers!B352:B1351,"Customer Not Found",0)</f>
        <v>Customer_598</v>
      </c>
      <c r="F352" s="7" t="str">
        <f>_xlfn.XLOOKUP(Orders!B352,Customers!A352:A1351,Customers!C352:C1351,"Country not Found",0)</f>
        <v>Ghana</v>
      </c>
      <c r="G352" s="7" t="str">
        <f>_xlfn.XLOOKUP(C352,Products!A352:A851,Products!B352:B851,"Product Missing",0)</f>
        <v>Product Missing</v>
      </c>
      <c r="H352" s="7" t="str">
        <f>_xlfn.XLOOKUP(C352,Products!A352:A851,Products!C352:C851,"Category Missing",0)</f>
        <v>Category Missing</v>
      </c>
      <c r="I352" s="11" t="str">
        <f>_xlfn.XLOOKUP(Orders!C352,Products!A352:A851,Products!D352:D851,"Price Missing",0)</f>
        <v>Price Missing</v>
      </c>
      <c r="J352" s="19">
        <f t="shared" si="5"/>
        <v>0</v>
      </c>
    </row>
    <row r="353" spans="1:10" x14ac:dyDescent="0.35">
      <c r="A353" s="4" t="s">
        <v>4373</v>
      </c>
      <c r="B353" s="7" t="s">
        <v>1778</v>
      </c>
      <c r="C353" s="7" t="s">
        <v>3466</v>
      </c>
      <c r="D353" s="5">
        <v>10</v>
      </c>
      <c r="E353" s="7" t="str">
        <f>_xlfn.XLOOKUP(B353,Customers!A353:A1352,Customers!B353:B1352,"Customer Not Found",0)</f>
        <v>Customer_590</v>
      </c>
      <c r="F353" s="7" t="str">
        <f>_xlfn.XLOOKUP(Orders!B353,Customers!A353:A1352,Customers!C353:C1352,"Country not Found",0)</f>
        <v>USA</v>
      </c>
      <c r="G353" s="7" t="str">
        <f>_xlfn.XLOOKUP(C353,Products!A353:A852,Products!B353:B852,"Product Missing",0)</f>
        <v>Product Missing</v>
      </c>
      <c r="H353" s="7" t="str">
        <f>_xlfn.XLOOKUP(C353,Products!A353:A852,Products!C353:C852,"Category Missing",0)</f>
        <v>Category Missing</v>
      </c>
      <c r="I353" s="11" t="str">
        <f>_xlfn.XLOOKUP(Orders!C353,Products!A353:A852,Products!D353:D852,"Price Missing",0)</f>
        <v>Price Missing</v>
      </c>
      <c r="J353" s="19">
        <f t="shared" si="5"/>
        <v>0</v>
      </c>
    </row>
    <row r="354" spans="1:10" x14ac:dyDescent="0.35">
      <c r="A354" s="4" t="s">
        <v>4374</v>
      </c>
      <c r="B354" s="7" t="s">
        <v>944</v>
      </c>
      <c r="C354" s="7" t="s">
        <v>3756</v>
      </c>
      <c r="D354" s="5">
        <v>3</v>
      </c>
      <c r="E354" s="7" t="str">
        <f>_xlfn.XLOOKUP(B354,Customers!A354:A1353,Customers!B354:B1353,"Customer Not Found",0)</f>
        <v>Customer Not Found</v>
      </c>
      <c r="F354" s="7" t="str">
        <f>_xlfn.XLOOKUP(Orders!B354,Customers!A354:A1353,Customers!C354:C1353,"Country not Found",0)</f>
        <v>Country not Found</v>
      </c>
      <c r="G354" s="7" t="str">
        <f>_xlfn.XLOOKUP(C354,Products!A354:A853,Products!B354:B853,"Product Missing",0)</f>
        <v>Product_369</v>
      </c>
      <c r="H354" s="7" t="str">
        <f>_xlfn.XLOOKUP(C354,Products!A354:A853,Products!C354:C853,"Category Missing",0)</f>
        <v>Home</v>
      </c>
      <c r="I354" s="11">
        <f>_xlfn.XLOOKUP(Orders!C354,Products!A354:A853,Products!D354:D853,"Price Missing",0)</f>
        <v>330.56</v>
      </c>
      <c r="J354" s="19">
        <f t="shared" si="5"/>
        <v>991.68000000000006</v>
      </c>
    </row>
    <row r="355" spans="1:10" x14ac:dyDescent="0.35">
      <c r="A355" s="4" t="s">
        <v>4375</v>
      </c>
      <c r="B355" s="7" t="s">
        <v>2831</v>
      </c>
      <c r="C355" s="7" t="s">
        <v>3540</v>
      </c>
      <c r="D355" s="5">
        <v>5</v>
      </c>
      <c r="E355" s="7" t="str">
        <f>_xlfn.XLOOKUP(B355,Customers!A355:A1354,Customers!B355:B1354,"Customer Not Found",0)</f>
        <v>Customer_941</v>
      </c>
      <c r="F355" s="7" t="str">
        <f>_xlfn.XLOOKUP(Orders!B355,Customers!A355:A1354,Customers!C355:C1354,"Country not Found",0)</f>
        <v>Canada</v>
      </c>
      <c r="G355" s="7" t="str">
        <f>_xlfn.XLOOKUP(C355,Products!A355:A854,Products!B355:B854,"Product Missing",0)</f>
        <v>Product Missing</v>
      </c>
      <c r="H355" s="7" t="str">
        <f>_xlfn.XLOOKUP(C355,Products!A355:A854,Products!C355:C854,"Category Missing",0)</f>
        <v>Category Missing</v>
      </c>
      <c r="I355" s="11" t="str">
        <f>_xlfn.XLOOKUP(Orders!C355,Products!A355:A854,Products!D355:D854,"Price Missing",0)</f>
        <v>Price Missing</v>
      </c>
      <c r="J355" s="19">
        <f t="shared" si="5"/>
        <v>0</v>
      </c>
    </row>
    <row r="356" spans="1:10" x14ac:dyDescent="0.35">
      <c r="A356" s="4" t="s">
        <v>4376</v>
      </c>
      <c r="B356" s="7" t="s">
        <v>443</v>
      </c>
      <c r="C356" s="7" t="s">
        <v>3146</v>
      </c>
      <c r="D356" s="5">
        <v>1</v>
      </c>
      <c r="E356" s="7" t="str">
        <f>_xlfn.XLOOKUP(B356,Customers!A356:A1355,Customers!B356:B1355,"Customer Not Found",0)</f>
        <v>Customer Not Found</v>
      </c>
      <c r="F356" s="7" t="str">
        <f>_xlfn.XLOOKUP(Orders!B356,Customers!A356:A1355,Customers!C356:C1355,"Country not Found",0)</f>
        <v>Country not Found</v>
      </c>
      <c r="G356" s="7" t="str">
        <f>_xlfn.XLOOKUP(C356,Products!A356:A855,Products!B356:B855,"Product Missing",0)</f>
        <v>Product Missing</v>
      </c>
      <c r="H356" s="7" t="str">
        <f>_xlfn.XLOOKUP(C356,Products!A356:A855,Products!C356:C855,"Category Missing",0)</f>
        <v>Category Missing</v>
      </c>
      <c r="I356" s="11" t="str">
        <f>_xlfn.XLOOKUP(Orders!C356,Products!A356:A855,Products!D356:D855,"Price Missing",0)</f>
        <v>Price Missing</v>
      </c>
      <c r="J356" s="19">
        <f t="shared" si="5"/>
        <v>0</v>
      </c>
    </row>
    <row r="357" spans="1:10" x14ac:dyDescent="0.35">
      <c r="A357" s="4" t="s">
        <v>4377</v>
      </c>
      <c r="B357" s="7" t="s">
        <v>2180</v>
      </c>
      <c r="C357" s="7" t="s">
        <v>3684</v>
      </c>
      <c r="D357" s="5">
        <v>9</v>
      </c>
      <c r="E357" s="7" t="str">
        <f>_xlfn.XLOOKUP(B357,Customers!A357:A1356,Customers!B357:B1356,"Customer Not Found",0)</f>
        <v>Customer_724</v>
      </c>
      <c r="F357" s="7" t="str">
        <f>_xlfn.XLOOKUP(Orders!B357,Customers!A357:A1356,Customers!C357:C1356,"Country not Found",0)</f>
        <v>Ghana</v>
      </c>
      <c r="G357" s="7" t="str">
        <f>_xlfn.XLOOKUP(C357,Products!A357:A856,Products!B357:B856,"Product Missing",0)</f>
        <v>Product Missing</v>
      </c>
      <c r="H357" s="7" t="str">
        <f>_xlfn.XLOOKUP(C357,Products!A357:A856,Products!C357:C856,"Category Missing",0)</f>
        <v>Category Missing</v>
      </c>
      <c r="I357" s="11" t="str">
        <f>_xlfn.XLOOKUP(Orders!C357,Products!A357:A856,Products!D357:D856,"Price Missing",0)</f>
        <v>Price Missing</v>
      </c>
      <c r="J357" s="19">
        <f t="shared" si="5"/>
        <v>0</v>
      </c>
    </row>
    <row r="358" spans="1:10" x14ac:dyDescent="0.35">
      <c r="A358" s="4" t="s">
        <v>4378</v>
      </c>
      <c r="B358" s="7" t="s">
        <v>449</v>
      </c>
      <c r="C358" s="7" t="s">
        <v>3460</v>
      </c>
      <c r="D358" s="5">
        <v>1</v>
      </c>
      <c r="E358" s="7" t="str">
        <f>_xlfn.XLOOKUP(B358,Customers!A358:A1357,Customers!B358:B1357,"Customer Not Found",0)</f>
        <v>Customer Not Found</v>
      </c>
      <c r="F358" s="7" t="str">
        <f>_xlfn.XLOOKUP(Orders!B358,Customers!A358:A1357,Customers!C358:C1357,"Country not Found",0)</f>
        <v>Country not Found</v>
      </c>
      <c r="G358" s="7" t="str">
        <f>_xlfn.XLOOKUP(C358,Products!A358:A857,Products!B358:B857,"Product Missing",0)</f>
        <v>Product Missing</v>
      </c>
      <c r="H358" s="7" t="str">
        <f>_xlfn.XLOOKUP(C358,Products!A358:A857,Products!C358:C857,"Category Missing",0)</f>
        <v>Category Missing</v>
      </c>
      <c r="I358" s="11" t="str">
        <f>_xlfn.XLOOKUP(Orders!C358,Products!A358:A857,Products!D358:D857,"Price Missing",0)</f>
        <v>Price Missing</v>
      </c>
      <c r="J358" s="19">
        <f t="shared" si="5"/>
        <v>0</v>
      </c>
    </row>
    <row r="359" spans="1:10" x14ac:dyDescent="0.35">
      <c r="A359" s="4" t="s">
        <v>4379</v>
      </c>
      <c r="B359" s="7" t="s">
        <v>2996</v>
      </c>
      <c r="C359" s="7" t="s">
        <v>3860</v>
      </c>
      <c r="D359" s="5">
        <v>1</v>
      </c>
      <c r="E359" s="7" t="str">
        <f>_xlfn.XLOOKUP(B359,Customers!A359:A1358,Customers!B359:B1358,"Customer Not Found",0)</f>
        <v>Customer_996</v>
      </c>
      <c r="F359" s="7" t="str">
        <f>_xlfn.XLOOKUP(Orders!B359,Customers!A359:A1358,Customers!C359:C1358,"Country not Found",0)</f>
        <v>Nigeria</v>
      </c>
      <c r="G359" s="7" t="str">
        <f>_xlfn.XLOOKUP(C359,Products!A359:A858,Products!B359:B858,"Product Missing",0)</f>
        <v>Product_421</v>
      </c>
      <c r="H359" s="7" t="str">
        <f>_xlfn.XLOOKUP(C359,Products!A359:A858,Products!C359:C858,"Category Missing",0)</f>
        <v>Sports</v>
      </c>
      <c r="I359" s="11">
        <f>_xlfn.XLOOKUP(Orders!C359,Products!A359:A858,Products!D359:D858,"Price Missing",0)</f>
        <v>476.53</v>
      </c>
      <c r="J359" s="19">
        <f t="shared" si="5"/>
        <v>476.53</v>
      </c>
    </row>
    <row r="360" spans="1:10" x14ac:dyDescent="0.35">
      <c r="A360" s="4" t="s">
        <v>4380</v>
      </c>
      <c r="B360" s="7" t="s">
        <v>2078</v>
      </c>
      <c r="C360" s="7" t="s">
        <v>3018</v>
      </c>
      <c r="D360" s="5">
        <v>4</v>
      </c>
      <c r="E360" s="7" t="str">
        <f>_xlfn.XLOOKUP(B360,Customers!A360:A1359,Customers!B360:B1359,"Customer Not Found",0)</f>
        <v>Customer_690</v>
      </c>
      <c r="F360" s="7" t="str">
        <f>_xlfn.XLOOKUP(Orders!B360,Customers!A360:A1359,Customers!C360:C1359,"Country not Found",0)</f>
        <v>Nigeria</v>
      </c>
      <c r="G360" s="7" t="str">
        <f>_xlfn.XLOOKUP(C360,Products!A360:A859,Products!B360:B859,"Product Missing",0)</f>
        <v>Product Missing</v>
      </c>
      <c r="H360" s="7" t="str">
        <f>_xlfn.XLOOKUP(C360,Products!A360:A859,Products!C360:C859,"Category Missing",0)</f>
        <v>Category Missing</v>
      </c>
      <c r="I360" s="11" t="str">
        <f>_xlfn.XLOOKUP(Orders!C360,Products!A360:A859,Products!D360:D859,"Price Missing",0)</f>
        <v>Price Missing</v>
      </c>
      <c r="J360" s="19">
        <f t="shared" si="5"/>
        <v>0</v>
      </c>
    </row>
    <row r="361" spans="1:10" x14ac:dyDescent="0.35">
      <c r="A361" s="4" t="s">
        <v>4381</v>
      </c>
      <c r="B361" s="7" t="s">
        <v>494</v>
      </c>
      <c r="C361" s="7" t="s">
        <v>3292</v>
      </c>
      <c r="D361" s="5">
        <v>1</v>
      </c>
      <c r="E361" s="7" t="str">
        <f>_xlfn.XLOOKUP(B361,Customers!A361:A1360,Customers!B361:B1360,"Customer Not Found",0)</f>
        <v>Customer Not Found</v>
      </c>
      <c r="F361" s="7" t="str">
        <f>_xlfn.XLOOKUP(Orders!B361,Customers!A361:A1360,Customers!C361:C1360,"Country not Found",0)</f>
        <v>Country not Found</v>
      </c>
      <c r="G361" s="7" t="str">
        <f>_xlfn.XLOOKUP(C361,Products!A361:A860,Products!B361:B860,"Product Missing",0)</f>
        <v>Product Missing</v>
      </c>
      <c r="H361" s="7" t="str">
        <f>_xlfn.XLOOKUP(C361,Products!A361:A860,Products!C361:C860,"Category Missing",0)</f>
        <v>Category Missing</v>
      </c>
      <c r="I361" s="11" t="str">
        <f>_xlfn.XLOOKUP(Orders!C361,Products!A361:A860,Products!D361:D860,"Price Missing",0)</f>
        <v>Price Missing</v>
      </c>
      <c r="J361" s="19">
        <f t="shared" si="5"/>
        <v>0</v>
      </c>
    </row>
    <row r="362" spans="1:10" x14ac:dyDescent="0.35">
      <c r="A362" s="4" t="s">
        <v>4382</v>
      </c>
      <c r="B362" s="7" t="s">
        <v>2876</v>
      </c>
      <c r="C362" s="7" t="s">
        <v>3512</v>
      </c>
      <c r="D362" s="5">
        <v>1</v>
      </c>
      <c r="E362" s="7" t="str">
        <f>_xlfn.XLOOKUP(B362,Customers!A362:A1361,Customers!B362:B1361,"Customer Not Found",0)</f>
        <v>Customer_956</v>
      </c>
      <c r="F362" s="7" t="str">
        <f>_xlfn.XLOOKUP(Orders!B362,Customers!A362:A1361,Customers!C362:C1361,"Country not Found",0)</f>
        <v>South Africa</v>
      </c>
      <c r="G362" s="7" t="str">
        <f>_xlfn.XLOOKUP(C362,Products!A362:A861,Products!B362:B861,"Product Missing",0)</f>
        <v>Product Missing</v>
      </c>
      <c r="H362" s="7" t="str">
        <f>_xlfn.XLOOKUP(C362,Products!A362:A861,Products!C362:C861,"Category Missing",0)</f>
        <v>Category Missing</v>
      </c>
      <c r="I362" s="11" t="str">
        <f>_xlfn.XLOOKUP(Orders!C362,Products!A362:A861,Products!D362:D861,"Price Missing",0)</f>
        <v>Price Missing</v>
      </c>
      <c r="J362" s="19">
        <f t="shared" si="5"/>
        <v>0</v>
      </c>
    </row>
    <row r="363" spans="1:10" x14ac:dyDescent="0.35">
      <c r="A363" s="4" t="s">
        <v>4383</v>
      </c>
      <c r="B363" s="7" t="s">
        <v>2414</v>
      </c>
      <c r="C363" s="7" t="s">
        <v>3830</v>
      </c>
      <c r="D363" s="5">
        <v>2</v>
      </c>
      <c r="E363" s="7" t="str">
        <f>_xlfn.XLOOKUP(B363,Customers!A363:A1362,Customers!B363:B1362,"Customer Not Found",0)</f>
        <v>Customer_802</v>
      </c>
      <c r="F363" s="7" t="str">
        <f>_xlfn.XLOOKUP(Orders!B363,Customers!A363:A1362,Customers!C363:C1362,"Country not Found",0)</f>
        <v>Ghana</v>
      </c>
      <c r="G363" s="7" t="str">
        <f>_xlfn.XLOOKUP(C363,Products!A363:A862,Products!B363:B862,"Product Missing",0)</f>
        <v>Product_406</v>
      </c>
      <c r="H363" s="7" t="str">
        <f>_xlfn.XLOOKUP(C363,Products!A363:A862,Products!C363:C862,"Category Missing",0)</f>
        <v>Electronics</v>
      </c>
      <c r="I363" s="11">
        <f>_xlfn.XLOOKUP(Orders!C363,Products!A363:A862,Products!D363:D862,"Price Missing",0)</f>
        <v>173.13</v>
      </c>
      <c r="J363" s="19">
        <f t="shared" si="5"/>
        <v>346.26</v>
      </c>
    </row>
    <row r="364" spans="1:10" x14ac:dyDescent="0.35">
      <c r="A364" s="4" t="s">
        <v>4384</v>
      </c>
      <c r="B364" s="7" t="s">
        <v>686</v>
      </c>
      <c r="C364" s="7" t="s">
        <v>3660</v>
      </c>
      <c r="D364" s="5">
        <v>6</v>
      </c>
      <c r="E364" s="7" t="str">
        <f>_xlfn.XLOOKUP(B364,Customers!A364:A1363,Customers!B364:B1363,"Customer Not Found",0)</f>
        <v>Customer Not Found</v>
      </c>
      <c r="F364" s="7" t="str">
        <f>_xlfn.XLOOKUP(Orders!B364,Customers!A364:A1363,Customers!C364:C1363,"Country not Found",0)</f>
        <v>Country not Found</v>
      </c>
      <c r="G364" s="7" t="str">
        <f>_xlfn.XLOOKUP(C364,Products!A364:A863,Products!B364:B863,"Product Missing",0)</f>
        <v>Product Missing</v>
      </c>
      <c r="H364" s="7" t="str">
        <f>_xlfn.XLOOKUP(C364,Products!A364:A863,Products!C364:C863,"Category Missing",0)</f>
        <v>Category Missing</v>
      </c>
      <c r="I364" s="11" t="str">
        <f>_xlfn.XLOOKUP(Orders!C364,Products!A364:A863,Products!D364:D863,"Price Missing",0)</f>
        <v>Price Missing</v>
      </c>
      <c r="J364" s="19">
        <f t="shared" si="5"/>
        <v>0</v>
      </c>
    </row>
    <row r="365" spans="1:10" x14ac:dyDescent="0.35">
      <c r="A365" s="4" t="s">
        <v>4385</v>
      </c>
      <c r="B365" s="7" t="s">
        <v>2981</v>
      </c>
      <c r="C365" s="7" t="s">
        <v>3340</v>
      </c>
      <c r="D365" s="5">
        <v>2</v>
      </c>
      <c r="E365" s="7" t="str">
        <f>_xlfn.XLOOKUP(B365,Customers!A365:A1364,Customers!B365:B1364,"Customer Not Found",0)</f>
        <v>Customer_991</v>
      </c>
      <c r="F365" s="7" t="str">
        <f>_xlfn.XLOOKUP(Orders!B365,Customers!A365:A1364,Customers!C365:C1364,"Country not Found",0)</f>
        <v>UK</v>
      </c>
      <c r="G365" s="7" t="str">
        <f>_xlfn.XLOOKUP(C365,Products!A365:A864,Products!B365:B864,"Product Missing",0)</f>
        <v>Product Missing</v>
      </c>
      <c r="H365" s="7" t="str">
        <f>_xlfn.XLOOKUP(C365,Products!A365:A864,Products!C365:C864,"Category Missing",0)</f>
        <v>Category Missing</v>
      </c>
      <c r="I365" s="11" t="str">
        <f>_xlfn.XLOOKUP(Orders!C365,Products!A365:A864,Products!D365:D864,"Price Missing",0)</f>
        <v>Price Missing</v>
      </c>
      <c r="J365" s="19">
        <f t="shared" si="5"/>
        <v>0</v>
      </c>
    </row>
    <row r="366" spans="1:10" x14ac:dyDescent="0.35">
      <c r="A366" s="4" t="s">
        <v>4386</v>
      </c>
      <c r="B366" s="7" t="s">
        <v>398</v>
      </c>
      <c r="C366" s="7" t="s">
        <v>3428</v>
      </c>
      <c r="D366" s="5">
        <v>10</v>
      </c>
      <c r="E366" s="7" t="str">
        <f>_xlfn.XLOOKUP(B366,Customers!A366:A1365,Customers!B366:B1365,"Customer Not Found",0)</f>
        <v>Customer Not Found</v>
      </c>
      <c r="F366" s="7" t="str">
        <f>_xlfn.XLOOKUP(Orders!B366,Customers!A366:A1365,Customers!C366:C1365,"Country not Found",0)</f>
        <v>Country not Found</v>
      </c>
      <c r="G366" s="7" t="str">
        <f>_xlfn.XLOOKUP(C366,Products!A366:A865,Products!B366:B865,"Product Missing",0)</f>
        <v>Product Missing</v>
      </c>
      <c r="H366" s="7" t="str">
        <f>_xlfn.XLOOKUP(C366,Products!A366:A865,Products!C366:C865,"Category Missing",0)</f>
        <v>Category Missing</v>
      </c>
      <c r="I366" s="11" t="str">
        <f>_xlfn.XLOOKUP(Orders!C366,Products!A366:A865,Products!D366:D865,"Price Missing",0)</f>
        <v>Price Missing</v>
      </c>
      <c r="J366" s="19">
        <f t="shared" si="5"/>
        <v>0</v>
      </c>
    </row>
    <row r="367" spans="1:10" x14ac:dyDescent="0.35">
      <c r="A367" s="4" t="s">
        <v>4387</v>
      </c>
      <c r="B367" s="7" t="s">
        <v>2906</v>
      </c>
      <c r="C367" s="7" t="s">
        <v>3798</v>
      </c>
      <c r="D367" s="5">
        <v>7</v>
      </c>
      <c r="E367" s="7" t="str">
        <f>_xlfn.XLOOKUP(B367,Customers!A367:A1366,Customers!B367:B1366,"Customer Not Found",0)</f>
        <v>Customer_966</v>
      </c>
      <c r="F367" s="7" t="str">
        <f>_xlfn.XLOOKUP(Orders!B367,Customers!A367:A1366,Customers!C367:C1366,"Country not Found",0)</f>
        <v>USA</v>
      </c>
      <c r="G367" s="7" t="str">
        <f>_xlfn.XLOOKUP(C367,Products!A367:A866,Products!B367:B866,"Product Missing",0)</f>
        <v>Product_390</v>
      </c>
      <c r="H367" s="7" t="str">
        <f>_xlfn.XLOOKUP(C367,Products!A367:A866,Products!C367:C866,"Category Missing",0)</f>
        <v>Clothing</v>
      </c>
      <c r="I367" s="11">
        <f>_xlfn.XLOOKUP(Orders!C367,Products!A367:A866,Products!D367:D866,"Price Missing",0)</f>
        <v>37.54</v>
      </c>
      <c r="J367" s="19">
        <f t="shared" si="5"/>
        <v>262.77999999999997</v>
      </c>
    </row>
    <row r="368" spans="1:10" x14ac:dyDescent="0.35">
      <c r="A368" s="4" t="s">
        <v>4388</v>
      </c>
      <c r="B368" s="7" t="s">
        <v>2348</v>
      </c>
      <c r="C368" s="7" t="s">
        <v>3136</v>
      </c>
      <c r="D368" s="5">
        <v>5</v>
      </c>
      <c r="E368" s="7" t="str">
        <f>_xlfn.XLOOKUP(B368,Customers!A368:A1367,Customers!B368:B1367,"Customer Not Found",0)</f>
        <v>Customer_780</v>
      </c>
      <c r="F368" s="7" t="str">
        <f>_xlfn.XLOOKUP(Orders!B368,Customers!A368:A1367,Customers!C368:C1367,"Country not Found",0)</f>
        <v>Kenya</v>
      </c>
      <c r="G368" s="7" t="str">
        <f>_xlfn.XLOOKUP(C368,Products!A368:A867,Products!B368:B867,"Product Missing",0)</f>
        <v>Product Missing</v>
      </c>
      <c r="H368" s="7" t="str">
        <f>_xlfn.XLOOKUP(C368,Products!A368:A867,Products!C368:C867,"Category Missing",0)</f>
        <v>Category Missing</v>
      </c>
      <c r="I368" s="11" t="str">
        <f>_xlfn.XLOOKUP(Orders!C368,Products!A368:A867,Products!D368:D867,"Price Missing",0)</f>
        <v>Price Missing</v>
      </c>
      <c r="J368" s="19">
        <f t="shared" si="5"/>
        <v>0</v>
      </c>
    </row>
    <row r="369" spans="1:10" x14ac:dyDescent="0.35">
      <c r="A369" s="4" t="s">
        <v>4389</v>
      </c>
      <c r="B369" s="7" t="s">
        <v>1925</v>
      </c>
      <c r="C369" s="7" t="s">
        <v>3930</v>
      </c>
      <c r="D369" s="5">
        <v>2</v>
      </c>
      <c r="E369" s="7" t="str">
        <f>_xlfn.XLOOKUP(B369,Customers!A369:A1368,Customers!B369:B1368,"Customer Not Found",0)</f>
        <v>Customer_639</v>
      </c>
      <c r="F369" s="7" t="str">
        <f>_xlfn.XLOOKUP(Orders!B369,Customers!A369:A1368,Customers!C369:C1368,"Country not Found",0)</f>
        <v>South Africa</v>
      </c>
      <c r="G369" s="7" t="str">
        <f>_xlfn.XLOOKUP(C369,Products!A369:A868,Products!B369:B868,"Product Missing",0)</f>
        <v>Product_456</v>
      </c>
      <c r="H369" s="7" t="str">
        <f>_xlfn.XLOOKUP(C369,Products!A369:A868,Products!C369:C868,"Category Missing",0)</f>
        <v>Food</v>
      </c>
      <c r="I369" s="11">
        <f>_xlfn.XLOOKUP(Orders!C369,Products!A369:A868,Products!D369:D868,"Price Missing",0)</f>
        <v>255.76</v>
      </c>
      <c r="J369" s="19">
        <f t="shared" si="5"/>
        <v>511.52</v>
      </c>
    </row>
    <row r="370" spans="1:10" x14ac:dyDescent="0.35">
      <c r="A370" s="4" t="s">
        <v>4390</v>
      </c>
      <c r="B370" s="7" t="s">
        <v>2336</v>
      </c>
      <c r="C370" s="7" t="s">
        <v>3292</v>
      </c>
      <c r="D370" s="5">
        <v>6</v>
      </c>
      <c r="E370" s="7" t="str">
        <f>_xlfn.XLOOKUP(B370,Customers!A370:A1369,Customers!B370:B1369,"Customer Not Found",0)</f>
        <v>Customer_776</v>
      </c>
      <c r="F370" s="7" t="str">
        <f>_xlfn.XLOOKUP(Orders!B370,Customers!A370:A1369,Customers!C370:C1369,"Country not Found",0)</f>
        <v>Kenya</v>
      </c>
      <c r="G370" s="7" t="str">
        <f>_xlfn.XLOOKUP(C370,Products!A370:A869,Products!B370:B869,"Product Missing",0)</f>
        <v>Product Missing</v>
      </c>
      <c r="H370" s="7" t="str">
        <f>_xlfn.XLOOKUP(C370,Products!A370:A869,Products!C370:C869,"Category Missing",0)</f>
        <v>Category Missing</v>
      </c>
      <c r="I370" s="11" t="str">
        <f>_xlfn.XLOOKUP(Orders!C370,Products!A370:A869,Products!D370:D869,"Price Missing",0)</f>
        <v>Price Missing</v>
      </c>
      <c r="J370" s="19">
        <f t="shared" si="5"/>
        <v>0</v>
      </c>
    </row>
    <row r="371" spans="1:10" x14ac:dyDescent="0.35">
      <c r="A371" s="4" t="s">
        <v>4391</v>
      </c>
      <c r="B371" s="7" t="s">
        <v>1589</v>
      </c>
      <c r="C371" s="7" t="s">
        <v>3056</v>
      </c>
      <c r="D371" s="5">
        <v>1</v>
      </c>
      <c r="E371" s="7" t="str">
        <f>_xlfn.XLOOKUP(B371,Customers!A371:A1370,Customers!B371:B1370,"Customer Not Found",0)</f>
        <v>Customer_527</v>
      </c>
      <c r="F371" s="7" t="str">
        <f>_xlfn.XLOOKUP(Orders!B371,Customers!A371:A1370,Customers!C371:C1370,"Country not Found",0)</f>
        <v>Ghana</v>
      </c>
      <c r="G371" s="7" t="str">
        <f>_xlfn.XLOOKUP(C371,Products!A371:A870,Products!B371:B870,"Product Missing",0)</f>
        <v>Product Missing</v>
      </c>
      <c r="H371" s="7" t="str">
        <f>_xlfn.XLOOKUP(C371,Products!A371:A870,Products!C371:C870,"Category Missing",0)</f>
        <v>Category Missing</v>
      </c>
      <c r="I371" s="11" t="str">
        <f>_xlfn.XLOOKUP(Orders!C371,Products!A371:A870,Products!D371:D870,"Price Missing",0)</f>
        <v>Price Missing</v>
      </c>
      <c r="J371" s="19">
        <f t="shared" si="5"/>
        <v>0</v>
      </c>
    </row>
    <row r="372" spans="1:10" x14ac:dyDescent="0.35">
      <c r="A372" s="4" t="s">
        <v>4392</v>
      </c>
      <c r="B372" s="7" t="s">
        <v>1298</v>
      </c>
      <c r="C372" s="7" t="s">
        <v>3828</v>
      </c>
      <c r="D372" s="5">
        <v>7</v>
      </c>
      <c r="E372" s="7" t="str">
        <f>_xlfn.XLOOKUP(B372,Customers!A372:A1371,Customers!B372:B1371,"Customer Not Found",0)</f>
        <v>Customer_430</v>
      </c>
      <c r="F372" s="7" t="str">
        <f>_xlfn.XLOOKUP(Orders!B372,Customers!A372:A1371,Customers!C372:C1371,"Country not Found",0)</f>
        <v>Kenya</v>
      </c>
      <c r="G372" s="7" t="str">
        <f>_xlfn.XLOOKUP(C372,Products!A372:A871,Products!B372:B871,"Product Missing",0)</f>
        <v>Product_405</v>
      </c>
      <c r="H372" s="7" t="str">
        <f>_xlfn.XLOOKUP(C372,Products!A372:A871,Products!C372:C871,"Category Missing",0)</f>
        <v>Electronics</v>
      </c>
      <c r="I372" s="11">
        <f>_xlfn.XLOOKUP(Orders!C372,Products!A372:A871,Products!D372:D871,"Price Missing",0)</f>
        <v>439.09</v>
      </c>
      <c r="J372" s="19">
        <f t="shared" si="5"/>
        <v>3073.6299999999997</v>
      </c>
    </row>
    <row r="373" spans="1:10" x14ac:dyDescent="0.35">
      <c r="A373" s="4" t="s">
        <v>4393</v>
      </c>
      <c r="B373" s="7" t="s">
        <v>1640</v>
      </c>
      <c r="C373" s="7" t="s">
        <v>3284</v>
      </c>
      <c r="D373" s="5">
        <v>9</v>
      </c>
      <c r="E373" s="7" t="str">
        <f>_xlfn.XLOOKUP(B373,Customers!A373:A1372,Customers!B373:B1372,"Customer Not Found",0)</f>
        <v>Customer_544</v>
      </c>
      <c r="F373" s="7" t="str">
        <f>_xlfn.XLOOKUP(Orders!B373,Customers!A373:A1372,Customers!C373:C1372,"Country not Found",0)</f>
        <v>USA</v>
      </c>
      <c r="G373" s="7" t="str">
        <f>_xlfn.XLOOKUP(C373,Products!A373:A872,Products!B373:B872,"Product Missing",0)</f>
        <v>Product Missing</v>
      </c>
      <c r="H373" s="7" t="str">
        <f>_xlfn.XLOOKUP(C373,Products!A373:A872,Products!C373:C872,"Category Missing",0)</f>
        <v>Category Missing</v>
      </c>
      <c r="I373" s="11" t="str">
        <f>_xlfn.XLOOKUP(Orders!C373,Products!A373:A872,Products!D373:D872,"Price Missing",0)</f>
        <v>Price Missing</v>
      </c>
      <c r="J373" s="19">
        <f t="shared" si="5"/>
        <v>0</v>
      </c>
    </row>
    <row r="374" spans="1:10" x14ac:dyDescent="0.35">
      <c r="A374" s="4" t="s">
        <v>4394</v>
      </c>
      <c r="B374" s="7" t="s">
        <v>2540</v>
      </c>
      <c r="C374" s="7" t="s">
        <v>3416</v>
      </c>
      <c r="D374" s="5">
        <v>10</v>
      </c>
      <c r="E374" s="7" t="str">
        <f>_xlfn.XLOOKUP(B374,Customers!A374:A1373,Customers!B374:B1373,"Customer Not Found",0)</f>
        <v>Customer_844</v>
      </c>
      <c r="F374" s="7" t="str">
        <f>_xlfn.XLOOKUP(Orders!B374,Customers!A374:A1373,Customers!C374:C1373,"Country not Found",0)</f>
        <v>USA</v>
      </c>
      <c r="G374" s="7" t="str">
        <f>_xlfn.XLOOKUP(C374,Products!A374:A873,Products!B374:B873,"Product Missing",0)</f>
        <v>Product Missing</v>
      </c>
      <c r="H374" s="7" t="str">
        <f>_xlfn.XLOOKUP(C374,Products!A374:A873,Products!C374:C873,"Category Missing",0)</f>
        <v>Category Missing</v>
      </c>
      <c r="I374" s="11" t="str">
        <f>_xlfn.XLOOKUP(Orders!C374,Products!A374:A873,Products!D374:D873,"Price Missing",0)</f>
        <v>Price Missing</v>
      </c>
      <c r="J374" s="19">
        <f t="shared" si="5"/>
        <v>0</v>
      </c>
    </row>
    <row r="375" spans="1:10" x14ac:dyDescent="0.35">
      <c r="A375" s="4" t="s">
        <v>4395</v>
      </c>
      <c r="B375" s="7" t="s">
        <v>2831</v>
      </c>
      <c r="C375" s="7" t="s">
        <v>3468</v>
      </c>
      <c r="D375" s="5">
        <v>7</v>
      </c>
      <c r="E375" s="7" t="str">
        <f>_xlfn.XLOOKUP(B375,Customers!A375:A1374,Customers!B375:B1374,"Customer Not Found",0)</f>
        <v>Customer_941</v>
      </c>
      <c r="F375" s="7" t="str">
        <f>_xlfn.XLOOKUP(Orders!B375,Customers!A375:A1374,Customers!C375:C1374,"Country not Found",0)</f>
        <v>Canada</v>
      </c>
      <c r="G375" s="7" t="str">
        <f>_xlfn.XLOOKUP(C375,Products!A375:A874,Products!B375:B874,"Product Missing",0)</f>
        <v>Product Missing</v>
      </c>
      <c r="H375" s="7" t="str">
        <f>_xlfn.XLOOKUP(C375,Products!A375:A874,Products!C375:C874,"Category Missing",0)</f>
        <v>Category Missing</v>
      </c>
      <c r="I375" s="11" t="str">
        <f>_xlfn.XLOOKUP(Orders!C375,Products!A375:A874,Products!D375:D874,"Price Missing",0)</f>
        <v>Price Missing</v>
      </c>
      <c r="J375" s="19">
        <f t="shared" si="5"/>
        <v>0</v>
      </c>
    </row>
    <row r="376" spans="1:10" x14ac:dyDescent="0.35">
      <c r="A376" s="4" t="s">
        <v>4396</v>
      </c>
      <c r="B376" s="7" t="s">
        <v>2468</v>
      </c>
      <c r="C376" s="7" t="s">
        <v>3906</v>
      </c>
      <c r="D376" s="5">
        <v>10</v>
      </c>
      <c r="E376" s="7" t="str">
        <f>_xlfn.XLOOKUP(B376,Customers!A376:A1375,Customers!B376:B1375,"Customer Not Found",0)</f>
        <v>Customer_820</v>
      </c>
      <c r="F376" s="7" t="str">
        <f>_xlfn.XLOOKUP(Orders!B376,Customers!A376:A1375,Customers!C376:C1375,"Country not Found",0)</f>
        <v>Canada</v>
      </c>
      <c r="G376" s="7" t="str">
        <f>_xlfn.XLOOKUP(C376,Products!A376:A875,Products!B376:B875,"Product Missing",0)</f>
        <v>Product_444</v>
      </c>
      <c r="H376" s="7" t="str">
        <f>_xlfn.XLOOKUP(C376,Products!A376:A875,Products!C376:C875,"Category Missing",0)</f>
        <v>Food</v>
      </c>
      <c r="I376" s="11">
        <f>_xlfn.XLOOKUP(Orders!C376,Products!A376:A875,Products!D376:D875,"Price Missing",0)</f>
        <v>230.56</v>
      </c>
      <c r="J376" s="19">
        <f t="shared" si="5"/>
        <v>2305.6</v>
      </c>
    </row>
    <row r="377" spans="1:10" x14ac:dyDescent="0.35">
      <c r="A377" s="4" t="s">
        <v>4397</v>
      </c>
      <c r="B377" s="7" t="s">
        <v>2687</v>
      </c>
      <c r="C377" s="7" t="s">
        <v>3496</v>
      </c>
      <c r="D377" s="5">
        <v>6</v>
      </c>
      <c r="E377" s="7" t="str">
        <f>_xlfn.XLOOKUP(B377,Customers!A377:A1376,Customers!B377:B1376,"Customer Not Found",0)</f>
        <v>Customer_893</v>
      </c>
      <c r="F377" s="7" t="str">
        <f>_xlfn.XLOOKUP(Orders!B377,Customers!A377:A1376,Customers!C377:C1376,"Country not Found",0)</f>
        <v>Nigeria</v>
      </c>
      <c r="G377" s="7" t="str">
        <f>_xlfn.XLOOKUP(C377,Products!A377:A876,Products!B377:B876,"Product Missing",0)</f>
        <v>Product Missing</v>
      </c>
      <c r="H377" s="7" t="str">
        <f>_xlfn.XLOOKUP(C377,Products!A377:A876,Products!C377:C876,"Category Missing",0)</f>
        <v>Category Missing</v>
      </c>
      <c r="I377" s="11" t="str">
        <f>_xlfn.XLOOKUP(Orders!C377,Products!A377:A876,Products!D377:D876,"Price Missing",0)</f>
        <v>Price Missing</v>
      </c>
      <c r="J377" s="19">
        <f t="shared" si="5"/>
        <v>0</v>
      </c>
    </row>
    <row r="378" spans="1:10" x14ac:dyDescent="0.35">
      <c r="A378" s="4" t="s">
        <v>4398</v>
      </c>
      <c r="B378" s="7" t="s">
        <v>2075</v>
      </c>
      <c r="C378" s="7" t="s">
        <v>3578</v>
      </c>
      <c r="D378" s="5">
        <v>5</v>
      </c>
      <c r="E378" s="7" t="str">
        <f>_xlfn.XLOOKUP(B378,Customers!A378:A1377,Customers!B378:B1377,"Customer Not Found",0)</f>
        <v>Customer_689</v>
      </c>
      <c r="F378" s="7" t="str">
        <f>_xlfn.XLOOKUP(Orders!B378,Customers!A378:A1377,Customers!C378:C1377,"Country not Found",0)</f>
        <v>USA</v>
      </c>
      <c r="G378" s="7" t="str">
        <f>_xlfn.XLOOKUP(C378,Products!A378:A877,Products!B378:B877,"Product Missing",0)</f>
        <v>Product Missing</v>
      </c>
      <c r="H378" s="7" t="str">
        <f>_xlfn.XLOOKUP(C378,Products!A378:A877,Products!C378:C877,"Category Missing",0)</f>
        <v>Category Missing</v>
      </c>
      <c r="I378" s="11" t="str">
        <f>_xlfn.XLOOKUP(Orders!C378,Products!A378:A877,Products!D378:D877,"Price Missing",0)</f>
        <v>Price Missing</v>
      </c>
      <c r="J378" s="19">
        <f t="shared" si="5"/>
        <v>0</v>
      </c>
    </row>
    <row r="379" spans="1:10" x14ac:dyDescent="0.35">
      <c r="A379" s="4" t="s">
        <v>4399</v>
      </c>
      <c r="B379" s="7" t="s">
        <v>2711</v>
      </c>
      <c r="C379" s="7" t="s">
        <v>3706</v>
      </c>
      <c r="D379" s="5">
        <v>10</v>
      </c>
      <c r="E379" s="7" t="str">
        <f>_xlfn.XLOOKUP(B379,Customers!A379:A1378,Customers!B379:B1378,"Customer Not Found",0)</f>
        <v>Customer_901</v>
      </c>
      <c r="F379" s="7" t="str">
        <f>_xlfn.XLOOKUP(Orders!B379,Customers!A379:A1378,Customers!C379:C1378,"Country not Found",0)</f>
        <v>USA</v>
      </c>
      <c r="G379" s="7" t="str">
        <f>_xlfn.XLOOKUP(C379,Products!A379:A878,Products!B379:B878,"Product Missing",0)</f>
        <v>Product Missing</v>
      </c>
      <c r="H379" s="7" t="str">
        <f>_xlfn.XLOOKUP(C379,Products!A379:A878,Products!C379:C878,"Category Missing",0)</f>
        <v>Category Missing</v>
      </c>
      <c r="I379" s="11" t="str">
        <f>_xlfn.XLOOKUP(Orders!C379,Products!A379:A878,Products!D379:D878,"Price Missing",0)</f>
        <v>Price Missing</v>
      </c>
      <c r="J379" s="19">
        <f t="shared" si="5"/>
        <v>0</v>
      </c>
    </row>
    <row r="380" spans="1:10" x14ac:dyDescent="0.35">
      <c r="A380" s="4" t="s">
        <v>4400</v>
      </c>
      <c r="B380" s="7" t="s">
        <v>689</v>
      </c>
      <c r="C380" s="7" t="s">
        <v>3260</v>
      </c>
      <c r="D380" s="5">
        <v>4</v>
      </c>
      <c r="E380" s="7" t="str">
        <f>_xlfn.XLOOKUP(B380,Customers!A380:A1379,Customers!B380:B1379,"Customer Not Found",0)</f>
        <v>Customer Not Found</v>
      </c>
      <c r="F380" s="7" t="str">
        <f>_xlfn.XLOOKUP(Orders!B380,Customers!A380:A1379,Customers!C380:C1379,"Country not Found",0)</f>
        <v>Country not Found</v>
      </c>
      <c r="G380" s="7" t="str">
        <f>_xlfn.XLOOKUP(C380,Products!A380:A879,Products!B380:B879,"Product Missing",0)</f>
        <v>Product Missing</v>
      </c>
      <c r="H380" s="7" t="str">
        <f>_xlfn.XLOOKUP(C380,Products!A380:A879,Products!C380:C879,"Category Missing",0)</f>
        <v>Category Missing</v>
      </c>
      <c r="I380" s="11" t="str">
        <f>_xlfn.XLOOKUP(Orders!C380,Products!A380:A879,Products!D380:D879,"Price Missing",0)</f>
        <v>Price Missing</v>
      </c>
      <c r="J380" s="19">
        <f t="shared" si="5"/>
        <v>0</v>
      </c>
    </row>
    <row r="381" spans="1:10" x14ac:dyDescent="0.35">
      <c r="A381" s="4" t="s">
        <v>4401</v>
      </c>
      <c r="B381" s="7" t="s">
        <v>1163</v>
      </c>
      <c r="C381" s="7" t="s">
        <v>3836</v>
      </c>
      <c r="D381" s="5">
        <v>8</v>
      </c>
      <c r="E381" s="7" t="str">
        <f>_xlfn.XLOOKUP(B381,Customers!A381:A1380,Customers!B381:B1380,"Customer Not Found",0)</f>
        <v>Customer_385</v>
      </c>
      <c r="F381" s="7" t="str">
        <f>_xlfn.XLOOKUP(Orders!B381,Customers!A381:A1380,Customers!C381:C1380,"Country not Found",0)</f>
        <v>USA</v>
      </c>
      <c r="G381" s="7" t="str">
        <f>_xlfn.XLOOKUP(C381,Products!A381:A880,Products!B381:B880,"Product Missing",0)</f>
        <v>Product_409</v>
      </c>
      <c r="H381" s="7" t="str">
        <f>_xlfn.XLOOKUP(C381,Products!A381:A880,Products!C381:C880,"Category Missing",0)</f>
        <v>Home</v>
      </c>
      <c r="I381" s="11">
        <f>_xlfn.XLOOKUP(Orders!C381,Products!A381:A880,Products!D381:D880,"Price Missing",0)</f>
        <v>46.55</v>
      </c>
      <c r="J381" s="19">
        <f t="shared" si="5"/>
        <v>372.4</v>
      </c>
    </row>
    <row r="382" spans="1:10" x14ac:dyDescent="0.35">
      <c r="A382" s="4" t="s">
        <v>4402</v>
      </c>
      <c r="B382" s="7" t="s">
        <v>2966</v>
      </c>
      <c r="C382" s="7" t="s">
        <v>3752</v>
      </c>
      <c r="D382" s="5">
        <v>7</v>
      </c>
      <c r="E382" s="7" t="str">
        <f>_xlfn.XLOOKUP(B382,Customers!A382:A1381,Customers!B382:B1381,"Customer Not Found",0)</f>
        <v>Customer_986</v>
      </c>
      <c r="F382" s="7" t="str">
        <f>_xlfn.XLOOKUP(Orders!B382,Customers!A382:A1381,Customers!C382:C1381,"Country not Found",0)</f>
        <v>Kenya</v>
      </c>
      <c r="G382" s="7" t="str">
        <f>_xlfn.XLOOKUP(C382,Products!A382:A881,Products!B382:B881,"Product Missing",0)</f>
        <v>Product Missing</v>
      </c>
      <c r="H382" s="7" t="str">
        <f>_xlfn.XLOOKUP(C382,Products!A382:A881,Products!C382:C881,"Category Missing",0)</f>
        <v>Category Missing</v>
      </c>
      <c r="I382" s="11" t="str">
        <f>_xlfn.XLOOKUP(Orders!C382,Products!A382:A881,Products!D382:D881,"Price Missing",0)</f>
        <v>Price Missing</v>
      </c>
      <c r="J382" s="19">
        <f t="shared" si="5"/>
        <v>0</v>
      </c>
    </row>
    <row r="383" spans="1:10" x14ac:dyDescent="0.35">
      <c r="A383" s="4" t="s">
        <v>4403</v>
      </c>
      <c r="B383" s="7" t="s">
        <v>1238</v>
      </c>
      <c r="C383" s="7" t="s">
        <v>3037</v>
      </c>
      <c r="D383" s="5">
        <v>3</v>
      </c>
      <c r="E383" s="7" t="str">
        <f>_xlfn.XLOOKUP(B383,Customers!A383:A1382,Customers!B383:B1382,"Customer Not Found",0)</f>
        <v>Customer_410</v>
      </c>
      <c r="F383" s="7" t="str">
        <f>_xlfn.XLOOKUP(Orders!B383,Customers!A383:A1382,Customers!C383:C1382,"Country not Found",0)</f>
        <v>UK</v>
      </c>
      <c r="G383" s="7" t="str">
        <f>_xlfn.XLOOKUP(C383,Products!A383:A882,Products!B383:B882,"Product Missing",0)</f>
        <v>Product Missing</v>
      </c>
      <c r="H383" s="7" t="str">
        <f>_xlfn.XLOOKUP(C383,Products!A383:A882,Products!C383:C882,"Category Missing",0)</f>
        <v>Category Missing</v>
      </c>
      <c r="I383" s="11" t="str">
        <f>_xlfn.XLOOKUP(Orders!C383,Products!A383:A882,Products!D383:D882,"Price Missing",0)</f>
        <v>Price Missing</v>
      </c>
      <c r="J383" s="19">
        <f t="shared" si="5"/>
        <v>0</v>
      </c>
    </row>
    <row r="384" spans="1:10" x14ac:dyDescent="0.35">
      <c r="A384" s="4" t="s">
        <v>4404</v>
      </c>
      <c r="B384" s="7" t="s">
        <v>2330</v>
      </c>
      <c r="C384" s="7" t="s">
        <v>3021</v>
      </c>
      <c r="D384" s="5">
        <v>4</v>
      </c>
      <c r="E384" s="7" t="str">
        <f>_xlfn.XLOOKUP(B384,Customers!A384:A1383,Customers!B384:B1383,"Customer Not Found",0)</f>
        <v>Customer_774</v>
      </c>
      <c r="F384" s="7" t="str">
        <f>_xlfn.XLOOKUP(Orders!B384,Customers!A384:A1383,Customers!C384:C1383,"Country not Found",0)</f>
        <v>Kenya</v>
      </c>
      <c r="G384" s="7" t="str">
        <f>_xlfn.XLOOKUP(C384,Products!A384:A883,Products!B384:B883,"Product Missing",0)</f>
        <v>Product Missing</v>
      </c>
      <c r="H384" s="7" t="str">
        <f>_xlfn.XLOOKUP(C384,Products!A384:A883,Products!C384:C883,"Category Missing",0)</f>
        <v>Category Missing</v>
      </c>
      <c r="I384" s="11" t="str">
        <f>_xlfn.XLOOKUP(Orders!C384,Products!A384:A883,Products!D384:D883,"Price Missing",0)</f>
        <v>Price Missing</v>
      </c>
      <c r="J384" s="19">
        <f t="shared" si="5"/>
        <v>0</v>
      </c>
    </row>
    <row r="385" spans="1:10" x14ac:dyDescent="0.35">
      <c r="A385" s="4" t="s">
        <v>4405</v>
      </c>
      <c r="B385" s="7" t="s">
        <v>2288</v>
      </c>
      <c r="C385" s="7" t="s">
        <v>3990</v>
      </c>
      <c r="D385" s="5">
        <v>1</v>
      </c>
      <c r="E385" s="7" t="str">
        <f>_xlfn.XLOOKUP(B385,Customers!A385:A1384,Customers!B385:B1384,"Customer Not Found",0)</f>
        <v>Customer_760</v>
      </c>
      <c r="F385" s="7" t="str">
        <f>_xlfn.XLOOKUP(Orders!B385,Customers!A385:A1384,Customers!C385:C1384,"Country not Found",0)</f>
        <v>Ghana</v>
      </c>
      <c r="G385" s="7" t="str">
        <f>_xlfn.XLOOKUP(C385,Products!A385:A884,Products!B385:B884,"Product Missing",0)</f>
        <v>Product_486</v>
      </c>
      <c r="H385" s="7" t="str">
        <f>_xlfn.XLOOKUP(C385,Products!A385:A884,Products!C385:C884,"Category Missing",0)</f>
        <v>Sports</v>
      </c>
      <c r="I385" s="11">
        <f>_xlfn.XLOOKUP(Orders!C385,Products!A385:A884,Products!D385:D884,"Price Missing",0)</f>
        <v>368.74</v>
      </c>
      <c r="J385" s="19">
        <f t="shared" si="5"/>
        <v>368.74</v>
      </c>
    </row>
    <row r="386" spans="1:10" x14ac:dyDescent="0.35">
      <c r="A386" s="4" t="s">
        <v>4406</v>
      </c>
      <c r="B386" s="7" t="s">
        <v>19</v>
      </c>
      <c r="C386" s="7" t="s">
        <v>3732</v>
      </c>
      <c r="D386" s="5">
        <v>4</v>
      </c>
      <c r="E386" s="7" t="str">
        <f>_xlfn.XLOOKUP(B386,Customers!A386:A1385,Customers!B386:B1385,"Customer Not Found",0)</f>
        <v>Customer Not Found</v>
      </c>
      <c r="F386" s="7" t="str">
        <f>_xlfn.XLOOKUP(Orders!B386,Customers!A386:A1385,Customers!C386:C1385,"Country not Found",0)</f>
        <v>Country not Found</v>
      </c>
      <c r="G386" s="7" t="str">
        <f>_xlfn.XLOOKUP(C386,Products!A386:A885,Products!B386:B885,"Product Missing",0)</f>
        <v>Product Missing</v>
      </c>
      <c r="H386" s="7" t="str">
        <f>_xlfn.XLOOKUP(C386,Products!A386:A885,Products!C386:C885,"Category Missing",0)</f>
        <v>Category Missing</v>
      </c>
      <c r="I386" s="11" t="str">
        <f>_xlfn.XLOOKUP(Orders!C386,Products!A386:A885,Products!D386:D885,"Price Missing",0)</f>
        <v>Price Missing</v>
      </c>
      <c r="J386" s="19">
        <f t="shared" si="5"/>
        <v>0</v>
      </c>
    </row>
    <row r="387" spans="1:10" x14ac:dyDescent="0.35">
      <c r="A387" s="4" t="s">
        <v>4407</v>
      </c>
      <c r="B387" s="7" t="s">
        <v>1343</v>
      </c>
      <c r="C387" s="7" t="s">
        <v>3062</v>
      </c>
      <c r="D387" s="5">
        <v>7</v>
      </c>
      <c r="E387" s="7" t="str">
        <f>_xlfn.XLOOKUP(B387,Customers!A387:A1386,Customers!B387:B1386,"Customer Not Found",0)</f>
        <v>Customer_445</v>
      </c>
      <c r="F387" s="7" t="str">
        <f>_xlfn.XLOOKUP(Orders!B387,Customers!A387:A1386,Customers!C387:C1386,"Country not Found",0)</f>
        <v>Canada</v>
      </c>
      <c r="G387" s="7" t="str">
        <f>_xlfn.XLOOKUP(C387,Products!A387:A886,Products!B387:B886,"Product Missing",0)</f>
        <v>Product Missing</v>
      </c>
      <c r="H387" s="7" t="str">
        <f>_xlfn.XLOOKUP(C387,Products!A387:A886,Products!C387:C886,"Category Missing",0)</f>
        <v>Category Missing</v>
      </c>
      <c r="I387" s="11" t="str">
        <f>_xlfn.XLOOKUP(Orders!C387,Products!A387:A886,Products!D387:D886,"Price Missing",0)</f>
        <v>Price Missing</v>
      </c>
      <c r="J387" s="19">
        <f t="shared" ref="J387:J450" si="6">IFERROR(I387*D387,0)</f>
        <v>0</v>
      </c>
    </row>
    <row r="388" spans="1:10" x14ac:dyDescent="0.35">
      <c r="A388" s="4" t="s">
        <v>4408</v>
      </c>
      <c r="B388" s="7" t="s">
        <v>908</v>
      </c>
      <c r="C388" s="7" t="s">
        <v>3702</v>
      </c>
      <c r="D388" s="5">
        <v>6</v>
      </c>
      <c r="E388" s="7" t="str">
        <f>_xlfn.XLOOKUP(B388,Customers!A388:A1387,Customers!B388:B1387,"Customer Not Found",0)</f>
        <v>Customer Not Found</v>
      </c>
      <c r="F388" s="7" t="str">
        <f>_xlfn.XLOOKUP(Orders!B388,Customers!A388:A1387,Customers!C388:C1387,"Country not Found",0)</f>
        <v>Country not Found</v>
      </c>
      <c r="G388" s="7" t="str">
        <f>_xlfn.XLOOKUP(C388,Products!A388:A887,Products!B388:B887,"Product Missing",0)</f>
        <v>Product Missing</v>
      </c>
      <c r="H388" s="7" t="str">
        <f>_xlfn.XLOOKUP(C388,Products!A388:A887,Products!C388:C887,"Category Missing",0)</f>
        <v>Category Missing</v>
      </c>
      <c r="I388" s="11" t="str">
        <f>_xlfn.XLOOKUP(Orders!C388,Products!A388:A887,Products!D388:D887,"Price Missing",0)</f>
        <v>Price Missing</v>
      </c>
      <c r="J388" s="19">
        <f t="shared" si="6"/>
        <v>0</v>
      </c>
    </row>
    <row r="389" spans="1:10" x14ac:dyDescent="0.35">
      <c r="A389" s="4" t="s">
        <v>4409</v>
      </c>
      <c r="B389" s="7" t="s">
        <v>2768</v>
      </c>
      <c r="C389" s="7" t="s">
        <v>3508</v>
      </c>
      <c r="D389" s="5">
        <v>10</v>
      </c>
      <c r="E389" s="7" t="str">
        <f>_xlfn.XLOOKUP(B389,Customers!A389:A1388,Customers!B389:B1388,"Customer Not Found",0)</f>
        <v>Customer_920</v>
      </c>
      <c r="F389" s="7" t="str">
        <f>_xlfn.XLOOKUP(Orders!B389,Customers!A389:A1388,Customers!C389:C1388,"Country not Found",0)</f>
        <v>Ghana</v>
      </c>
      <c r="G389" s="7" t="str">
        <f>_xlfn.XLOOKUP(C389,Products!A389:A888,Products!B389:B888,"Product Missing",0)</f>
        <v>Product Missing</v>
      </c>
      <c r="H389" s="7" t="str">
        <f>_xlfn.XLOOKUP(C389,Products!A389:A888,Products!C389:C888,"Category Missing",0)</f>
        <v>Category Missing</v>
      </c>
      <c r="I389" s="11" t="str">
        <f>_xlfn.XLOOKUP(Orders!C389,Products!A389:A888,Products!D389:D888,"Price Missing",0)</f>
        <v>Price Missing</v>
      </c>
      <c r="J389" s="19">
        <f t="shared" si="6"/>
        <v>0</v>
      </c>
    </row>
    <row r="390" spans="1:10" x14ac:dyDescent="0.35">
      <c r="A390" s="4" t="s">
        <v>4410</v>
      </c>
      <c r="B390" s="7" t="s">
        <v>527</v>
      </c>
      <c r="C390" s="7" t="s">
        <v>3684</v>
      </c>
      <c r="D390" s="5">
        <v>7</v>
      </c>
      <c r="E390" s="7" t="str">
        <f>_xlfn.XLOOKUP(B390,Customers!A390:A1389,Customers!B390:B1389,"Customer Not Found",0)</f>
        <v>Customer Not Found</v>
      </c>
      <c r="F390" s="7" t="str">
        <f>_xlfn.XLOOKUP(Orders!B390,Customers!A390:A1389,Customers!C390:C1389,"Country not Found",0)</f>
        <v>Country not Found</v>
      </c>
      <c r="G390" s="7" t="str">
        <f>_xlfn.XLOOKUP(C390,Products!A390:A889,Products!B390:B889,"Product Missing",0)</f>
        <v>Product Missing</v>
      </c>
      <c r="H390" s="7" t="str">
        <f>_xlfn.XLOOKUP(C390,Products!A390:A889,Products!C390:C889,"Category Missing",0)</f>
        <v>Category Missing</v>
      </c>
      <c r="I390" s="11" t="str">
        <f>_xlfn.XLOOKUP(Orders!C390,Products!A390:A889,Products!D390:D889,"Price Missing",0)</f>
        <v>Price Missing</v>
      </c>
      <c r="J390" s="19">
        <f t="shared" si="6"/>
        <v>0</v>
      </c>
    </row>
    <row r="391" spans="1:10" x14ac:dyDescent="0.35">
      <c r="A391" s="4" t="s">
        <v>4411</v>
      </c>
      <c r="B391" s="7" t="s">
        <v>1334</v>
      </c>
      <c r="C391" s="7" t="s">
        <v>3474</v>
      </c>
      <c r="D391" s="5">
        <v>2</v>
      </c>
      <c r="E391" s="7" t="str">
        <f>_xlfn.XLOOKUP(B391,Customers!A391:A1390,Customers!B391:B1390,"Customer Not Found",0)</f>
        <v>Customer_442</v>
      </c>
      <c r="F391" s="7" t="str">
        <f>_xlfn.XLOOKUP(Orders!B391,Customers!A391:A1390,Customers!C391:C1390,"Country not Found",0)</f>
        <v>UK</v>
      </c>
      <c r="G391" s="7" t="str">
        <f>_xlfn.XLOOKUP(C391,Products!A391:A890,Products!B391:B890,"Product Missing",0)</f>
        <v>Product Missing</v>
      </c>
      <c r="H391" s="7" t="str">
        <f>_xlfn.XLOOKUP(C391,Products!A391:A890,Products!C391:C890,"Category Missing",0)</f>
        <v>Category Missing</v>
      </c>
      <c r="I391" s="11" t="str">
        <f>_xlfn.XLOOKUP(Orders!C391,Products!A391:A890,Products!D391:D890,"Price Missing",0)</f>
        <v>Price Missing</v>
      </c>
      <c r="J391" s="19">
        <f t="shared" si="6"/>
        <v>0</v>
      </c>
    </row>
    <row r="392" spans="1:10" x14ac:dyDescent="0.35">
      <c r="A392" s="4" t="s">
        <v>4412</v>
      </c>
      <c r="B392" s="7" t="s">
        <v>173</v>
      </c>
      <c r="C392" s="7" t="s">
        <v>3750</v>
      </c>
      <c r="D392" s="5">
        <v>6</v>
      </c>
      <c r="E392" s="7" t="str">
        <f>_xlfn.XLOOKUP(B392,Customers!A392:A1391,Customers!B392:B1391,"Customer Not Found",0)</f>
        <v>Customer Not Found</v>
      </c>
      <c r="F392" s="7" t="str">
        <f>_xlfn.XLOOKUP(Orders!B392,Customers!A392:A1391,Customers!C392:C1391,"Country not Found",0)</f>
        <v>Country not Found</v>
      </c>
      <c r="G392" s="7" t="str">
        <f>_xlfn.XLOOKUP(C392,Products!A392:A891,Products!B392:B891,"Product Missing",0)</f>
        <v>Product Missing</v>
      </c>
      <c r="H392" s="7" t="str">
        <f>_xlfn.XLOOKUP(C392,Products!A392:A891,Products!C392:C891,"Category Missing",0)</f>
        <v>Category Missing</v>
      </c>
      <c r="I392" s="11" t="str">
        <f>_xlfn.XLOOKUP(Orders!C392,Products!A392:A891,Products!D392:D891,"Price Missing",0)</f>
        <v>Price Missing</v>
      </c>
      <c r="J392" s="19">
        <f t="shared" si="6"/>
        <v>0</v>
      </c>
    </row>
    <row r="393" spans="1:10" x14ac:dyDescent="0.35">
      <c r="A393" s="4" t="s">
        <v>4413</v>
      </c>
      <c r="B393" s="7" t="s">
        <v>2321</v>
      </c>
      <c r="C393" s="7" t="s">
        <v>3422</v>
      </c>
      <c r="D393" s="5">
        <v>10</v>
      </c>
      <c r="E393" s="7" t="str">
        <f>_xlfn.XLOOKUP(B393,Customers!A393:A1392,Customers!B393:B1392,"Customer Not Found",0)</f>
        <v>Customer_771</v>
      </c>
      <c r="F393" s="7" t="str">
        <f>_xlfn.XLOOKUP(Orders!B393,Customers!A393:A1392,Customers!C393:C1392,"Country not Found",0)</f>
        <v>Canada</v>
      </c>
      <c r="G393" s="7" t="str">
        <f>_xlfn.XLOOKUP(C393,Products!A393:A892,Products!B393:B892,"Product Missing",0)</f>
        <v>Product Missing</v>
      </c>
      <c r="H393" s="7" t="str">
        <f>_xlfn.XLOOKUP(C393,Products!A393:A892,Products!C393:C892,"Category Missing",0)</f>
        <v>Category Missing</v>
      </c>
      <c r="I393" s="11" t="str">
        <f>_xlfn.XLOOKUP(Orders!C393,Products!A393:A892,Products!D393:D892,"Price Missing",0)</f>
        <v>Price Missing</v>
      </c>
      <c r="J393" s="19">
        <f t="shared" si="6"/>
        <v>0</v>
      </c>
    </row>
    <row r="394" spans="1:10" x14ac:dyDescent="0.35">
      <c r="A394" s="4" t="s">
        <v>4414</v>
      </c>
      <c r="B394" s="7" t="s">
        <v>782</v>
      </c>
      <c r="C394" s="7" t="s">
        <v>3174</v>
      </c>
      <c r="D394" s="5">
        <v>8</v>
      </c>
      <c r="E394" s="7" t="str">
        <f>_xlfn.XLOOKUP(B394,Customers!A394:A1393,Customers!B394:B1393,"Customer Not Found",0)</f>
        <v>Customer Not Found</v>
      </c>
      <c r="F394" s="7" t="str">
        <f>_xlfn.XLOOKUP(Orders!B394,Customers!A394:A1393,Customers!C394:C1393,"Country not Found",0)</f>
        <v>Country not Found</v>
      </c>
      <c r="G394" s="7" t="str">
        <f>_xlfn.XLOOKUP(C394,Products!A394:A893,Products!B394:B893,"Product Missing",0)</f>
        <v>Product Missing</v>
      </c>
      <c r="H394" s="7" t="str">
        <f>_xlfn.XLOOKUP(C394,Products!A394:A893,Products!C394:C893,"Category Missing",0)</f>
        <v>Category Missing</v>
      </c>
      <c r="I394" s="11" t="str">
        <f>_xlfn.XLOOKUP(Orders!C394,Products!A394:A893,Products!D394:D893,"Price Missing",0)</f>
        <v>Price Missing</v>
      </c>
      <c r="J394" s="19">
        <f t="shared" si="6"/>
        <v>0</v>
      </c>
    </row>
    <row r="395" spans="1:10" x14ac:dyDescent="0.35">
      <c r="A395" s="4" t="s">
        <v>4415</v>
      </c>
      <c r="B395" s="7" t="s">
        <v>1409</v>
      </c>
      <c r="C395" s="7" t="s">
        <v>3804</v>
      </c>
      <c r="D395" s="5">
        <v>9</v>
      </c>
      <c r="E395" s="7" t="str">
        <f>_xlfn.XLOOKUP(B395,Customers!A395:A1394,Customers!B395:B1394,"Customer Not Found",0)</f>
        <v>Customer_467</v>
      </c>
      <c r="F395" s="7" t="str">
        <f>_xlfn.XLOOKUP(Orders!B395,Customers!A395:A1394,Customers!C395:C1394,"Country not Found",0)</f>
        <v>Ghana</v>
      </c>
      <c r="G395" s="7" t="str">
        <f>_xlfn.XLOOKUP(C395,Products!A395:A894,Products!B395:B894,"Product Missing",0)</f>
        <v>Product Missing</v>
      </c>
      <c r="H395" s="7" t="str">
        <f>_xlfn.XLOOKUP(C395,Products!A395:A894,Products!C395:C894,"Category Missing",0)</f>
        <v>Category Missing</v>
      </c>
      <c r="I395" s="11" t="str">
        <f>_xlfn.XLOOKUP(Orders!C395,Products!A395:A894,Products!D395:D894,"Price Missing",0)</f>
        <v>Price Missing</v>
      </c>
      <c r="J395" s="19">
        <f t="shared" si="6"/>
        <v>0</v>
      </c>
    </row>
    <row r="396" spans="1:10" x14ac:dyDescent="0.35">
      <c r="A396" s="4" t="s">
        <v>4416</v>
      </c>
      <c r="B396" s="7" t="s">
        <v>1442</v>
      </c>
      <c r="C396" s="7" t="s">
        <v>3080</v>
      </c>
      <c r="D396" s="5">
        <v>3</v>
      </c>
      <c r="E396" s="7" t="str">
        <f>_xlfn.XLOOKUP(B396,Customers!A396:A1395,Customers!B396:B1395,"Customer Not Found",0)</f>
        <v>Customer_478</v>
      </c>
      <c r="F396" s="7" t="str">
        <f>_xlfn.XLOOKUP(Orders!B396,Customers!A396:A1395,Customers!C396:C1395,"Country not Found",0)</f>
        <v>Ghana</v>
      </c>
      <c r="G396" s="7" t="str">
        <f>_xlfn.XLOOKUP(C396,Products!A396:A895,Products!B396:B895,"Product Missing",0)</f>
        <v>Product Missing</v>
      </c>
      <c r="H396" s="7" t="str">
        <f>_xlfn.XLOOKUP(C396,Products!A396:A895,Products!C396:C895,"Category Missing",0)</f>
        <v>Category Missing</v>
      </c>
      <c r="I396" s="11" t="str">
        <f>_xlfn.XLOOKUP(Orders!C396,Products!A396:A895,Products!D396:D895,"Price Missing",0)</f>
        <v>Price Missing</v>
      </c>
      <c r="J396" s="19">
        <f t="shared" si="6"/>
        <v>0</v>
      </c>
    </row>
    <row r="397" spans="1:10" x14ac:dyDescent="0.35">
      <c r="A397" s="4" t="s">
        <v>4417</v>
      </c>
      <c r="B397" s="7" t="s">
        <v>2450</v>
      </c>
      <c r="C397" s="7" t="s">
        <v>3090</v>
      </c>
      <c r="D397" s="5">
        <v>6</v>
      </c>
      <c r="E397" s="7" t="str">
        <f>_xlfn.XLOOKUP(B397,Customers!A397:A1396,Customers!B397:B1396,"Customer Not Found",0)</f>
        <v>Customer_814</v>
      </c>
      <c r="F397" s="7" t="str">
        <f>_xlfn.XLOOKUP(Orders!B397,Customers!A397:A1396,Customers!C397:C1396,"Country not Found",0)</f>
        <v>Ghana</v>
      </c>
      <c r="G397" s="7" t="str">
        <f>_xlfn.XLOOKUP(C397,Products!A397:A896,Products!B397:B896,"Product Missing",0)</f>
        <v>Product Missing</v>
      </c>
      <c r="H397" s="7" t="str">
        <f>_xlfn.XLOOKUP(C397,Products!A397:A896,Products!C397:C896,"Category Missing",0)</f>
        <v>Category Missing</v>
      </c>
      <c r="I397" s="11" t="str">
        <f>_xlfn.XLOOKUP(Orders!C397,Products!A397:A896,Products!D397:D896,"Price Missing",0)</f>
        <v>Price Missing</v>
      </c>
      <c r="J397" s="19">
        <f t="shared" si="6"/>
        <v>0</v>
      </c>
    </row>
    <row r="398" spans="1:10" x14ac:dyDescent="0.35">
      <c r="A398" s="4" t="s">
        <v>4418</v>
      </c>
      <c r="B398" s="7" t="s">
        <v>2015</v>
      </c>
      <c r="C398" s="7" t="s">
        <v>3774</v>
      </c>
      <c r="D398" s="5">
        <v>2</v>
      </c>
      <c r="E398" s="7" t="str">
        <f>_xlfn.XLOOKUP(B398,Customers!A398:A1397,Customers!B398:B1397,"Customer Not Found",0)</f>
        <v>Customer_669</v>
      </c>
      <c r="F398" s="7" t="str">
        <f>_xlfn.XLOOKUP(Orders!B398,Customers!A398:A1397,Customers!C398:C1397,"Country not Found",0)</f>
        <v>Canada</v>
      </c>
      <c r="G398" s="7" t="str">
        <f>_xlfn.XLOOKUP(C398,Products!A398:A897,Products!B398:B897,"Product Missing",0)</f>
        <v>Product Missing</v>
      </c>
      <c r="H398" s="7" t="str">
        <f>_xlfn.XLOOKUP(C398,Products!A398:A897,Products!C398:C897,"Category Missing",0)</f>
        <v>Category Missing</v>
      </c>
      <c r="I398" s="11" t="str">
        <f>_xlfn.XLOOKUP(Orders!C398,Products!A398:A897,Products!D398:D897,"Price Missing",0)</f>
        <v>Price Missing</v>
      </c>
      <c r="J398" s="19">
        <f t="shared" si="6"/>
        <v>0</v>
      </c>
    </row>
    <row r="399" spans="1:10" x14ac:dyDescent="0.35">
      <c r="A399" s="4" t="s">
        <v>4419</v>
      </c>
      <c r="B399" s="7" t="s">
        <v>2069</v>
      </c>
      <c r="C399" s="7" t="s">
        <v>3926</v>
      </c>
      <c r="D399" s="5">
        <v>4</v>
      </c>
      <c r="E399" s="7" t="str">
        <f>_xlfn.XLOOKUP(B399,Customers!A399:A1398,Customers!B399:B1398,"Customer Not Found",0)</f>
        <v>Customer_687</v>
      </c>
      <c r="F399" s="7" t="str">
        <f>_xlfn.XLOOKUP(Orders!B399,Customers!A399:A1398,Customers!C399:C1398,"Country not Found",0)</f>
        <v>South Africa</v>
      </c>
      <c r="G399" s="7" t="str">
        <f>_xlfn.XLOOKUP(C399,Products!A399:A898,Products!B399:B898,"Product Missing",0)</f>
        <v>Product_454</v>
      </c>
      <c r="H399" s="7" t="str">
        <f>_xlfn.XLOOKUP(C399,Products!A399:A898,Products!C399:C898,"Category Missing",0)</f>
        <v>Home</v>
      </c>
      <c r="I399" s="11">
        <f>_xlfn.XLOOKUP(Orders!C399,Products!A399:A898,Products!D399:D898,"Price Missing",0)</f>
        <v>288.83999999999997</v>
      </c>
      <c r="J399" s="19">
        <f t="shared" si="6"/>
        <v>1155.3599999999999</v>
      </c>
    </row>
    <row r="400" spans="1:10" x14ac:dyDescent="0.35">
      <c r="A400" s="4" t="s">
        <v>4420</v>
      </c>
      <c r="B400" s="7" t="s">
        <v>2168</v>
      </c>
      <c r="C400" s="7" t="s">
        <v>3312</v>
      </c>
      <c r="D400" s="5">
        <v>3</v>
      </c>
      <c r="E400" s="7" t="str">
        <f>_xlfn.XLOOKUP(B400,Customers!A400:A1399,Customers!B400:B1399,"Customer Not Found",0)</f>
        <v>Customer_720</v>
      </c>
      <c r="F400" s="7" t="str">
        <f>_xlfn.XLOOKUP(Orders!B400,Customers!A400:A1399,Customers!C400:C1399,"Country not Found",0)</f>
        <v>Kenya</v>
      </c>
      <c r="G400" s="7" t="str">
        <f>_xlfn.XLOOKUP(C400,Products!A400:A899,Products!B400:B899,"Product Missing",0)</f>
        <v>Product Missing</v>
      </c>
      <c r="H400" s="7" t="str">
        <f>_xlfn.XLOOKUP(C400,Products!A400:A899,Products!C400:C899,"Category Missing",0)</f>
        <v>Category Missing</v>
      </c>
      <c r="I400" s="11" t="str">
        <f>_xlfn.XLOOKUP(Orders!C400,Products!A400:A899,Products!D400:D899,"Price Missing",0)</f>
        <v>Price Missing</v>
      </c>
      <c r="J400" s="19">
        <f t="shared" si="6"/>
        <v>0</v>
      </c>
    </row>
    <row r="401" spans="1:10" x14ac:dyDescent="0.35">
      <c r="A401" s="4" t="s">
        <v>4421</v>
      </c>
      <c r="B401" s="7" t="s">
        <v>2297</v>
      </c>
      <c r="C401" s="7" t="s">
        <v>3126</v>
      </c>
      <c r="D401" s="5">
        <v>1</v>
      </c>
      <c r="E401" s="7" t="str">
        <f>_xlfn.XLOOKUP(B401,Customers!A401:A1400,Customers!B401:B1400,"Customer Not Found",0)</f>
        <v>Customer_763</v>
      </c>
      <c r="F401" s="7" t="str">
        <f>_xlfn.XLOOKUP(Orders!B401,Customers!A401:A1400,Customers!C401:C1400,"Country not Found",0)</f>
        <v>Nigeria</v>
      </c>
      <c r="G401" s="7" t="str">
        <f>_xlfn.XLOOKUP(C401,Products!A401:A900,Products!B401:B900,"Product Missing",0)</f>
        <v>Product Missing</v>
      </c>
      <c r="H401" s="7" t="str">
        <f>_xlfn.XLOOKUP(C401,Products!A401:A900,Products!C401:C900,"Category Missing",0)</f>
        <v>Category Missing</v>
      </c>
      <c r="I401" s="11" t="str">
        <f>_xlfn.XLOOKUP(Orders!C401,Products!A401:A900,Products!D401:D900,"Price Missing",0)</f>
        <v>Price Missing</v>
      </c>
      <c r="J401" s="19">
        <f t="shared" si="6"/>
        <v>0</v>
      </c>
    </row>
    <row r="402" spans="1:10" x14ac:dyDescent="0.35">
      <c r="A402" s="4" t="s">
        <v>4422</v>
      </c>
      <c r="B402" s="7" t="s">
        <v>1127</v>
      </c>
      <c r="C402" s="7" t="s">
        <v>3602</v>
      </c>
      <c r="D402" s="5">
        <v>8</v>
      </c>
      <c r="E402" s="7" t="str">
        <f>_xlfn.XLOOKUP(B402,Customers!A402:A1401,Customers!B402:B1401,"Customer Not Found",0)</f>
        <v>Customer Not Found</v>
      </c>
      <c r="F402" s="7" t="str">
        <f>_xlfn.XLOOKUP(Orders!B402,Customers!A402:A1401,Customers!C402:C1401,"Country not Found",0)</f>
        <v>Country not Found</v>
      </c>
      <c r="G402" s="7" t="str">
        <f>_xlfn.XLOOKUP(C402,Products!A402:A901,Products!B402:B901,"Product Missing",0)</f>
        <v>Product Missing</v>
      </c>
      <c r="H402" s="7" t="str">
        <f>_xlfn.XLOOKUP(C402,Products!A402:A901,Products!C402:C901,"Category Missing",0)</f>
        <v>Category Missing</v>
      </c>
      <c r="I402" s="11" t="str">
        <f>_xlfn.XLOOKUP(Orders!C402,Products!A402:A901,Products!D402:D901,"Price Missing",0)</f>
        <v>Price Missing</v>
      </c>
      <c r="J402" s="19">
        <f t="shared" si="6"/>
        <v>0</v>
      </c>
    </row>
    <row r="403" spans="1:10" x14ac:dyDescent="0.35">
      <c r="A403" s="4" t="s">
        <v>4423</v>
      </c>
      <c r="B403" s="7" t="s">
        <v>848</v>
      </c>
      <c r="C403" s="7" t="s">
        <v>3328</v>
      </c>
      <c r="D403" s="5">
        <v>3</v>
      </c>
      <c r="E403" s="7" t="str">
        <f>_xlfn.XLOOKUP(B403,Customers!A403:A1402,Customers!B403:B1402,"Customer Not Found",0)</f>
        <v>Customer Not Found</v>
      </c>
      <c r="F403" s="7" t="str">
        <f>_xlfn.XLOOKUP(Orders!B403,Customers!A403:A1402,Customers!C403:C1402,"Country not Found",0)</f>
        <v>Country not Found</v>
      </c>
      <c r="G403" s="7" t="str">
        <f>_xlfn.XLOOKUP(C403,Products!A403:A902,Products!B403:B902,"Product Missing",0)</f>
        <v>Product Missing</v>
      </c>
      <c r="H403" s="7" t="str">
        <f>_xlfn.XLOOKUP(C403,Products!A403:A902,Products!C403:C902,"Category Missing",0)</f>
        <v>Category Missing</v>
      </c>
      <c r="I403" s="11" t="str">
        <f>_xlfn.XLOOKUP(Orders!C403,Products!A403:A902,Products!D403:D902,"Price Missing",0)</f>
        <v>Price Missing</v>
      </c>
      <c r="J403" s="19">
        <f t="shared" si="6"/>
        <v>0</v>
      </c>
    </row>
    <row r="404" spans="1:10" x14ac:dyDescent="0.35">
      <c r="A404" s="4" t="s">
        <v>4424</v>
      </c>
      <c r="B404" s="7" t="s">
        <v>2294</v>
      </c>
      <c r="C404" s="7" t="s">
        <v>3202</v>
      </c>
      <c r="D404" s="5">
        <v>10</v>
      </c>
      <c r="E404" s="7" t="str">
        <f>_xlfn.XLOOKUP(B404,Customers!A404:A1403,Customers!B404:B1403,"Customer Not Found",0)</f>
        <v>Customer_762</v>
      </c>
      <c r="F404" s="7" t="str">
        <f>_xlfn.XLOOKUP(Orders!B404,Customers!A404:A1403,Customers!C404:C1403,"Country not Found",0)</f>
        <v>Nigeria</v>
      </c>
      <c r="G404" s="7" t="str">
        <f>_xlfn.XLOOKUP(C404,Products!A404:A903,Products!B404:B903,"Product Missing",0)</f>
        <v>Product Missing</v>
      </c>
      <c r="H404" s="7" t="str">
        <f>_xlfn.XLOOKUP(C404,Products!A404:A903,Products!C404:C903,"Category Missing",0)</f>
        <v>Category Missing</v>
      </c>
      <c r="I404" s="11" t="str">
        <f>_xlfn.XLOOKUP(Orders!C404,Products!A404:A903,Products!D404:D903,"Price Missing",0)</f>
        <v>Price Missing</v>
      </c>
      <c r="J404" s="19">
        <f t="shared" si="6"/>
        <v>0</v>
      </c>
    </row>
    <row r="405" spans="1:10" x14ac:dyDescent="0.35">
      <c r="A405" s="4" t="s">
        <v>4425</v>
      </c>
      <c r="B405" s="7" t="s">
        <v>128</v>
      </c>
      <c r="C405" s="7" t="s">
        <v>3136</v>
      </c>
      <c r="D405" s="5">
        <v>3</v>
      </c>
      <c r="E405" s="7" t="str">
        <f>_xlfn.XLOOKUP(B405,Customers!A405:A1404,Customers!B405:B1404,"Customer Not Found",0)</f>
        <v>Customer Not Found</v>
      </c>
      <c r="F405" s="7" t="str">
        <f>_xlfn.XLOOKUP(Orders!B405,Customers!A405:A1404,Customers!C405:C1404,"Country not Found",0)</f>
        <v>Country not Found</v>
      </c>
      <c r="G405" s="7" t="str">
        <f>_xlfn.XLOOKUP(C405,Products!A405:A904,Products!B405:B904,"Product Missing",0)</f>
        <v>Product Missing</v>
      </c>
      <c r="H405" s="7" t="str">
        <f>_xlfn.XLOOKUP(C405,Products!A405:A904,Products!C405:C904,"Category Missing",0)</f>
        <v>Category Missing</v>
      </c>
      <c r="I405" s="11" t="str">
        <f>_xlfn.XLOOKUP(Orders!C405,Products!A405:A904,Products!D405:D904,"Price Missing",0)</f>
        <v>Price Missing</v>
      </c>
      <c r="J405" s="19">
        <f t="shared" si="6"/>
        <v>0</v>
      </c>
    </row>
    <row r="406" spans="1:10" x14ac:dyDescent="0.35">
      <c r="A406" s="4" t="s">
        <v>4426</v>
      </c>
      <c r="B406" s="7" t="s">
        <v>473</v>
      </c>
      <c r="C406" s="7" t="s">
        <v>3414</v>
      </c>
      <c r="D406" s="5">
        <v>2</v>
      </c>
      <c r="E406" s="7" t="str">
        <f>_xlfn.XLOOKUP(B406,Customers!A406:A1405,Customers!B406:B1405,"Customer Not Found",0)</f>
        <v>Customer Not Found</v>
      </c>
      <c r="F406" s="7" t="str">
        <f>_xlfn.XLOOKUP(Orders!B406,Customers!A406:A1405,Customers!C406:C1405,"Country not Found",0)</f>
        <v>Country not Found</v>
      </c>
      <c r="G406" s="7" t="str">
        <f>_xlfn.XLOOKUP(C406,Products!A406:A905,Products!B406:B905,"Product Missing",0)</f>
        <v>Product Missing</v>
      </c>
      <c r="H406" s="7" t="str">
        <f>_xlfn.XLOOKUP(C406,Products!A406:A905,Products!C406:C905,"Category Missing",0)</f>
        <v>Category Missing</v>
      </c>
      <c r="I406" s="11" t="str">
        <f>_xlfn.XLOOKUP(Orders!C406,Products!A406:A905,Products!D406:D905,"Price Missing",0)</f>
        <v>Price Missing</v>
      </c>
      <c r="J406" s="19">
        <f t="shared" si="6"/>
        <v>0</v>
      </c>
    </row>
    <row r="407" spans="1:10" x14ac:dyDescent="0.35">
      <c r="A407" s="4" t="s">
        <v>4427</v>
      </c>
      <c r="B407" s="7" t="s">
        <v>2321</v>
      </c>
      <c r="C407" s="7" t="s">
        <v>3274</v>
      </c>
      <c r="D407" s="5">
        <v>1</v>
      </c>
      <c r="E407" s="7" t="str">
        <f>_xlfn.XLOOKUP(B407,Customers!A407:A1406,Customers!B407:B1406,"Customer Not Found",0)</f>
        <v>Customer_771</v>
      </c>
      <c r="F407" s="7" t="str">
        <f>_xlfn.XLOOKUP(Orders!B407,Customers!A407:A1406,Customers!C407:C1406,"Country not Found",0)</f>
        <v>Canada</v>
      </c>
      <c r="G407" s="7" t="str">
        <f>_xlfn.XLOOKUP(C407,Products!A407:A906,Products!B407:B906,"Product Missing",0)</f>
        <v>Product Missing</v>
      </c>
      <c r="H407" s="7" t="str">
        <f>_xlfn.XLOOKUP(C407,Products!A407:A906,Products!C407:C906,"Category Missing",0)</f>
        <v>Category Missing</v>
      </c>
      <c r="I407" s="11" t="str">
        <f>_xlfn.XLOOKUP(Orders!C407,Products!A407:A906,Products!D407:D906,"Price Missing",0)</f>
        <v>Price Missing</v>
      </c>
      <c r="J407" s="19">
        <f t="shared" si="6"/>
        <v>0</v>
      </c>
    </row>
    <row r="408" spans="1:10" x14ac:dyDescent="0.35">
      <c r="A408" s="4" t="s">
        <v>4428</v>
      </c>
      <c r="B408" s="7" t="s">
        <v>2210</v>
      </c>
      <c r="C408" s="7" t="s">
        <v>3552</v>
      </c>
      <c r="D408" s="5">
        <v>6</v>
      </c>
      <c r="E408" s="7" t="str">
        <f>_xlfn.XLOOKUP(B408,Customers!A408:A1407,Customers!B408:B1407,"Customer Not Found",0)</f>
        <v>Customer_734</v>
      </c>
      <c r="F408" s="7" t="str">
        <f>_xlfn.XLOOKUP(Orders!B408,Customers!A408:A1407,Customers!C408:C1407,"Country not Found",0)</f>
        <v>Nigeria</v>
      </c>
      <c r="G408" s="7" t="str">
        <f>_xlfn.XLOOKUP(C408,Products!A408:A907,Products!B408:B907,"Product Missing",0)</f>
        <v>Product Missing</v>
      </c>
      <c r="H408" s="7" t="str">
        <f>_xlfn.XLOOKUP(C408,Products!A408:A907,Products!C408:C907,"Category Missing",0)</f>
        <v>Category Missing</v>
      </c>
      <c r="I408" s="11" t="str">
        <f>_xlfn.XLOOKUP(Orders!C408,Products!A408:A907,Products!D408:D907,"Price Missing",0)</f>
        <v>Price Missing</v>
      </c>
      <c r="J408" s="19">
        <f t="shared" si="6"/>
        <v>0</v>
      </c>
    </row>
    <row r="409" spans="1:10" x14ac:dyDescent="0.35">
      <c r="A409" s="4" t="s">
        <v>4429</v>
      </c>
      <c r="B409" s="7" t="s">
        <v>1250</v>
      </c>
      <c r="C409" s="7" t="s">
        <v>3614</v>
      </c>
      <c r="D409" s="5">
        <v>6</v>
      </c>
      <c r="E409" s="7" t="str">
        <f>_xlfn.XLOOKUP(B409,Customers!A409:A1408,Customers!B409:B1408,"Customer Not Found",0)</f>
        <v>Customer_414</v>
      </c>
      <c r="F409" s="7" t="str">
        <f>_xlfn.XLOOKUP(Orders!B409,Customers!A409:A1408,Customers!C409:C1408,"Country not Found",0)</f>
        <v>Kenya</v>
      </c>
      <c r="G409" s="7" t="str">
        <f>_xlfn.XLOOKUP(C409,Products!A409:A908,Products!B409:B908,"Product Missing",0)</f>
        <v>Product Missing</v>
      </c>
      <c r="H409" s="7" t="str">
        <f>_xlfn.XLOOKUP(C409,Products!A409:A908,Products!C409:C908,"Category Missing",0)</f>
        <v>Category Missing</v>
      </c>
      <c r="I409" s="11" t="str">
        <f>_xlfn.XLOOKUP(Orders!C409,Products!A409:A908,Products!D409:D908,"Price Missing",0)</f>
        <v>Price Missing</v>
      </c>
      <c r="J409" s="19">
        <f t="shared" si="6"/>
        <v>0</v>
      </c>
    </row>
    <row r="410" spans="1:10" x14ac:dyDescent="0.35">
      <c r="A410" s="4" t="s">
        <v>4430</v>
      </c>
      <c r="B410" s="7" t="s">
        <v>2930</v>
      </c>
      <c r="C410" s="7" t="s">
        <v>3472</v>
      </c>
      <c r="D410" s="5">
        <v>10</v>
      </c>
      <c r="E410" s="7" t="str">
        <f>_xlfn.XLOOKUP(B410,Customers!A410:A1409,Customers!B410:B1409,"Customer Not Found",0)</f>
        <v>Customer_974</v>
      </c>
      <c r="F410" s="7" t="str">
        <f>_xlfn.XLOOKUP(Orders!B410,Customers!A410:A1409,Customers!C410:C1409,"Country not Found",0)</f>
        <v>USA</v>
      </c>
      <c r="G410" s="7" t="str">
        <f>_xlfn.XLOOKUP(C410,Products!A410:A909,Products!B410:B909,"Product Missing",0)</f>
        <v>Product Missing</v>
      </c>
      <c r="H410" s="7" t="str">
        <f>_xlfn.XLOOKUP(C410,Products!A410:A909,Products!C410:C909,"Category Missing",0)</f>
        <v>Category Missing</v>
      </c>
      <c r="I410" s="11" t="str">
        <f>_xlfn.XLOOKUP(Orders!C410,Products!A410:A909,Products!D410:D909,"Price Missing",0)</f>
        <v>Price Missing</v>
      </c>
      <c r="J410" s="19">
        <f t="shared" si="6"/>
        <v>0</v>
      </c>
    </row>
    <row r="411" spans="1:10" x14ac:dyDescent="0.35">
      <c r="A411" s="4" t="s">
        <v>4431</v>
      </c>
      <c r="B411" s="7" t="s">
        <v>2333</v>
      </c>
      <c r="C411" s="7" t="s">
        <v>3902</v>
      </c>
      <c r="D411" s="5">
        <v>7</v>
      </c>
      <c r="E411" s="7" t="str">
        <f>_xlfn.XLOOKUP(B411,Customers!A411:A1410,Customers!B411:B1410,"Customer Not Found",0)</f>
        <v>Customer_775</v>
      </c>
      <c r="F411" s="7" t="str">
        <f>_xlfn.XLOOKUP(Orders!B411,Customers!A411:A1410,Customers!C411:C1410,"Country not Found",0)</f>
        <v>Nigeria</v>
      </c>
      <c r="G411" s="7" t="str">
        <f>_xlfn.XLOOKUP(C411,Products!A411:A910,Products!B411:B910,"Product Missing",0)</f>
        <v>Product_442</v>
      </c>
      <c r="H411" s="7" t="str">
        <f>_xlfn.XLOOKUP(C411,Products!A411:A910,Products!C411:C910,"Category Missing",0)</f>
        <v>Sports</v>
      </c>
      <c r="I411" s="11">
        <f>_xlfn.XLOOKUP(Orders!C411,Products!A411:A910,Products!D411:D910,"Price Missing",0)</f>
        <v>48.2</v>
      </c>
      <c r="J411" s="19">
        <f t="shared" si="6"/>
        <v>337.40000000000003</v>
      </c>
    </row>
    <row r="412" spans="1:10" x14ac:dyDescent="0.35">
      <c r="A412" s="4" t="s">
        <v>4432</v>
      </c>
      <c r="B412" s="7" t="s">
        <v>86</v>
      </c>
      <c r="C412" s="7" t="s">
        <v>3376</v>
      </c>
      <c r="D412" s="5">
        <v>6</v>
      </c>
      <c r="E412" s="7" t="str">
        <f>_xlfn.XLOOKUP(B412,Customers!A412:A1411,Customers!B412:B1411,"Customer Not Found",0)</f>
        <v>Customer Not Found</v>
      </c>
      <c r="F412" s="7" t="str">
        <f>_xlfn.XLOOKUP(Orders!B412,Customers!A412:A1411,Customers!C412:C1411,"Country not Found",0)</f>
        <v>Country not Found</v>
      </c>
      <c r="G412" s="7" t="str">
        <f>_xlfn.XLOOKUP(C412,Products!A412:A911,Products!B412:B911,"Product Missing",0)</f>
        <v>Product Missing</v>
      </c>
      <c r="H412" s="7" t="str">
        <f>_xlfn.XLOOKUP(C412,Products!A412:A911,Products!C412:C911,"Category Missing",0)</f>
        <v>Category Missing</v>
      </c>
      <c r="I412" s="11" t="str">
        <f>_xlfn.XLOOKUP(Orders!C412,Products!A412:A911,Products!D412:D911,"Price Missing",0)</f>
        <v>Price Missing</v>
      </c>
      <c r="J412" s="19">
        <f t="shared" si="6"/>
        <v>0</v>
      </c>
    </row>
    <row r="413" spans="1:10" x14ac:dyDescent="0.35">
      <c r="A413" s="4" t="s">
        <v>4433</v>
      </c>
      <c r="B413" s="7" t="s">
        <v>1013</v>
      </c>
      <c r="C413" s="7" t="s">
        <v>3434</v>
      </c>
      <c r="D413" s="5">
        <v>8</v>
      </c>
      <c r="E413" s="7" t="str">
        <f>_xlfn.XLOOKUP(B413,Customers!A413:A1412,Customers!B413:B1412,"Customer Not Found",0)</f>
        <v>Customer Not Found</v>
      </c>
      <c r="F413" s="7" t="str">
        <f>_xlfn.XLOOKUP(Orders!B413,Customers!A413:A1412,Customers!C413:C1412,"Country not Found",0)</f>
        <v>Country not Found</v>
      </c>
      <c r="G413" s="7" t="str">
        <f>_xlfn.XLOOKUP(C413,Products!A413:A912,Products!B413:B912,"Product Missing",0)</f>
        <v>Product Missing</v>
      </c>
      <c r="H413" s="7" t="str">
        <f>_xlfn.XLOOKUP(C413,Products!A413:A912,Products!C413:C912,"Category Missing",0)</f>
        <v>Category Missing</v>
      </c>
      <c r="I413" s="11" t="str">
        <f>_xlfn.XLOOKUP(Orders!C413,Products!A413:A912,Products!D413:D912,"Price Missing",0)</f>
        <v>Price Missing</v>
      </c>
      <c r="J413" s="19">
        <f t="shared" si="6"/>
        <v>0</v>
      </c>
    </row>
    <row r="414" spans="1:10" x14ac:dyDescent="0.35">
      <c r="A414" s="4" t="s">
        <v>4434</v>
      </c>
      <c r="B414" s="7" t="s">
        <v>1634</v>
      </c>
      <c r="C414" s="7" t="s">
        <v>3056</v>
      </c>
      <c r="D414" s="5">
        <v>2</v>
      </c>
      <c r="E414" s="7" t="str">
        <f>_xlfn.XLOOKUP(B414,Customers!A414:A1413,Customers!B414:B1413,"Customer Not Found",0)</f>
        <v>Customer_542</v>
      </c>
      <c r="F414" s="7" t="str">
        <f>_xlfn.XLOOKUP(Orders!B414,Customers!A414:A1413,Customers!C414:C1413,"Country not Found",0)</f>
        <v>Ghana</v>
      </c>
      <c r="G414" s="7" t="str">
        <f>_xlfn.XLOOKUP(C414,Products!A414:A913,Products!B414:B913,"Product Missing",0)</f>
        <v>Product Missing</v>
      </c>
      <c r="H414" s="7" t="str">
        <f>_xlfn.XLOOKUP(C414,Products!A414:A913,Products!C414:C913,"Category Missing",0)</f>
        <v>Category Missing</v>
      </c>
      <c r="I414" s="11" t="str">
        <f>_xlfn.XLOOKUP(Orders!C414,Products!A414:A913,Products!D414:D913,"Price Missing",0)</f>
        <v>Price Missing</v>
      </c>
      <c r="J414" s="19">
        <f t="shared" si="6"/>
        <v>0</v>
      </c>
    </row>
    <row r="415" spans="1:10" x14ac:dyDescent="0.35">
      <c r="A415" s="4" t="s">
        <v>4435</v>
      </c>
      <c r="B415" s="7" t="s">
        <v>962</v>
      </c>
      <c r="C415" s="7" t="s">
        <v>3616</v>
      </c>
      <c r="D415" s="5">
        <v>8</v>
      </c>
      <c r="E415" s="7" t="str">
        <f>_xlfn.XLOOKUP(B415,Customers!A415:A1414,Customers!B415:B1414,"Customer Not Found",0)</f>
        <v>Customer Not Found</v>
      </c>
      <c r="F415" s="7" t="str">
        <f>_xlfn.XLOOKUP(Orders!B415,Customers!A415:A1414,Customers!C415:C1414,"Country not Found",0)</f>
        <v>Country not Found</v>
      </c>
      <c r="G415" s="7" t="str">
        <f>_xlfn.XLOOKUP(C415,Products!A415:A914,Products!B415:B914,"Product Missing",0)</f>
        <v>Product Missing</v>
      </c>
      <c r="H415" s="7" t="str">
        <f>_xlfn.XLOOKUP(C415,Products!A415:A914,Products!C415:C914,"Category Missing",0)</f>
        <v>Category Missing</v>
      </c>
      <c r="I415" s="11" t="str">
        <f>_xlfn.XLOOKUP(Orders!C415,Products!A415:A914,Products!D415:D914,"Price Missing",0)</f>
        <v>Price Missing</v>
      </c>
      <c r="J415" s="19">
        <f t="shared" si="6"/>
        <v>0</v>
      </c>
    </row>
    <row r="416" spans="1:10" x14ac:dyDescent="0.35">
      <c r="A416" s="4" t="s">
        <v>4436</v>
      </c>
      <c r="B416" s="7" t="s">
        <v>2042</v>
      </c>
      <c r="C416" s="7" t="s">
        <v>3310</v>
      </c>
      <c r="D416" s="5">
        <v>2</v>
      </c>
      <c r="E416" s="7" t="str">
        <f>_xlfn.XLOOKUP(B416,Customers!A416:A1415,Customers!B416:B1415,"Customer Not Found",0)</f>
        <v>Customer_678</v>
      </c>
      <c r="F416" s="7" t="str">
        <f>_xlfn.XLOOKUP(Orders!B416,Customers!A416:A1415,Customers!C416:C1415,"Country not Found",0)</f>
        <v>South Africa</v>
      </c>
      <c r="G416" s="7" t="str">
        <f>_xlfn.XLOOKUP(C416,Products!A416:A915,Products!B416:B915,"Product Missing",0)</f>
        <v>Product Missing</v>
      </c>
      <c r="H416" s="7" t="str">
        <f>_xlfn.XLOOKUP(C416,Products!A416:A915,Products!C416:C915,"Category Missing",0)</f>
        <v>Category Missing</v>
      </c>
      <c r="I416" s="11" t="str">
        <f>_xlfn.XLOOKUP(Orders!C416,Products!A416:A915,Products!D416:D915,"Price Missing",0)</f>
        <v>Price Missing</v>
      </c>
      <c r="J416" s="19">
        <f t="shared" si="6"/>
        <v>0</v>
      </c>
    </row>
    <row r="417" spans="1:10" x14ac:dyDescent="0.35">
      <c r="A417" s="4" t="s">
        <v>4437</v>
      </c>
      <c r="B417" s="7" t="s">
        <v>1739</v>
      </c>
      <c r="C417" s="7" t="s">
        <v>3988</v>
      </c>
      <c r="D417" s="5">
        <v>6</v>
      </c>
      <c r="E417" s="7" t="str">
        <f>_xlfn.XLOOKUP(B417,Customers!A417:A1416,Customers!B417:B1416,"Customer Not Found",0)</f>
        <v>Customer_577</v>
      </c>
      <c r="F417" s="7" t="str">
        <f>_xlfn.XLOOKUP(Orders!B417,Customers!A417:A1416,Customers!C417:C1416,"Country not Found",0)</f>
        <v>Nigeria</v>
      </c>
      <c r="G417" s="7" t="str">
        <f>_xlfn.XLOOKUP(C417,Products!A417:A916,Products!B417:B916,"Product Missing",0)</f>
        <v>Product_485</v>
      </c>
      <c r="H417" s="7" t="str">
        <f>_xlfn.XLOOKUP(C417,Products!A417:A916,Products!C417:C916,"Category Missing",0)</f>
        <v>Food</v>
      </c>
      <c r="I417" s="11">
        <f>_xlfn.XLOOKUP(Orders!C417,Products!A417:A916,Products!D417:D916,"Price Missing",0)</f>
        <v>290.06</v>
      </c>
      <c r="J417" s="19">
        <f t="shared" si="6"/>
        <v>1740.3600000000001</v>
      </c>
    </row>
    <row r="418" spans="1:10" x14ac:dyDescent="0.35">
      <c r="A418" s="4" t="s">
        <v>4438</v>
      </c>
      <c r="B418" s="7" t="s">
        <v>16</v>
      </c>
      <c r="C418" s="7" t="s">
        <v>3384</v>
      </c>
      <c r="D418" s="5">
        <v>5</v>
      </c>
      <c r="E418" s="7" t="str">
        <f>_xlfn.XLOOKUP(B418,Customers!A418:A1417,Customers!B418:B1417,"Customer Not Found",0)</f>
        <v>Customer Not Found</v>
      </c>
      <c r="F418" s="7" t="str">
        <f>_xlfn.XLOOKUP(Orders!B418,Customers!A418:A1417,Customers!C418:C1417,"Country not Found",0)</f>
        <v>Country not Found</v>
      </c>
      <c r="G418" s="7" t="str">
        <f>_xlfn.XLOOKUP(C418,Products!A418:A917,Products!B418:B917,"Product Missing",0)</f>
        <v>Product Missing</v>
      </c>
      <c r="H418" s="7" t="str">
        <f>_xlfn.XLOOKUP(C418,Products!A418:A917,Products!C418:C917,"Category Missing",0)</f>
        <v>Category Missing</v>
      </c>
      <c r="I418" s="11" t="str">
        <f>_xlfn.XLOOKUP(Orders!C418,Products!A418:A917,Products!D418:D917,"Price Missing",0)</f>
        <v>Price Missing</v>
      </c>
      <c r="J418" s="19">
        <f t="shared" si="6"/>
        <v>0</v>
      </c>
    </row>
    <row r="419" spans="1:10" x14ac:dyDescent="0.35">
      <c r="A419" s="4" t="s">
        <v>4439</v>
      </c>
      <c r="B419" s="7" t="s">
        <v>1061</v>
      </c>
      <c r="C419" s="7" t="s">
        <v>3980</v>
      </c>
      <c r="D419" s="5">
        <v>8</v>
      </c>
      <c r="E419" s="7" t="str">
        <f>_xlfn.XLOOKUP(B419,Customers!A419:A1418,Customers!B419:B1418,"Customer Not Found",0)</f>
        <v>Customer Not Found</v>
      </c>
      <c r="F419" s="7" t="str">
        <f>_xlfn.XLOOKUP(Orders!B419,Customers!A419:A1418,Customers!C419:C1418,"Country not Found",0)</f>
        <v>Country not Found</v>
      </c>
      <c r="G419" s="7" t="str">
        <f>_xlfn.XLOOKUP(C419,Products!A419:A918,Products!B419:B918,"Product Missing",0)</f>
        <v>Product_481</v>
      </c>
      <c r="H419" s="7" t="str">
        <f>_xlfn.XLOOKUP(C419,Products!A419:A918,Products!C419:C918,"Category Missing",0)</f>
        <v>Clothing</v>
      </c>
      <c r="I419" s="11">
        <f>_xlfn.XLOOKUP(Orders!C419,Products!A419:A918,Products!D419:D918,"Price Missing",0)</f>
        <v>273.72000000000003</v>
      </c>
      <c r="J419" s="19">
        <f t="shared" si="6"/>
        <v>2189.7600000000002</v>
      </c>
    </row>
    <row r="420" spans="1:10" x14ac:dyDescent="0.35">
      <c r="A420" s="4" t="s">
        <v>4440</v>
      </c>
      <c r="B420" s="7" t="s">
        <v>797</v>
      </c>
      <c r="C420" s="7" t="s">
        <v>3276</v>
      </c>
      <c r="D420" s="5">
        <v>3</v>
      </c>
      <c r="E420" s="7" t="str">
        <f>_xlfn.XLOOKUP(B420,Customers!A420:A1419,Customers!B420:B1419,"Customer Not Found",0)</f>
        <v>Customer Not Found</v>
      </c>
      <c r="F420" s="7" t="str">
        <f>_xlfn.XLOOKUP(Orders!B420,Customers!A420:A1419,Customers!C420:C1419,"Country not Found",0)</f>
        <v>Country not Found</v>
      </c>
      <c r="G420" s="7" t="str">
        <f>_xlfn.XLOOKUP(C420,Products!A420:A919,Products!B420:B919,"Product Missing",0)</f>
        <v>Product Missing</v>
      </c>
      <c r="H420" s="7" t="str">
        <f>_xlfn.XLOOKUP(C420,Products!A420:A919,Products!C420:C919,"Category Missing",0)</f>
        <v>Category Missing</v>
      </c>
      <c r="I420" s="11" t="str">
        <f>_xlfn.XLOOKUP(Orders!C420,Products!A420:A919,Products!D420:D919,"Price Missing",0)</f>
        <v>Price Missing</v>
      </c>
      <c r="J420" s="19">
        <f t="shared" si="6"/>
        <v>0</v>
      </c>
    </row>
    <row r="421" spans="1:10" x14ac:dyDescent="0.35">
      <c r="A421" s="4" t="s">
        <v>4441</v>
      </c>
      <c r="B421" s="7" t="s">
        <v>1403</v>
      </c>
      <c r="C421" s="7" t="s">
        <v>3098</v>
      </c>
      <c r="D421" s="5">
        <v>9</v>
      </c>
      <c r="E421" s="7" t="str">
        <f>_xlfn.XLOOKUP(B421,Customers!A421:A1420,Customers!B421:B1420,"Customer Not Found",0)</f>
        <v>Customer_465</v>
      </c>
      <c r="F421" s="7" t="str">
        <f>_xlfn.XLOOKUP(Orders!B421,Customers!A421:A1420,Customers!C421:C1420,"Country not Found",0)</f>
        <v>Canada</v>
      </c>
      <c r="G421" s="7" t="str">
        <f>_xlfn.XLOOKUP(C421,Products!A421:A920,Products!B421:B920,"Product Missing",0)</f>
        <v>Product Missing</v>
      </c>
      <c r="H421" s="7" t="str">
        <f>_xlfn.XLOOKUP(C421,Products!A421:A920,Products!C421:C920,"Category Missing",0)</f>
        <v>Category Missing</v>
      </c>
      <c r="I421" s="11" t="str">
        <f>_xlfn.XLOOKUP(Orders!C421,Products!A421:A920,Products!D421:D920,"Price Missing",0)</f>
        <v>Price Missing</v>
      </c>
      <c r="J421" s="19">
        <f t="shared" si="6"/>
        <v>0</v>
      </c>
    </row>
    <row r="422" spans="1:10" x14ac:dyDescent="0.35">
      <c r="A422" s="4" t="s">
        <v>4442</v>
      </c>
      <c r="B422" s="7" t="s">
        <v>1148</v>
      </c>
      <c r="C422" s="7" t="s">
        <v>3986</v>
      </c>
      <c r="D422" s="5">
        <v>1</v>
      </c>
      <c r="E422" s="7" t="str">
        <f>_xlfn.XLOOKUP(B422,Customers!A422:A1421,Customers!B422:B1421,"Customer Not Found",0)</f>
        <v>Customer Not Found</v>
      </c>
      <c r="F422" s="7" t="str">
        <f>_xlfn.XLOOKUP(Orders!B422,Customers!A422:A1421,Customers!C422:C1421,"Country not Found",0)</f>
        <v>Country not Found</v>
      </c>
      <c r="G422" s="7" t="str">
        <f>_xlfn.XLOOKUP(C422,Products!A422:A921,Products!B422:B921,"Product Missing",0)</f>
        <v>Product_484</v>
      </c>
      <c r="H422" s="7" t="str">
        <f>_xlfn.XLOOKUP(C422,Products!A422:A921,Products!C422:C921,"Category Missing",0)</f>
        <v>Electronics</v>
      </c>
      <c r="I422" s="11">
        <f>_xlfn.XLOOKUP(Orders!C422,Products!A422:A921,Products!D422:D921,"Price Missing",0)</f>
        <v>17.989999999999998</v>
      </c>
      <c r="J422" s="19">
        <f t="shared" si="6"/>
        <v>17.989999999999998</v>
      </c>
    </row>
    <row r="423" spans="1:10" x14ac:dyDescent="0.35">
      <c r="A423" s="4" t="s">
        <v>4443</v>
      </c>
      <c r="B423" s="7" t="s">
        <v>2849</v>
      </c>
      <c r="C423" s="7" t="s">
        <v>3510</v>
      </c>
      <c r="D423" s="5">
        <v>6</v>
      </c>
      <c r="E423" s="7" t="str">
        <f>_xlfn.XLOOKUP(B423,Customers!A423:A1422,Customers!B423:B1422,"Customer Not Found",0)</f>
        <v>Customer_947</v>
      </c>
      <c r="F423" s="7" t="str">
        <f>_xlfn.XLOOKUP(Orders!B423,Customers!A423:A1422,Customers!C423:C1422,"Country not Found",0)</f>
        <v>Kenya</v>
      </c>
      <c r="G423" s="7" t="str">
        <f>_xlfn.XLOOKUP(C423,Products!A423:A922,Products!B423:B922,"Product Missing",0)</f>
        <v>Product Missing</v>
      </c>
      <c r="H423" s="7" t="str">
        <f>_xlfn.XLOOKUP(C423,Products!A423:A922,Products!C423:C922,"Category Missing",0)</f>
        <v>Category Missing</v>
      </c>
      <c r="I423" s="11" t="str">
        <f>_xlfn.XLOOKUP(Orders!C423,Products!A423:A922,Products!D423:D922,"Price Missing",0)</f>
        <v>Price Missing</v>
      </c>
      <c r="J423" s="19">
        <f t="shared" si="6"/>
        <v>0</v>
      </c>
    </row>
    <row r="424" spans="1:10" x14ac:dyDescent="0.35">
      <c r="A424" s="4" t="s">
        <v>4444</v>
      </c>
      <c r="B424" s="7" t="s">
        <v>2072</v>
      </c>
      <c r="C424" s="7" t="s">
        <v>3734</v>
      </c>
      <c r="D424" s="5">
        <v>9</v>
      </c>
      <c r="E424" s="7" t="str">
        <f>_xlfn.XLOOKUP(B424,Customers!A424:A1423,Customers!B424:B1423,"Customer Not Found",0)</f>
        <v>Customer_688</v>
      </c>
      <c r="F424" s="7" t="str">
        <f>_xlfn.XLOOKUP(Orders!B424,Customers!A424:A1423,Customers!C424:C1423,"Country not Found",0)</f>
        <v>Nigeria</v>
      </c>
      <c r="G424" s="7" t="str">
        <f>_xlfn.XLOOKUP(C424,Products!A424:A923,Products!B424:B923,"Product Missing",0)</f>
        <v>Product Missing</v>
      </c>
      <c r="H424" s="7" t="str">
        <f>_xlfn.XLOOKUP(C424,Products!A424:A923,Products!C424:C923,"Category Missing",0)</f>
        <v>Category Missing</v>
      </c>
      <c r="I424" s="11" t="str">
        <f>_xlfn.XLOOKUP(Orders!C424,Products!A424:A923,Products!D424:D923,"Price Missing",0)</f>
        <v>Price Missing</v>
      </c>
      <c r="J424" s="19">
        <f t="shared" si="6"/>
        <v>0</v>
      </c>
    </row>
    <row r="425" spans="1:10" x14ac:dyDescent="0.35">
      <c r="A425" s="4" t="s">
        <v>4445</v>
      </c>
      <c r="B425" s="7" t="s">
        <v>2444</v>
      </c>
      <c r="C425" s="7" t="s">
        <v>3212</v>
      </c>
      <c r="D425" s="5">
        <v>8</v>
      </c>
      <c r="E425" s="7" t="str">
        <f>_xlfn.XLOOKUP(B425,Customers!A425:A1424,Customers!B425:B1424,"Customer Not Found",0)</f>
        <v>Customer_812</v>
      </c>
      <c r="F425" s="7" t="str">
        <f>_xlfn.XLOOKUP(Orders!B425,Customers!A425:A1424,Customers!C425:C1424,"Country not Found",0)</f>
        <v>Kenya</v>
      </c>
      <c r="G425" s="7" t="str">
        <f>_xlfn.XLOOKUP(C425,Products!A425:A924,Products!B425:B924,"Product Missing",0)</f>
        <v>Product Missing</v>
      </c>
      <c r="H425" s="7" t="str">
        <f>_xlfn.XLOOKUP(C425,Products!A425:A924,Products!C425:C924,"Category Missing",0)</f>
        <v>Category Missing</v>
      </c>
      <c r="I425" s="11" t="str">
        <f>_xlfn.XLOOKUP(Orders!C425,Products!A425:A924,Products!D425:D924,"Price Missing",0)</f>
        <v>Price Missing</v>
      </c>
      <c r="J425" s="19">
        <f t="shared" si="6"/>
        <v>0</v>
      </c>
    </row>
    <row r="426" spans="1:10" x14ac:dyDescent="0.35">
      <c r="A426" s="4" t="s">
        <v>4446</v>
      </c>
      <c r="B426" s="7" t="s">
        <v>233</v>
      </c>
      <c r="C426" s="7" t="s">
        <v>3268</v>
      </c>
      <c r="D426" s="5">
        <v>8</v>
      </c>
      <c r="E426" s="7" t="str">
        <f>_xlfn.XLOOKUP(B426,Customers!A426:A1425,Customers!B426:B1425,"Customer Not Found",0)</f>
        <v>Customer Not Found</v>
      </c>
      <c r="F426" s="7" t="str">
        <f>_xlfn.XLOOKUP(Orders!B426,Customers!A426:A1425,Customers!C426:C1425,"Country not Found",0)</f>
        <v>Country not Found</v>
      </c>
      <c r="G426" s="7" t="str">
        <f>_xlfn.XLOOKUP(C426,Products!A426:A925,Products!B426:B925,"Product Missing",0)</f>
        <v>Product Missing</v>
      </c>
      <c r="H426" s="7" t="str">
        <f>_xlfn.XLOOKUP(C426,Products!A426:A925,Products!C426:C925,"Category Missing",0)</f>
        <v>Category Missing</v>
      </c>
      <c r="I426" s="11" t="str">
        <f>_xlfn.XLOOKUP(Orders!C426,Products!A426:A925,Products!D426:D925,"Price Missing",0)</f>
        <v>Price Missing</v>
      </c>
      <c r="J426" s="19">
        <f t="shared" si="6"/>
        <v>0</v>
      </c>
    </row>
    <row r="427" spans="1:10" x14ac:dyDescent="0.35">
      <c r="A427" s="4" t="s">
        <v>4447</v>
      </c>
      <c r="B427" s="7" t="s">
        <v>533</v>
      </c>
      <c r="C427" s="7" t="s">
        <v>3608</v>
      </c>
      <c r="D427" s="5">
        <v>4</v>
      </c>
      <c r="E427" s="7" t="str">
        <f>_xlfn.XLOOKUP(B427,Customers!A427:A1426,Customers!B427:B1426,"Customer Not Found",0)</f>
        <v>Customer Not Found</v>
      </c>
      <c r="F427" s="7" t="str">
        <f>_xlfn.XLOOKUP(Orders!B427,Customers!A427:A1426,Customers!C427:C1426,"Country not Found",0)</f>
        <v>Country not Found</v>
      </c>
      <c r="G427" s="7" t="str">
        <f>_xlfn.XLOOKUP(C427,Products!A427:A926,Products!B427:B926,"Product Missing",0)</f>
        <v>Product Missing</v>
      </c>
      <c r="H427" s="7" t="str">
        <f>_xlfn.XLOOKUP(C427,Products!A427:A926,Products!C427:C926,"Category Missing",0)</f>
        <v>Category Missing</v>
      </c>
      <c r="I427" s="11" t="str">
        <f>_xlfn.XLOOKUP(Orders!C427,Products!A427:A926,Products!D427:D926,"Price Missing",0)</f>
        <v>Price Missing</v>
      </c>
      <c r="J427" s="19">
        <f t="shared" si="6"/>
        <v>0</v>
      </c>
    </row>
    <row r="428" spans="1:10" x14ac:dyDescent="0.35">
      <c r="A428" s="4" t="s">
        <v>4448</v>
      </c>
      <c r="B428" s="7" t="s">
        <v>33</v>
      </c>
      <c r="C428" s="7" t="s">
        <v>3444</v>
      </c>
      <c r="D428" s="5">
        <v>9</v>
      </c>
      <c r="E428" s="7" t="str">
        <f>_xlfn.XLOOKUP(B428,Customers!A428:A1427,Customers!B428:B1427,"Customer Not Found",0)</f>
        <v>Customer Not Found</v>
      </c>
      <c r="F428" s="7" t="str">
        <f>_xlfn.XLOOKUP(Orders!B428,Customers!A428:A1427,Customers!C428:C1427,"Country not Found",0)</f>
        <v>Country not Found</v>
      </c>
      <c r="G428" s="7" t="str">
        <f>_xlfn.XLOOKUP(C428,Products!A428:A927,Products!B428:B927,"Product Missing",0)</f>
        <v>Product Missing</v>
      </c>
      <c r="H428" s="7" t="str">
        <f>_xlfn.XLOOKUP(C428,Products!A428:A927,Products!C428:C927,"Category Missing",0)</f>
        <v>Category Missing</v>
      </c>
      <c r="I428" s="11" t="str">
        <f>_xlfn.XLOOKUP(Orders!C428,Products!A428:A927,Products!D428:D927,"Price Missing",0)</f>
        <v>Price Missing</v>
      </c>
      <c r="J428" s="19">
        <f t="shared" si="6"/>
        <v>0</v>
      </c>
    </row>
    <row r="429" spans="1:10" x14ac:dyDescent="0.35">
      <c r="A429" s="4" t="s">
        <v>4449</v>
      </c>
      <c r="B429" s="7" t="s">
        <v>12</v>
      </c>
      <c r="C429" s="7" t="s">
        <v>3952</v>
      </c>
      <c r="D429" s="5">
        <v>3</v>
      </c>
      <c r="E429" s="7" t="str">
        <f>_xlfn.XLOOKUP(B429,Customers!A429:A1428,Customers!B429:B1428,"Customer Not Found",0)</f>
        <v>Customer Not Found</v>
      </c>
      <c r="F429" s="7" t="str">
        <f>_xlfn.XLOOKUP(Orders!B429,Customers!A429:A1428,Customers!C429:C1428,"Country not Found",0)</f>
        <v>Country not Found</v>
      </c>
      <c r="G429" s="7" t="str">
        <f>_xlfn.XLOOKUP(C429,Products!A429:A928,Products!B429:B928,"Product Missing",0)</f>
        <v>Product_467</v>
      </c>
      <c r="H429" s="7" t="str">
        <f>_xlfn.XLOOKUP(C429,Products!A429:A928,Products!C429:C928,"Category Missing",0)</f>
        <v>Electronics</v>
      </c>
      <c r="I429" s="11">
        <f>_xlfn.XLOOKUP(Orders!C429,Products!A429:A928,Products!D429:D928,"Price Missing",0)</f>
        <v>279.95999999999998</v>
      </c>
      <c r="J429" s="19">
        <f t="shared" si="6"/>
        <v>839.87999999999988</v>
      </c>
    </row>
    <row r="430" spans="1:10" x14ac:dyDescent="0.35">
      <c r="A430" s="4" t="s">
        <v>4450</v>
      </c>
      <c r="B430" s="7" t="s">
        <v>58</v>
      </c>
      <c r="C430" s="7" t="s">
        <v>3862</v>
      </c>
      <c r="D430" s="5">
        <v>10</v>
      </c>
      <c r="E430" s="7" t="str">
        <f>_xlfn.XLOOKUP(B430,Customers!A430:A1429,Customers!B430:B1429,"Customer Not Found",0)</f>
        <v>Customer Not Found</v>
      </c>
      <c r="F430" s="7" t="str">
        <f>_xlfn.XLOOKUP(Orders!B430,Customers!A430:A1429,Customers!C430:C1429,"Country not Found",0)</f>
        <v>Country not Found</v>
      </c>
      <c r="G430" s="7" t="str">
        <f>_xlfn.XLOOKUP(C430,Products!A430:A929,Products!B430:B929,"Product Missing",0)</f>
        <v>Product Missing</v>
      </c>
      <c r="H430" s="7" t="str">
        <f>_xlfn.XLOOKUP(C430,Products!A430:A929,Products!C430:C929,"Category Missing",0)</f>
        <v>Category Missing</v>
      </c>
      <c r="I430" s="11" t="str">
        <f>_xlfn.XLOOKUP(Orders!C430,Products!A430:A929,Products!D430:D929,"Price Missing",0)</f>
        <v>Price Missing</v>
      </c>
      <c r="J430" s="19">
        <f t="shared" si="6"/>
        <v>0</v>
      </c>
    </row>
    <row r="431" spans="1:10" x14ac:dyDescent="0.35">
      <c r="A431" s="4" t="s">
        <v>4451</v>
      </c>
      <c r="B431" s="7" t="s">
        <v>2327</v>
      </c>
      <c r="C431" s="7" t="s">
        <v>3332</v>
      </c>
      <c r="D431" s="5">
        <v>2</v>
      </c>
      <c r="E431" s="7" t="str">
        <f>_xlfn.XLOOKUP(B431,Customers!A431:A1430,Customers!B431:B1430,"Customer Not Found",0)</f>
        <v>Customer_773</v>
      </c>
      <c r="F431" s="7" t="str">
        <f>_xlfn.XLOOKUP(Orders!B431,Customers!A431:A1430,Customers!C431:C1430,"Country not Found",0)</f>
        <v>UK</v>
      </c>
      <c r="G431" s="7" t="str">
        <f>_xlfn.XLOOKUP(C431,Products!A431:A930,Products!B431:B930,"Product Missing",0)</f>
        <v>Product Missing</v>
      </c>
      <c r="H431" s="7" t="str">
        <f>_xlfn.XLOOKUP(C431,Products!A431:A930,Products!C431:C930,"Category Missing",0)</f>
        <v>Category Missing</v>
      </c>
      <c r="I431" s="11" t="str">
        <f>_xlfn.XLOOKUP(Orders!C431,Products!A431:A930,Products!D431:D930,"Price Missing",0)</f>
        <v>Price Missing</v>
      </c>
      <c r="J431" s="19">
        <f t="shared" si="6"/>
        <v>0</v>
      </c>
    </row>
    <row r="432" spans="1:10" x14ac:dyDescent="0.35">
      <c r="A432" s="4" t="s">
        <v>4452</v>
      </c>
      <c r="B432" s="7" t="s">
        <v>16</v>
      </c>
      <c r="C432" s="7" t="s">
        <v>3272</v>
      </c>
      <c r="D432" s="5">
        <v>4</v>
      </c>
      <c r="E432" s="7" t="str">
        <f>_xlfn.XLOOKUP(B432,Customers!A432:A1431,Customers!B432:B1431,"Customer Not Found",0)</f>
        <v>Customer Not Found</v>
      </c>
      <c r="F432" s="7" t="str">
        <f>_xlfn.XLOOKUP(Orders!B432,Customers!A432:A1431,Customers!C432:C1431,"Country not Found",0)</f>
        <v>Country not Found</v>
      </c>
      <c r="G432" s="7" t="str">
        <f>_xlfn.XLOOKUP(C432,Products!A432:A931,Products!B432:B931,"Product Missing",0)</f>
        <v>Product Missing</v>
      </c>
      <c r="H432" s="7" t="str">
        <f>_xlfn.XLOOKUP(C432,Products!A432:A931,Products!C432:C931,"Category Missing",0)</f>
        <v>Category Missing</v>
      </c>
      <c r="I432" s="11" t="str">
        <f>_xlfn.XLOOKUP(Orders!C432,Products!A432:A931,Products!D432:D931,"Price Missing",0)</f>
        <v>Price Missing</v>
      </c>
      <c r="J432" s="19">
        <f t="shared" si="6"/>
        <v>0</v>
      </c>
    </row>
    <row r="433" spans="1:10" x14ac:dyDescent="0.35">
      <c r="A433" s="4" t="s">
        <v>4453</v>
      </c>
      <c r="B433" s="7" t="s">
        <v>221</v>
      </c>
      <c r="C433" s="7" t="s">
        <v>3290</v>
      </c>
      <c r="D433" s="5">
        <v>4</v>
      </c>
      <c r="E433" s="7" t="str">
        <f>_xlfn.XLOOKUP(B433,Customers!A433:A1432,Customers!B433:B1432,"Customer Not Found",0)</f>
        <v>Customer Not Found</v>
      </c>
      <c r="F433" s="7" t="str">
        <f>_xlfn.XLOOKUP(Orders!B433,Customers!A433:A1432,Customers!C433:C1432,"Country not Found",0)</f>
        <v>Country not Found</v>
      </c>
      <c r="G433" s="7" t="str">
        <f>_xlfn.XLOOKUP(C433,Products!A433:A932,Products!B433:B932,"Product Missing",0)</f>
        <v>Product Missing</v>
      </c>
      <c r="H433" s="7" t="str">
        <f>_xlfn.XLOOKUP(C433,Products!A433:A932,Products!C433:C932,"Category Missing",0)</f>
        <v>Category Missing</v>
      </c>
      <c r="I433" s="11" t="str">
        <f>_xlfn.XLOOKUP(Orders!C433,Products!A433:A932,Products!D433:D932,"Price Missing",0)</f>
        <v>Price Missing</v>
      </c>
      <c r="J433" s="19">
        <f t="shared" si="6"/>
        <v>0</v>
      </c>
    </row>
    <row r="434" spans="1:10" x14ac:dyDescent="0.35">
      <c r="A434" s="4" t="s">
        <v>4454</v>
      </c>
      <c r="B434" s="7" t="s">
        <v>1949</v>
      </c>
      <c r="C434" s="7" t="s">
        <v>3912</v>
      </c>
      <c r="D434" s="5">
        <v>3</v>
      </c>
      <c r="E434" s="7" t="str">
        <f>_xlfn.XLOOKUP(B434,Customers!A434:A1433,Customers!B434:B1433,"Customer Not Found",0)</f>
        <v>Customer_647</v>
      </c>
      <c r="F434" s="7" t="str">
        <f>_xlfn.XLOOKUP(Orders!B434,Customers!A434:A1433,Customers!C434:C1433,"Country not Found",0)</f>
        <v>UK</v>
      </c>
      <c r="G434" s="7" t="str">
        <f>_xlfn.XLOOKUP(C434,Products!A434:A933,Products!B434:B933,"Product Missing",0)</f>
        <v>Product_447</v>
      </c>
      <c r="H434" s="7" t="str">
        <f>_xlfn.XLOOKUP(C434,Products!A434:A933,Products!C434:C933,"Category Missing",0)</f>
        <v>Clothing</v>
      </c>
      <c r="I434" s="11">
        <f>_xlfn.XLOOKUP(Orders!C434,Products!A434:A933,Products!D434:D933,"Price Missing",0)</f>
        <v>197.61</v>
      </c>
      <c r="J434" s="19">
        <f t="shared" si="6"/>
        <v>592.83000000000004</v>
      </c>
    </row>
    <row r="435" spans="1:10" x14ac:dyDescent="0.35">
      <c r="A435" s="4" t="s">
        <v>4455</v>
      </c>
      <c r="B435" s="7" t="s">
        <v>896</v>
      </c>
      <c r="C435" s="7" t="s">
        <v>3202</v>
      </c>
      <c r="D435" s="5">
        <v>7</v>
      </c>
      <c r="E435" s="7" t="str">
        <f>_xlfn.XLOOKUP(B435,Customers!A435:A1434,Customers!B435:B1434,"Customer Not Found",0)</f>
        <v>Customer Not Found</v>
      </c>
      <c r="F435" s="7" t="str">
        <f>_xlfn.XLOOKUP(Orders!B435,Customers!A435:A1434,Customers!C435:C1434,"Country not Found",0)</f>
        <v>Country not Found</v>
      </c>
      <c r="G435" s="7" t="str">
        <f>_xlfn.XLOOKUP(C435,Products!A435:A934,Products!B435:B934,"Product Missing",0)</f>
        <v>Product Missing</v>
      </c>
      <c r="H435" s="7" t="str">
        <f>_xlfn.XLOOKUP(C435,Products!A435:A934,Products!C435:C934,"Category Missing",0)</f>
        <v>Category Missing</v>
      </c>
      <c r="I435" s="11" t="str">
        <f>_xlfn.XLOOKUP(Orders!C435,Products!A435:A934,Products!D435:D934,"Price Missing",0)</f>
        <v>Price Missing</v>
      </c>
      <c r="J435" s="19">
        <f t="shared" si="6"/>
        <v>0</v>
      </c>
    </row>
    <row r="436" spans="1:10" x14ac:dyDescent="0.35">
      <c r="A436" s="4" t="s">
        <v>4456</v>
      </c>
      <c r="B436" s="7" t="s">
        <v>1445</v>
      </c>
      <c r="C436" s="7" t="s">
        <v>3730</v>
      </c>
      <c r="D436" s="5">
        <v>9</v>
      </c>
      <c r="E436" s="7" t="str">
        <f>_xlfn.XLOOKUP(B436,Customers!A436:A1435,Customers!B436:B1435,"Customer Not Found",0)</f>
        <v>Customer_479</v>
      </c>
      <c r="F436" s="7" t="str">
        <f>_xlfn.XLOOKUP(Orders!B436,Customers!A436:A1435,Customers!C436:C1435,"Country not Found",0)</f>
        <v>USA</v>
      </c>
      <c r="G436" s="7" t="str">
        <f>_xlfn.XLOOKUP(C436,Products!A436:A935,Products!B436:B935,"Product Missing",0)</f>
        <v>Product Missing</v>
      </c>
      <c r="H436" s="7" t="str">
        <f>_xlfn.XLOOKUP(C436,Products!A436:A935,Products!C436:C935,"Category Missing",0)</f>
        <v>Category Missing</v>
      </c>
      <c r="I436" s="11" t="str">
        <f>_xlfn.XLOOKUP(Orders!C436,Products!A436:A935,Products!D436:D935,"Price Missing",0)</f>
        <v>Price Missing</v>
      </c>
      <c r="J436" s="19">
        <f t="shared" si="6"/>
        <v>0</v>
      </c>
    </row>
    <row r="437" spans="1:10" x14ac:dyDescent="0.35">
      <c r="A437" s="4" t="s">
        <v>4457</v>
      </c>
      <c r="B437" s="7" t="s">
        <v>338</v>
      </c>
      <c r="C437" s="7" t="s">
        <v>3734</v>
      </c>
      <c r="D437" s="5">
        <v>2</v>
      </c>
      <c r="E437" s="7" t="str">
        <f>_xlfn.XLOOKUP(B437,Customers!A437:A1436,Customers!B437:B1436,"Customer Not Found",0)</f>
        <v>Customer Not Found</v>
      </c>
      <c r="F437" s="7" t="str">
        <f>_xlfn.XLOOKUP(Orders!B437,Customers!A437:A1436,Customers!C437:C1436,"Country not Found",0)</f>
        <v>Country not Found</v>
      </c>
      <c r="G437" s="7" t="str">
        <f>_xlfn.XLOOKUP(C437,Products!A437:A936,Products!B437:B936,"Product Missing",0)</f>
        <v>Product Missing</v>
      </c>
      <c r="H437" s="7" t="str">
        <f>_xlfn.XLOOKUP(C437,Products!A437:A936,Products!C437:C936,"Category Missing",0)</f>
        <v>Category Missing</v>
      </c>
      <c r="I437" s="11" t="str">
        <f>_xlfn.XLOOKUP(Orders!C437,Products!A437:A936,Products!D437:D936,"Price Missing",0)</f>
        <v>Price Missing</v>
      </c>
      <c r="J437" s="19">
        <f t="shared" si="6"/>
        <v>0</v>
      </c>
    </row>
    <row r="438" spans="1:10" x14ac:dyDescent="0.35">
      <c r="A438" s="4" t="s">
        <v>4458</v>
      </c>
      <c r="B438" s="7" t="s">
        <v>2291</v>
      </c>
      <c r="C438" s="7" t="s">
        <v>3452</v>
      </c>
      <c r="D438" s="5">
        <v>10</v>
      </c>
      <c r="E438" s="7" t="str">
        <f>_xlfn.XLOOKUP(B438,Customers!A438:A1437,Customers!B438:B1437,"Customer Not Found",0)</f>
        <v>Customer_761</v>
      </c>
      <c r="F438" s="7" t="str">
        <f>_xlfn.XLOOKUP(Orders!B438,Customers!A438:A1437,Customers!C438:C1437,"Country not Found",0)</f>
        <v>Nigeria</v>
      </c>
      <c r="G438" s="7" t="str">
        <f>_xlfn.XLOOKUP(C438,Products!A438:A937,Products!B438:B937,"Product Missing",0)</f>
        <v>Product Missing</v>
      </c>
      <c r="H438" s="7" t="str">
        <f>_xlfn.XLOOKUP(C438,Products!A438:A937,Products!C438:C937,"Category Missing",0)</f>
        <v>Category Missing</v>
      </c>
      <c r="I438" s="11" t="str">
        <f>_xlfn.XLOOKUP(Orders!C438,Products!A438:A937,Products!D438:D937,"Price Missing",0)</f>
        <v>Price Missing</v>
      </c>
      <c r="J438" s="19">
        <f t="shared" si="6"/>
        <v>0</v>
      </c>
    </row>
    <row r="439" spans="1:10" x14ac:dyDescent="0.35">
      <c r="A439" s="4" t="s">
        <v>4459</v>
      </c>
      <c r="B439" s="7" t="s">
        <v>503</v>
      </c>
      <c r="C439" s="7" t="s">
        <v>3844</v>
      </c>
      <c r="D439" s="5">
        <v>9</v>
      </c>
      <c r="E439" s="7" t="str">
        <f>_xlfn.XLOOKUP(B439,Customers!A439:A1438,Customers!B439:B1438,"Customer Not Found",0)</f>
        <v>Customer Not Found</v>
      </c>
      <c r="F439" s="7" t="str">
        <f>_xlfn.XLOOKUP(Orders!B439,Customers!A439:A1438,Customers!C439:C1438,"Country not Found",0)</f>
        <v>Country not Found</v>
      </c>
      <c r="G439" s="7" t="str">
        <f>_xlfn.XLOOKUP(C439,Products!A439:A938,Products!B439:B938,"Product Missing",0)</f>
        <v>Product Missing</v>
      </c>
      <c r="H439" s="7" t="str">
        <f>_xlfn.XLOOKUP(C439,Products!A439:A938,Products!C439:C938,"Category Missing",0)</f>
        <v>Category Missing</v>
      </c>
      <c r="I439" s="11" t="str">
        <f>_xlfn.XLOOKUP(Orders!C439,Products!A439:A938,Products!D439:D938,"Price Missing",0)</f>
        <v>Price Missing</v>
      </c>
      <c r="J439" s="19">
        <f t="shared" si="6"/>
        <v>0</v>
      </c>
    </row>
    <row r="440" spans="1:10" x14ac:dyDescent="0.35">
      <c r="A440" s="4" t="s">
        <v>4460</v>
      </c>
      <c r="B440" s="7" t="s">
        <v>2405</v>
      </c>
      <c r="C440" s="7" t="s">
        <v>3025</v>
      </c>
      <c r="D440" s="5">
        <v>7</v>
      </c>
      <c r="E440" s="7" t="str">
        <f>_xlfn.XLOOKUP(B440,Customers!A440:A1439,Customers!B440:B1439,"Customer Not Found",0)</f>
        <v>Customer_799</v>
      </c>
      <c r="F440" s="7" t="str">
        <f>_xlfn.XLOOKUP(Orders!B440,Customers!A440:A1439,Customers!C440:C1439,"Country not Found",0)</f>
        <v>UK</v>
      </c>
      <c r="G440" s="7" t="str">
        <f>_xlfn.XLOOKUP(C440,Products!A440:A939,Products!B440:B939,"Product Missing",0)</f>
        <v>Product Missing</v>
      </c>
      <c r="H440" s="7" t="str">
        <f>_xlfn.XLOOKUP(C440,Products!A440:A939,Products!C440:C939,"Category Missing",0)</f>
        <v>Category Missing</v>
      </c>
      <c r="I440" s="11" t="str">
        <f>_xlfn.XLOOKUP(Orders!C440,Products!A440:A939,Products!D440:D939,"Price Missing",0)</f>
        <v>Price Missing</v>
      </c>
      <c r="J440" s="19">
        <f t="shared" si="6"/>
        <v>0</v>
      </c>
    </row>
    <row r="441" spans="1:10" x14ac:dyDescent="0.35">
      <c r="A441" s="4" t="s">
        <v>4461</v>
      </c>
      <c r="B441" s="7" t="s">
        <v>569</v>
      </c>
      <c r="C441" s="7" t="s">
        <v>3756</v>
      </c>
      <c r="D441" s="5">
        <v>1</v>
      </c>
      <c r="E441" s="7" t="str">
        <f>_xlfn.XLOOKUP(B441,Customers!A441:A1440,Customers!B441:B1440,"Customer Not Found",0)</f>
        <v>Customer Not Found</v>
      </c>
      <c r="F441" s="7" t="str">
        <f>_xlfn.XLOOKUP(Orders!B441,Customers!A441:A1440,Customers!C441:C1440,"Country not Found",0)</f>
        <v>Country not Found</v>
      </c>
      <c r="G441" s="7" t="str">
        <f>_xlfn.XLOOKUP(C441,Products!A441:A940,Products!B441:B940,"Product Missing",0)</f>
        <v>Product Missing</v>
      </c>
      <c r="H441" s="7" t="str">
        <f>_xlfn.XLOOKUP(C441,Products!A441:A940,Products!C441:C940,"Category Missing",0)</f>
        <v>Category Missing</v>
      </c>
      <c r="I441" s="11" t="str">
        <f>_xlfn.XLOOKUP(Orders!C441,Products!A441:A940,Products!D441:D940,"Price Missing",0)</f>
        <v>Price Missing</v>
      </c>
      <c r="J441" s="19">
        <f t="shared" si="6"/>
        <v>0</v>
      </c>
    </row>
    <row r="442" spans="1:10" x14ac:dyDescent="0.35">
      <c r="A442" s="4" t="s">
        <v>4462</v>
      </c>
      <c r="B442" s="7" t="s">
        <v>668</v>
      </c>
      <c r="C442" s="7" t="s">
        <v>3822</v>
      </c>
      <c r="D442" s="5">
        <v>3</v>
      </c>
      <c r="E442" s="7" t="str">
        <f>_xlfn.XLOOKUP(B442,Customers!A442:A1441,Customers!B442:B1441,"Customer Not Found",0)</f>
        <v>Customer Not Found</v>
      </c>
      <c r="F442" s="7" t="str">
        <f>_xlfn.XLOOKUP(Orders!B442,Customers!A442:A1441,Customers!C442:C1441,"Country not Found",0)</f>
        <v>Country not Found</v>
      </c>
      <c r="G442" s="7" t="str">
        <f>_xlfn.XLOOKUP(C442,Products!A442:A941,Products!B442:B941,"Product Missing",0)</f>
        <v>Product Missing</v>
      </c>
      <c r="H442" s="7" t="str">
        <f>_xlfn.XLOOKUP(C442,Products!A442:A941,Products!C442:C941,"Category Missing",0)</f>
        <v>Category Missing</v>
      </c>
      <c r="I442" s="11" t="str">
        <f>_xlfn.XLOOKUP(Orders!C442,Products!A442:A941,Products!D442:D941,"Price Missing",0)</f>
        <v>Price Missing</v>
      </c>
      <c r="J442" s="19">
        <f t="shared" si="6"/>
        <v>0</v>
      </c>
    </row>
    <row r="443" spans="1:10" x14ac:dyDescent="0.35">
      <c r="A443" s="4" t="s">
        <v>4463</v>
      </c>
      <c r="B443" s="7" t="s">
        <v>2570</v>
      </c>
      <c r="C443" s="7" t="s">
        <v>3202</v>
      </c>
      <c r="D443" s="5">
        <v>3</v>
      </c>
      <c r="E443" s="7" t="str">
        <f>_xlfn.XLOOKUP(B443,Customers!A443:A1442,Customers!B443:B1442,"Customer Not Found",0)</f>
        <v>Customer_854</v>
      </c>
      <c r="F443" s="7" t="str">
        <f>_xlfn.XLOOKUP(Orders!B443,Customers!A443:A1442,Customers!C443:C1442,"Country not Found",0)</f>
        <v>Kenya</v>
      </c>
      <c r="G443" s="7" t="str">
        <f>_xlfn.XLOOKUP(C443,Products!A443:A942,Products!B443:B942,"Product Missing",0)</f>
        <v>Product Missing</v>
      </c>
      <c r="H443" s="7" t="str">
        <f>_xlfn.XLOOKUP(C443,Products!A443:A942,Products!C443:C942,"Category Missing",0)</f>
        <v>Category Missing</v>
      </c>
      <c r="I443" s="11" t="str">
        <f>_xlfn.XLOOKUP(Orders!C443,Products!A443:A942,Products!D443:D942,"Price Missing",0)</f>
        <v>Price Missing</v>
      </c>
      <c r="J443" s="19">
        <f t="shared" si="6"/>
        <v>0</v>
      </c>
    </row>
    <row r="444" spans="1:10" x14ac:dyDescent="0.35">
      <c r="A444" s="4" t="s">
        <v>4464</v>
      </c>
      <c r="B444" s="7" t="s">
        <v>1427</v>
      </c>
      <c r="C444" s="7" t="s">
        <v>3236</v>
      </c>
      <c r="D444" s="5">
        <v>9</v>
      </c>
      <c r="E444" s="7" t="str">
        <f>_xlfn.XLOOKUP(B444,Customers!A444:A1443,Customers!B444:B1443,"Customer Not Found",0)</f>
        <v>Customer_473</v>
      </c>
      <c r="F444" s="7" t="str">
        <f>_xlfn.XLOOKUP(Orders!B444,Customers!A444:A1443,Customers!C444:C1443,"Country not Found",0)</f>
        <v>Canada</v>
      </c>
      <c r="G444" s="7" t="str">
        <f>_xlfn.XLOOKUP(C444,Products!A444:A943,Products!B444:B943,"Product Missing",0)</f>
        <v>Product Missing</v>
      </c>
      <c r="H444" s="7" t="str">
        <f>_xlfn.XLOOKUP(C444,Products!A444:A943,Products!C444:C943,"Category Missing",0)</f>
        <v>Category Missing</v>
      </c>
      <c r="I444" s="11" t="str">
        <f>_xlfn.XLOOKUP(Orders!C444,Products!A444:A943,Products!D444:D943,"Price Missing",0)</f>
        <v>Price Missing</v>
      </c>
      <c r="J444" s="19">
        <f t="shared" si="6"/>
        <v>0</v>
      </c>
    </row>
    <row r="445" spans="1:10" x14ac:dyDescent="0.35">
      <c r="A445" s="4" t="s">
        <v>4465</v>
      </c>
      <c r="B445" s="7" t="s">
        <v>1424</v>
      </c>
      <c r="C445" s="7" t="s">
        <v>3104</v>
      </c>
      <c r="D445" s="5">
        <v>9</v>
      </c>
      <c r="E445" s="7" t="str">
        <f>_xlfn.XLOOKUP(B445,Customers!A445:A1444,Customers!B445:B1444,"Customer Not Found",0)</f>
        <v>Customer_472</v>
      </c>
      <c r="F445" s="7" t="str">
        <f>_xlfn.XLOOKUP(Orders!B445,Customers!A445:A1444,Customers!C445:C1444,"Country not Found",0)</f>
        <v>USA</v>
      </c>
      <c r="G445" s="7" t="str">
        <f>_xlfn.XLOOKUP(C445,Products!A445:A944,Products!B445:B944,"Product Missing",0)</f>
        <v>Product Missing</v>
      </c>
      <c r="H445" s="7" t="str">
        <f>_xlfn.XLOOKUP(C445,Products!A445:A944,Products!C445:C944,"Category Missing",0)</f>
        <v>Category Missing</v>
      </c>
      <c r="I445" s="11" t="str">
        <f>_xlfn.XLOOKUP(Orders!C445,Products!A445:A944,Products!D445:D944,"Price Missing",0)</f>
        <v>Price Missing</v>
      </c>
      <c r="J445" s="19">
        <f t="shared" si="6"/>
        <v>0</v>
      </c>
    </row>
    <row r="446" spans="1:10" x14ac:dyDescent="0.35">
      <c r="A446" s="4" t="s">
        <v>4466</v>
      </c>
      <c r="B446" s="7" t="s">
        <v>1001</v>
      </c>
      <c r="C446" s="7" t="s">
        <v>3182</v>
      </c>
      <c r="D446" s="5">
        <v>2</v>
      </c>
      <c r="E446" s="7" t="str">
        <f>_xlfn.XLOOKUP(B446,Customers!A446:A1445,Customers!B446:B1445,"Customer Not Found",0)</f>
        <v>Customer Not Found</v>
      </c>
      <c r="F446" s="7" t="str">
        <f>_xlfn.XLOOKUP(Orders!B446,Customers!A446:A1445,Customers!C446:C1445,"Country not Found",0)</f>
        <v>Country not Found</v>
      </c>
      <c r="G446" s="7" t="str">
        <f>_xlfn.XLOOKUP(C446,Products!A446:A945,Products!B446:B945,"Product Missing",0)</f>
        <v>Product Missing</v>
      </c>
      <c r="H446" s="7" t="str">
        <f>_xlfn.XLOOKUP(C446,Products!A446:A945,Products!C446:C945,"Category Missing",0)</f>
        <v>Category Missing</v>
      </c>
      <c r="I446" s="11" t="str">
        <f>_xlfn.XLOOKUP(Orders!C446,Products!A446:A945,Products!D446:D945,"Price Missing",0)</f>
        <v>Price Missing</v>
      </c>
      <c r="J446" s="19">
        <f t="shared" si="6"/>
        <v>0</v>
      </c>
    </row>
    <row r="447" spans="1:10" x14ac:dyDescent="0.35">
      <c r="A447" s="4" t="s">
        <v>4467</v>
      </c>
      <c r="B447" s="7" t="s">
        <v>1883</v>
      </c>
      <c r="C447" s="7" t="s">
        <v>3574</v>
      </c>
      <c r="D447" s="5">
        <v>1</v>
      </c>
      <c r="E447" s="7" t="str">
        <f>_xlfn.XLOOKUP(B447,Customers!A447:A1446,Customers!B447:B1446,"Customer Not Found",0)</f>
        <v>Customer_625</v>
      </c>
      <c r="F447" s="7" t="str">
        <f>_xlfn.XLOOKUP(Orders!B447,Customers!A447:A1446,Customers!C447:C1446,"Country not Found",0)</f>
        <v>South Africa</v>
      </c>
      <c r="G447" s="7" t="str">
        <f>_xlfn.XLOOKUP(C447,Products!A447:A946,Products!B447:B946,"Product Missing",0)</f>
        <v>Product Missing</v>
      </c>
      <c r="H447" s="7" t="str">
        <f>_xlfn.XLOOKUP(C447,Products!A447:A946,Products!C447:C946,"Category Missing",0)</f>
        <v>Category Missing</v>
      </c>
      <c r="I447" s="11" t="str">
        <f>_xlfn.XLOOKUP(Orders!C447,Products!A447:A946,Products!D447:D946,"Price Missing",0)</f>
        <v>Price Missing</v>
      </c>
      <c r="J447" s="19">
        <f t="shared" si="6"/>
        <v>0</v>
      </c>
    </row>
    <row r="448" spans="1:10" x14ac:dyDescent="0.35">
      <c r="A448" s="4" t="s">
        <v>4468</v>
      </c>
      <c r="B448" s="7" t="s">
        <v>1355</v>
      </c>
      <c r="C448" s="7" t="s">
        <v>3228</v>
      </c>
      <c r="D448" s="5">
        <v>3</v>
      </c>
      <c r="E448" s="7" t="str">
        <f>_xlfn.XLOOKUP(B448,Customers!A448:A1447,Customers!B448:B1447,"Customer Not Found",0)</f>
        <v>Customer_449</v>
      </c>
      <c r="F448" s="7" t="str">
        <f>_xlfn.XLOOKUP(Orders!B448,Customers!A448:A1447,Customers!C448:C1447,"Country not Found",0)</f>
        <v>Ghana</v>
      </c>
      <c r="G448" s="7" t="str">
        <f>_xlfn.XLOOKUP(C448,Products!A448:A947,Products!B448:B947,"Product Missing",0)</f>
        <v>Product Missing</v>
      </c>
      <c r="H448" s="7" t="str">
        <f>_xlfn.XLOOKUP(C448,Products!A448:A947,Products!C448:C947,"Category Missing",0)</f>
        <v>Category Missing</v>
      </c>
      <c r="I448" s="11" t="str">
        <f>_xlfn.XLOOKUP(Orders!C448,Products!A448:A947,Products!D448:D947,"Price Missing",0)</f>
        <v>Price Missing</v>
      </c>
      <c r="J448" s="19">
        <f t="shared" si="6"/>
        <v>0</v>
      </c>
    </row>
    <row r="449" spans="1:10" x14ac:dyDescent="0.35">
      <c r="A449" s="4" t="s">
        <v>4469</v>
      </c>
      <c r="B449" s="7" t="s">
        <v>2090</v>
      </c>
      <c r="C449" s="7" t="s">
        <v>3536</v>
      </c>
      <c r="D449" s="5">
        <v>1</v>
      </c>
      <c r="E449" s="7" t="str">
        <f>_xlfn.XLOOKUP(B449,Customers!A449:A1448,Customers!B449:B1448,"Customer Not Found",0)</f>
        <v>Customer_694</v>
      </c>
      <c r="F449" s="7" t="str">
        <f>_xlfn.XLOOKUP(Orders!B449,Customers!A449:A1448,Customers!C449:C1448,"Country not Found",0)</f>
        <v>South Africa</v>
      </c>
      <c r="G449" s="7" t="str">
        <f>_xlfn.XLOOKUP(C449,Products!A449:A948,Products!B449:B948,"Product Missing",0)</f>
        <v>Product Missing</v>
      </c>
      <c r="H449" s="7" t="str">
        <f>_xlfn.XLOOKUP(C449,Products!A449:A948,Products!C449:C948,"Category Missing",0)</f>
        <v>Category Missing</v>
      </c>
      <c r="I449" s="11" t="str">
        <f>_xlfn.XLOOKUP(Orders!C449,Products!A449:A948,Products!D449:D948,"Price Missing",0)</f>
        <v>Price Missing</v>
      </c>
      <c r="J449" s="19">
        <f t="shared" si="6"/>
        <v>0</v>
      </c>
    </row>
    <row r="450" spans="1:10" x14ac:dyDescent="0.35">
      <c r="A450" s="4" t="s">
        <v>4470</v>
      </c>
      <c r="B450" s="7" t="s">
        <v>770</v>
      </c>
      <c r="C450" s="7" t="s">
        <v>3102</v>
      </c>
      <c r="D450" s="5">
        <v>5</v>
      </c>
      <c r="E450" s="7" t="str">
        <f>_xlfn.XLOOKUP(B450,Customers!A450:A1449,Customers!B450:B1449,"Customer Not Found",0)</f>
        <v>Customer Not Found</v>
      </c>
      <c r="F450" s="7" t="str">
        <f>_xlfn.XLOOKUP(Orders!B450,Customers!A450:A1449,Customers!C450:C1449,"Country not Found",0)</f>
        <v>Country not Found</v>
      </c>
      <c r="G450" s="7" t="str">
        <f>_xlfn.XLOOKUP(C450,Products!A450:A949,Products!B450:B949,"Product Missing",0)</f>
        <v>Product Missing</v>
      </c>
      <c r="H450" s="7" t="str">
        <f>_xlfn.XLOOKUP(C450,Products!A450:A949,Products!C450:C949,"Category Missing",0)</f>
        <v>Category Missing</v>
      </c>
      <c r="I450" s="11" t="str">
        <f>_xlfn.XLOOKUP(Orders!C450,Products!A450:A949,Products!D450:D949,"Price Missing",0)</f>
        <v>Price Missing</v>
      </c>
      <c r="J450" s="19">
        <f t="shared" si="6"/>
        <v>0</v>
      </c>
    </row>
    <row r="451" spans="1:10" x14ac:dyDescent="0.35">
      <c r="A451" s="4" t="s">
        <v>4471</v>
      </c>
      <c r="B451" s="7" t="s">
        <v>2393</v>
      </c>
      <c r="C451" s="7" t="s">
        <v>3698</v>
      </c>
      <c r="D451" s="5">
        <v>5</v>
      </c>
      <c r="E451" s="7" t="str">
        <f>_xlfn.XLOOKUP(B451,Customers!A451:A1450,Customers!B451:B1450,"Customer Not Found",0)</f>
        <v>Customer_795</v>
      </c>
      <c r="F451" s="7" t="str">
        <f>_xlfn.XLOOKUP(Orders!B451,Customers!A451:A1450,Customers!C451:C1450,"Country not Found",0)</f>
        <v>UK</v>
      </c>
      <c r="G451" s="7" t="str">
        <f>_xlfn.XLOOKUP(C451,Products!A451:A950,Products!B451:B950,"Product Missing",0)</f>
        <v>Product Missing</v>
      </c>
      <c r="H451" s="7" t="str">
        <f>_xlfn.XLOOKUP(C451,Products!A451:A950,Products!C451:C950,"Category Missing",0)</f>
        <v>Category Missing</v>
      </c>
      <c r="I451" s="11" t="str">
        <f>_xlfn.XLOOKUP(Orders!C451,Products!A451:A950,Products!D451:D950,"Price Missing",0)</f>
        <v>Price Missing</v>
      </c>
      <c r="J451" s="19">
        <f t="shared" ref="J451:J514" si="7">IFERROR(I451*D451,0)</f>
        <v>0</v>
      </c>
    </row>
    <row r="452" spans="1:10" x14ac:dyDescent="0.35">
      <c r="A452" s="4" t="s">
        <v>4472</v>
      </c>
      <c r="B452" s="7" t="s">
        <v>851</v>
      </c>
      <c r="C452" s="7" t="s">
        <v>3716</v>
      </c>
      <c r="D452" s="5">
        <v>5</v>
      </c>
      <c r="E452" s="7" t="str">
        <f>_xlfn.XLOOKUP(B452,Customers!A452:A1451,Customers!B452:B1451,"Customer Not Found",0)</f>
        <v>Customer Not Found</v>
      </c>
      <c r="F452" s="7" t="str">
        <f>_xlfn.XLOOKUP(Orders!B452,Customers!A452:A1451,Customers!C452:C1451,"Country not Found",0)</f>
        <v>Country not Found</v>
      </c>
      <c r="G452" s="7" t="str">
        <f>_xlfn.XLOOKUP(C452,Products!A452:A951,Products!B452:B951,"Product Missing",0)</f>
        <v>Product Missing</v>
      </c>
      <c r="H452" s="7" t="str">
        <f>_xlfn.XLOOKUP(C452,Products!A452:A951,Products!C452:C951,"Category Missing",0)</f>
        <v>Category Missing</v>
      </c>
      <c r="I452" s="11" t="str">
        <f>_xlfn.XLOOKUP(Orders!C452,Products!A452:A951,Products!D452:D951,"Price Missing",0)</f>
        <v>Price Missing</v>
      </c>
      <c r="J452" s="19">
        <f t="shared" si="7"/>
        <v>0</v>
      </c>
    </row>
    <row r="453" spans="1:10" x14ac:dyDescent="0.35">
      <c r="A453" s="4" t="s">
        <v>4473</v>
      </c>
      <c r="B453" s="7" t="s">
        <v>2240</v>
      </c>
      <c r="C453" s="7" t="s">
        <v>3172</v>
      </c>
      <c r="D453" s="5">
        <v>2</v>
      </c>
      <c r="E453" s="7" t="str">
        <f>_xlfn.XLOOKUP(B453,Customers!A453:A1452,Customers!B453:B1452,"Customer Not Found",0)</f>
        <v>Customer_744</v>
      </c>
      <c r="F453" s="7" t="str">
        <f>_xlfn.XLOOKUP(Orders!B453,Customers!A453:A1452,Customers!C453:C1452,"Country not Found",0)</f>
        <v>Canada</v>
      </c>
      <c r="G453" s="7" t="str">
        <f>_xlfn.XLOOKUP(C453,Products!A453:A952,Products!B453:B952,"Product Missing",0)</f>
        <v>Product Missing</v>
      </c>
      <c r="H453" s="7" t="str">
        <f>_xlfn.XLOOKUP(C453,Products!A453:A952,Products!C453:C952,"Category Missing",0)</f>
        <v>Category Missing</v>
      </c>
      <c r="I453" s="11" t="str">
        <f>_xlfn.XLOOKUP(Orders!C453,Products!A453:A952,Products!D453:D952,"Price Missing",0)</f>
        <v>Price Missing</v>
      </c>
      <c r="J453" s="19">
        <f t="shared" si="7"/>
        <v>0</v>
      </c>
    </row>
    <row r="454" spans="1:10" x14ac:dyDescent="0.35">
      <c r="A454" s="4" t="s">
        <v>4474</v>
      </c>
      <c r="B454" s="7" t="s">
        <v>674</v>
      </c>
      <c r="C454" s="7" t="s">
        <v>3025</v>
      </c>
      <c r="D454" s="5">
        <v>3</v>
      </c>
      <c r="E454" s="7" t="str">
        <f>_xlfn.XLOOKUP(B454,Customers!A454:A1453,Customers!B454:B1453,"Customer Not Found",0)</f>
        <v>Customer Not Found</v>
      </c>
      <c r="F454" s="7" t="str">
        <f>_xlfn.XLOOKUP(Orders!B454,Customers!A454:A1453,Customers!C454:C1453,"Country not Found",0)</f>
        <v>Country not Found</v>
      </c>
      <c r="G454" s="7" t="str">
        <f>_xlfn.XLOOKUP(C454,Products!A454:A953,Products!B454:B953,"Product Missing",0)</f>
        <v>Product Missing</v>
      </c>
      <c r="H454" s="7" t="str">
        <f>_xlfn.XLOOKUP(C454,Products!A454:A953,Products!C454:C953,"Category Missing",0)</f>
        <v>Category Missing</v>
      </c>
      <c r="I454" s="11" t="str">
        <f>_xlfn.XLOOKUP(Orders!C454,Products!A454:A953,Products!D454:D953,"Price Missing",0)</f>
        <v>Price Missing</v>
      </c>
      <c r="J454" s="19">
        <f t="shared" si="7"/>
        <v>0</v>
      </c>
    </row>
    <row r="455" spans="1:10" x14ac:dyDescent="0.35">
      <c r="A455" s="4" t="s">
        <v>4475</v>
      </c>
      <c r="B455" s="7" t="s">
        <v>2234</v>
      </c>
      <c r="C455" s="7" t="s">
        <v>3658</v>
      </c>
      <c r="D455" s="5">
        <v>9</v>
      </c>
      <c r="E455" s="7" t="str">
        <f>_xlfn.XLOOKUP(B455,Customers!A455:A1454,Customers!B455:B1454,"Customer Not Found",0)</f>
        <v>Customer_742</v>
      </c>
      <c r="F455" s="7" t="str">
        <f>_xlfn.XLOOKUP(Orders!B455,Customers!A455:A1454,Customers!C455:C1454,"Country not Found",0)</f>
        <v>Canada</v>
      </c>
      <c r="G455" s="7" t="str">
        <f>_xlfn.XLOOKUP(C455,Products!A455:A954,Products!B455:B954,"Product Missing",0)</f>
        <v>Product Missing</v>
      </c>
      <c r="H455" s="7" t="str">
        <f>_xlfn.XLOOKUP(C455,Products!A455:A954,Products!C455:C954,"Category Missing",0)</f>
        <v>Category Missing</v>
      </c>
      <c r="I455" s="11" t="str">
        <f>_xlfn.XLOOKUP(Orders!C455,Products!A455:A954,Products!D455:D954,"Price Missing",0)</f>
        <v>Price Missing</v>
      </c>
      <c r="J455" s="19">
        <f t="shared" si="7"/>
        <v>0</v>
      </c>
    </row>
    <row r="456" spans="1:10" x14ac:dyDescent="0.35">
      <c r="A456" s="4" t="s">
        <v>4476</v>
      </c>
      <c r="B456" s="7" t="s">
        <v>488</v>
      </c>
      <c r="C456" s="7" t="s">
        <v>3112</v>
      </c>
      <c r="D456" s="5">
        <v>1</v>
      </c>
      <c r="E456" s="7" t="str">
        <f>_xlfn.XLOOKUP(B456,Customers!A456:A1455,Customers!B456:B1455,"Customer Not Found",0)</f>
        <v>Customer Not Found</v>
      </c>
      <c r="F456" s="7" t="str">
        <f>_xlfn.XLOOKUP(Orders!B456,Customers!A456:A1455,Customers!C456:C1455,"Country not Found",0)</f>
        <v>Country not Found</v>
      </c>
      <c r="G456" s="7" t="str">
        <f>_xlfn.XLOOKUP(C456,Products!A456:A955,Products!B456:B955,"Product Missing",0)</f>
        <v>Product Missing</v>
      </c>
      <c r="H456" s="7" t="str">
        <f>_xlfn.XLOOKUP(C456,Products!A456:A955,Products!C456:C955,"Category Missing",0)</f>
        <v>Category Missing</v>
      </c>
      <c r="I456" s="11" t="str">
        <f>_xlfn.XLOOKUP(Orders!C456,Products!A456:A955,Products!D456:D955,"Price Missing",0)</f>
        <v>Price Missing</v>
      </c>
      <c r="J456" s="19">
        <f t="shared" si="7"/>
        <v>0</v>
      </c>
    </row>
    <row r="457" spans="1:10" x14ac:dyDescent="0.35">
      <c r="A457" s="4" t="s">
        <v>4477</v>
      </c>
      <c r="B457" s="7" t="s">
        <v>1823</v>
      </c>
      <c r="C457" s="7" t="s">
        <v>3212</v>
      </c>
      <c r="D457" s="5">
        <v>8</v>
      </c>
      <c r="E457" s="7" t="str">
        <f>_xlfn.XLOOKUP(B457,Customers!A457:A1456,Customers!B457:B1456,"Customer Not Found",0)</f>
        <v>Customer_605</v>
      </c>
      <c r="F457" s="7" t="str">
        <f>_xlfn.XLOOKUP(Orders!B457,Customers!A457:A1456,Customers!C457:C1456,"Country not Found",0)</f>
        <v>Canada</v>
      </c>
      <c r="G457" s="7" t="str">
        <f>_xlfn.XLOOKUP(C457,Products!A457:A956,Products!B457:B956,"Product Missing",0)</f>
        <v>Product Missing</v>
      </c>
      <c r="H457" s="7" t="str">
        <f>_xlfn.XLOOKUP(C457,Products!A457:A956,Products!C457:C956,"Category Missing",0)</f>
        <v>Category Missing</v>
      </c>
      <c r="I457" s="11" t="str">
        <f>_xlfn.XLOOKUP(Orders!C457,Products!A457:A956,Products!D457:D956,"Price Missing",0)</f>
        <v>Price Missing</v>
      </c>
      <c r="J457" s="19">
        <f t="shared" si="7"/>
        <v>0</v>
      </c>
    </row>
    <row r="458" spans="1:10" x14ac:dyDescent="0.35">
      <c r="A458" s="4" t="s">
        <v>4478</v>
      </c>
      <c r="B458" s="7" t="s">
        <v>2087</v>
      </c>
      <c r="C458" s="7" t="s">
        <v>3454</v>
      </c>
      <c r="D458" s="5">
        <v>2</v>
      </c>
      <c r="E458" s="7" t="str">
        <f>_xlfn.XLOOKUP(B458,Customers!A458:A1457,Customers!B458:B1457,"Customer Not Found",0)</f>
        <v>Customer_693</v>
      </c>
      <c r="F458" s="7" t="str">
        <f>_xlfn.XLOOKUP(Orders!B458,Customers!A458:A1457,Customers!C458:C1457,"Country not Found",0)</f>
        <v>South Africa</v>
      </c>
      <c r="G458" s="7" t="str">
        <f>_xlfn.XLOOKUP(C458,Products!A458:A957,Products!B458:B957,"Product Missing",0)</f>
        <v>Product Missing</v>
      </c>
      <c r="H458" s="7" t="str">
        <f>_xlfn.XLOOKUP(C458,Products!A458:A957,Products!C458:C957,"Category Missing",0)</f>
        <v>Category Missing</v>
      </c>
      <c r="I458" s="11" t="str">
        <f>_xlfn.XLOOKUP(Orders!C458,Products!A458:A957,Products!D458:D957,"Price Missing",0)</f>
        <v>Price Missing</v>
      </c>
      <c r="J458" s="19">
        <f t="shared" si="7"/>
        <v>0</v>
      </c>
    </row>
    <row r="459" spans="1:10" x14ac:dyDescent="0.35">
      <c r="A459" s="4" t="s">
        <v>4479</v>
      </c>
      <c r="B459" s="7" t="s">
        <v>728</v>
      </c>
      <c r="C459" s="7" t="s">
        <v>3374</v>
      </c>
      <c r="D459" s="5">
        <v>9</v>
      </c>
      <c r="E459" s="7" t="str">
        <f>_xlfn.XLOOKUP(B459,Customers!A459:A1458,Customers!B459:B1458,"Customer Not Found",0)</f>
        <v>Customer Not Found</v>
      </c>
      <c r="F459" s="7" t="str">
        <f>_xlfn.XLOOKUP(Orders!B459,Customers!A459:A1458,Customers!C459:C1458,"Country not Found",0)</f>
        <v>Country not Found</v>
      </c>
      <c r="G459" s="7" t="str">
        <f>_xlfn.XLOOKUP(C459,Products!A459:A958,Products!B459:B958,"Product Missing",0)</f>
        <v>Product Missing</v>
      </c>
      <c r="H459" s="7" t="str">
        <f>_xlfn.XLOOKUP(C459,Products!A459:A958,Products!C459:C958,"Category Missing",0)</f>
        <v>Category Missing</v>
      </c>
      <c r="I459" s="11" t="str">
        <f>_xlfn.XLOOKUP(Orders!C459,Products!A459:A958,Products!D459:D958,"Price Missing",0)</f>
        <v>Price Missing</v>
      </c>
      <c r="J459" s="19">
        <f t="shared" si="7"/>
        <v>0</v>
      </c>
    </row>
    <row r="460" spans="1:10" x14ac:dyDescent="0.35">
      <c r="A460" s="4" t="s">
        <v>4480</v>
      </c>
      <c r="B460" s="7" t="s">
        <v>1772</v>
      </c>
      <c r="C460" s="7" t="s">
        <v>3432</v>
      </c>
      <c r="D460" s="5">
        <v>9</v>
      </c>
      <c r="E460" s="7" t="str">
        <f>_xlfn.XLOOKUP(B460,Customers!A460:A1459,Customers!B460:B1459,"Customer Not Found",0)</f>
        <v>Customer_588</v>
      </c>
      <c r="F460" s="7" t="str">
        <f>_xlfn.XLOOKUP(Orders!B460,Customers!A460:A1459,Customers!C460:C1459,"Country not Found",0)</f>
        <v>Ghana</v>
      </c>
      <c r="G460" s="7" t="str">
        <f>_xlfn.XLOOKUP(C460,Products!A460:A959,Products!B460:B959,"Product Missing",0)</f>
        <v>Product Missing</v>
      </c>
      <c r="H460" s="7" t="str">
        <f>_xlfn.XLOOKUP(C460,Products!A460:A959,Products!C460:C959,"Category Missing",0)</f>
        <v>Category Missing</v>
      </c>
      <c r="I460" s="11" t="str">
        <f>_xlfn.XLOOKUP(Orders!C460,Products!A460:A959,Products!D460:D959,"Price Missing",0)</f>
        <v>Price Missing</v>
      </c>
      <c r="J460" s="19">
        <f t="shared" si="7"/>
        <v>0</v>
      </c>
    </row>
    <row r="461" spans="1:10" x14ac:dyDescent="0.35">
      <c r="A461" s="4" t="s">
        <v>4481</v>
      </c>
      <c r="B461" s="7" t="s">
        <v>1103</v>
      </c>
      <c r="C461" s="7" t="s">
        <v>3320</v>
      </c>
      <c r="D461" s="5">
        <v>3</v>
      </c>
      <c r="E461" s="7" t="str">
        <f>_xlfn.XLOOKUP(B461,Customers!A461:A1460,Customers!B461:B1460,"Customer Not Found",0)</f>
        <v>Customer Not Found</v>
      </c>
      <c r="F461" s="7" t="str">
        <f>_xlfn.XLOOKUP(Orders!B461,Customers!A461:A1460,Customers!C461:C1460,"Country not Found",0)</f>
        <v>Country not Found</v>
      </c>
      <c r="G461" s="7" t="str">
        <f>_xlfn.XLOOKUP(C461,Products!A461:A960,Products!B461:B960,"Product Missing",0)</f>
        <v>Product Missing</v>
      </c>
      <c r="H461" s="7" t="str">
        <f>_xlfn.XLOOKUP(C461,Products!A461:A960,Products!C461:C960,"Category Missing",0)</f>
        <v>Category Missing</v>
      </c>
      <c r="I461" s="11" t="str">
        <f>_xlfn.XLOOKUP(Orders!C461,Products!A461:A960,Products!D461:D960,"Price Missing",0)</f>
        <v>Price Missing</v>
      </c>
      <c r="J461" s="19">
        <f t="shared" si="7"/>
        <v>0</v>
      </c>
    </row>
    <row r="462" spans="1:10" x14ac:dyDescent="0.35">
      <c r="A462" s="4" t="s">
        <v>4482</v>
      </c>
      <c r="B462" s="7" t="s">
        <v>2141</v>
      </c>
      <c r="C462" s="7" t="s">
        <v>3898</v>
      </c>
      <c r="D462" s="5">
        <v>2</v>
      </c>
      <c r="E462" s="7" t="str">
        <f>_xlfn.XLOOKUP(B462,Customers!A462:A1461,Customers!B462:B1461,"Customer Not Found",0)</f>
        <v>Customer_711</v>
      </c>
      <c r="F462" s="7" t="str">
        <f>_xlfn.XLOOKUP(Orders!B462,Customers!A462:A1461,Customers!C462:C1461,"Country not Found",0)</f>
        <v>Kenya</v>
      </c>
      <c r="G462" s="7" t="str">
        <f>_xlfn.XLOOKUP(C462,Products!A462:A961,Products!B462:B961,"Product Missing",0)</f>
        <v>Product Missing</v>
      </c>
      <c r="H462" s="7" t="str">
        <f>_xlfn.XLOOKUP(C462,Products!A462:A961,Products!C462:C961,"Category Missing",0)</f>
        <v>Category Missing</v>
      </c>
      <c r="I462" s="11" t="str">
        <f>_xlfn.XLOOKUP(Orders!C462,Products!A462:A961,Products!D462:D961,"Price Missing",0)</f>
        <v>Price Missing</v>
      </c>
      <c r="J462" s="19">
        <f t="shared" si="7"/>
        <v>0</v>
      </c>
    </row>
    <row r="463" spans="1:10" x14ac:dyDescent="0.35">
      <c r="A463" s="4" t="s">
        <v>4483</v>
      </c>
      <c r="B463" s="7" t="s">
        <v>1649</v>
      </c>
      <c r="C463" s="7" t="s">
        <v>3858</v>
      </c>
      <c r="D463" s="5">
        <v>6</v>
      </c>
      <c r="E463" s="7" t="str">
        <f>_xlfn.XLOOKUP(B463,Customers!A463:A1462,Customers!B463:B1462,"Customer Not Found",0)</f>
        <v>Customer_547</v>
      </c>
      <c r="F463" s="7" t="str">
        <f>_xlfn.XLOOKUP(Orders!B463,Customers!A463:A1462,Customers!C463:C1462,"Country not Found",0)</f>
        <v>Ghana</v>
      </c>
      <c r="G463" s="7" t="str">
        <f>_xlfn.XLOOKUP(C463,Products!A463:A962,Products!B463:B962,"Product Missing",0)</f>
        <v>Product Missing</v>
      </c>
      <c r="H463" s="7" t="str">
        <f>_xlfn.XLOOKUP(C463,Products!A463:A962,Products!C463:C962,"Category Missing",0)</f>
        <v>Category Missing</v>
      </c>
      <c r="I463" s="11" t="str">
        <f>_xlfn.XLOOKUP(Orders!C463,Products!A463:A962,Products!D463:D962,"Price Missing",0)</f>
        <v>Price Missing</v>
      </c>
      <c r="J463" s="19">
        <f t="shared" si="7"/>
        <v>0</v>
      </c>
    </row>
    <row r="464" spans="1:10" x14ac:dyDescent="0.35">
      <c r="A464" s="4" t="s">
        <v>4484</v>
      </c>
      <c r="B464" s="7" t="s">
        <v>974</v>
      </c>
      <c r="C464" s="7" t="s">
        <v>3126</v>
      </c>
      <c r="D464" s="5">
        <v>8</v>
      </c>
      <c r="E464" s="7" t="str">
        <f>_xlfn.XLOOKUP(B464,Customers!A464:A1463,Customers!B464:B1463,"Customer Not Found",0)</f>
        <v>Customer Not Found</v>
      </c>
      <c r="F464" s="7" t="str">
        <f>_xlfn.XLOOKUP(Orders!B464,Customers!A464:A1463,Customers!C464:C1463,"Country not Found",0)</f>
        <v>Country not Found</v>
      </c>
      <c r="G464" s="7" t="str">
        <f>_xlfn.XLOOKUP(C464,Products!A464:A963,Products!B464:B963,"Product Missing",0)</f>
        <v>Product Missing</v>
      </c>
      <c r="H464" s="7" t="str">
        <f>_xlfn.XLOOKUP(C464,Products!A464:A963,Products!C464:C963,"Category Missing",0)</f>
        <v>Category Missing</v>
      </c>
      <c r="I464" s="11" t="str">
        <f>_xlfn.XLOOKUP(Orders!C464,Products!A464:A963,Products!D464:D963,"Price Missing",0)</f>
        <v>Price Missing</v>
      </c>
      <c r="J464" s="19">
        <f t="shared" si="7"/>
        <v>0</v>
      </c>
    </row>
    <row r="465" spans="1:10" x14ac:dyDescent="0.35">
      <c r="A465" s="4" t="s">
        <v>4485</v>
      </c>
      <c r="B465" s="7" t="s">
        <v>953</v>
      </c>
      <c r="C465" s="7" t="s">
        <v>3888</v>
      </c>
      <c r="D465" s="5">
        <v>3</v>
      </c>
      <c r="E465" s="7" t="str">
        <f>_xlfn.XLOOKUP(B465,Customers!A465:A1464,Customers!B465:B1464,"Customer Not Found",0)</f>
        <v>Customer Not Found</v>
      </c>
      <c r="F465" s="7" t="str">
        <f>_xlfn.XLOOKUP(Orders!B465,Customers!A465:A1464,Customers!C465:C1464,"Country not Found",0)</f>
        <v>Country not Found</v>
      </c>
      <c r="G465" s="7" t="str">
        <f>_xlfn.XLOOKUP(C465,Products!A465:A964,Products!B465:B964,"Product Missing",0)</f>
        <v>Product Missing</v>
      </c>
      <c r="H465" s="7" t="str">
        <f>_xlfn.XLOOKUP(C465,Products!A465:A964,Products!C465:C964,"Category Missing",0)</f>
        <v>Category Missing</v>
      </c>
      <c r="I465" s="11" t="str">
        <f>_xlfn.XLOOKUP(Orders!C465,Products!A465:A964,Products!D465:D964,"Price Missing",0)</f>
        <v>Price Missing</v>
      </c>
      <c r="J465" s="19">
        <f t="shared" si="7"/>
        <v>0</v>
      </c>
    </row>
    <row r="466" spans="1:10" x14ac:dyDescent="0.35">
      <c r="A466" s="4" t="s">
        <v>4486</v>
      </c>
      <c r="B466" s="7" t="s">
        <v>206</v>
      </c>
      <c r="C466" s="7" t="s">
        <v>3650</v>
      </c>
      <c r="D466" s="5">
        <v>2</v>
      </c>
      <c r="E466" s="7" t="str">
        <f>_xlfn.XLOOKUP(B466,Customers!A466:A1465,Customers!B466:B1465,"Customer Not Found",0)</f>
        <v>Customer Not Found</v>
      </c>
      <c r="F466" s="7" t="str">
        <f>_xlfn.XLOOKUP(Orders!B466,Customers!A466:A1465,Customers!C466:C1465,"Country not Found",0)</f>
        <v>Country not Found</v>
      </c>
      <c r="G466" s="7" t="str">
        <f>_xlfn.XLOOKUP(C466,Products!A466:A965,Products!B466:B965,"Product Missing",0)</f>
        <v>Product Missing</v>
      </c>
      <c r="H466" s="7" t="str">
        <f>_xlfn.XLOOKUP(C466,Products!A466:A965,Products!C466:C965,"Category Missing",0)</f>
        <v>Category Missing</v>
      </c>
      <c r="I466" s="11" t="str">
        <f>_xlfn.XLOOKUP(Orders!C466,Products!A466:A965,Products!D466:D965,"Price Missing",0)</f>
        <v>Price Missing</v>
      </c>
      <c r="J466" s="19">
        <f t="shared" si="7"/>
        <v>0</v>
      </c>
    </row>
    <row r="467" spans="1:10" x14ac:dyDescent="0.35">
      <c r="A467" s="4" t="s">
        <v>4487</v>
      </c>
      <c r="B467" s="7" t="s">
        <v>1976</v>
      </c>
      <c r="C467" s="7" t="s">
        <v>3158</v>
      </c>
      <c r="D467" s="5">
        <v>8</v>
      </c>
      <c r="E467" s="7" t="str">
        <f>_xlfn.XLOOKUP(B467,Customers!A467:A1466,Customers!B467:B1466,"Customer Not Found",0)</f>
        <v>Customer_656</v>
      </c>
      <c r="F467" s="7" t="str">
        <f>_xlfn.XLOOKUP(Orders!B467,Customers!A467:A1466,Customers!C467:C1466,"Country not Found",0)</f>
        <v>Kenya</v>
      </c>
      <c r="G467" s="7" t="str">
        <f>_xlfn.XLOOKUP(C467,Products!A467:A966,Products!B467:B966,"Product Missing",0)</f>
        <v>Product Missing</v>
      </c>
      <c r="H467" s="7" t="str">
        <f>_xlfn.XLOOKUP(C467,Products!A467:A966,Products!C467:C966,"Category Missing",0)</f>
        <v>Category Missing</v>
      </c>
      <c r="I467" s="11" t="str">
        <f>_xlfn.XLOOKUP(Orders!C467,Products!A467:A966,Products!D467:D966,"Price Missing",0)</f>
        <v>Price Missing</v>
      </c>
      <c r="J467" s="19">
        <f t="shared" si="7"/>
        <v>0</v>
      </c>
    </row>
    <row r="468" spans="1:10" x14ac:dyDescent="0.35">
      <c r="A468" s="4" t="s">
        <v>4488</v>
      </c>
      <c r="B468" s="7" t="s">
        <v>1610</v>
      </c>
      <c r="C468" s="7" t="s">
        <v>3284</v>
      </c>
      <c r="D468" s="5">
        <v>6</v>
      </c>
      <c r="E468" s="7" t="str">
        <f>_xlfn.XLOOKUP(B468,Customers!A468:A1467,Customers!B468:B1467,"Customer Not Found",0)</f>
        <v>Customer_534</v>
      </c>
      <c r="F468" s="7" t="str">
        <f>_xlfn.XLOOKUP(Orders!B468,Customers!A468:A1467,Customers!C468:C1467,"Country not Found",0)</f>
        <v>South Africa</v>
      </c>
      <c r="G468" s="7" t="str">
        <f>_xlfn.XLOOKUP(C468,Products!A468:A967,Products!B468:B967,"Product Missing",0)</f>
        <v>Product Missing</v>
      </c>
      <c r="H468" s="7" t="str">
        <f>_xlfn.XLOOKUP(C468,Products!A468:A967,Products!C468:C967,"Category Missing",0)</f>
        <v>Category Missing</v>
      </c>
      <c r="I468" s="11" t="str">
        <f>_xlfn.XLOOKUP(Orders!C468,Products!A468:A967,Products!D468:D967,"Price Missing",0)</f>
        <v>Price Missing</v>
      </c>
      <c r="J468" s="19">
        <f t="shared" si="7"/>
        <v>0</v>
      </c>
    </row>
    <row r="469" spans="1:10" x14ac:dyDescent="0.35">
      <c r="A469" s="4" t="s">
        <v>4489</v>
      </c>
      <c r="B469" s="7" t="s">
        <v>959</v>
      </c>
      <c r="C469" s="7" t="s">
        <v>3166</v>
      </c>
      <c r="D469" s="5">
        <v>4</v>
      </c>
      <c r="E469" s="7" t="str">
        <f>_xlfn.XLOOKUP(B469,Customers!A469:A1468,Customers!B469:B1468,"Customer Not Found",0)</f>
        <v>Customer Not Found</v>
      </c>
      <c r="F469" s="7" t="str">
        <f>_xlfn.XLOOKUP(Orders!B469,Customers!A469:A1468,Customers!C469:C1468,"Country not Found",0)</f>
        <v>Country not Found</v>
      </c>
      <c r="G469" s="7" t="str">
        <f>_xlfn.XLOOKUP(C469,Products!A469:A968,Products!B469:B968,"Product Missing",0)</f>
        <v>Product Missing</v>
      </c>
      <c r="H469" s="7" t="str">
        <f>_xlfn.XLOOKUP(C469,Products!A469:A968,Products!C469:C968,"Category Missing",0)</f>
        <v>Category Missing</v>
      </c>
      <c r="I469" s="11" t="str">
        <f>_xlfn.XLOOKUP(Orders!C469,Products!A469:A968,Products!D469:D968,"Price Missing",0)</f>
        <v>Price Missing</v>
      </c>
      <c r="J469" s="19">
        <f t="shared" si="7"/>
        <v>0</v>
      </c>
    </row>
    <row r="470" spans="1:10" x14ac:dyDescent="0.35">
      <c r="A470" s="4" t="s">
        <v>4490</v>
      </c>
      <c r="B470" s="7" t="s">
        <v>1688</v>
      </c>
      <c r="C470" s="7" t="s">
        <v>3039</v>
      </c>
      <c r="D470" s="5">
        <v>6</v>
      </c>
      <c r="E470" s="7" t="str">
        <f>_xlfn.XLOOKUP(B470,Customers!A470:A1469,Customers!B470:B1469,"Customer Not Found",0)</f>
        <v>Customer_560</v>
      </c>
      <c r="F470" s="7" t="str">
        <f>_xlfn.XLOOKUP(Orders!B470,Customers!A470:A1469,Customers!C470:C1469,"Country not Found",0)</f>
        <v>Canada</v>
      </c>
      <c r="G470" s="7" t="str">
        <f>_xlfn.XLOOKUP(C470,Products!A470:A969,Products!B470:B969,"Product Missing",0)</f>
        <v>Product Missing</v>
      </c>
      <c r="H470" s="7" t="str">
        <f>_xlfn.XLOOKUP(C470,Products!A470:A969,Products!C470:C969,"Category Missing",0)</f>
        <v>Category Missing</v>
      </c>
      <c r="I470" s="11" t="str">
        <f>_xlfn.XLOOKUP(Orders!C470,Products!A470:A969,Products!D470:D969,"Price Missing",0)</f>
        <v>Price Missing</v>
      </c>
      <c r="J470" s="19">
        <f t="shared" si="7"/>
        <v>0</v>
      </c>
    </row>
    <row r="471" spans="1:10" x14ac:dyDescent="0.35">
      <c r="A471" s="4" t="s">
        <v>4491</v>
      </c>
      <c r="B471" s="7" t="s">
        <v>2243</v>
      </c>
      <c r="C471" s="7" t="s">
        <v>3194</v>
      </c>
      <c r="D471" s="5">
        <v>2</v>
      </c>
      <c r="E471" s="7" t="str">
        <f>_xlfn.XLOOKUP(B471,Customers!A471:A1470,Customers!B471:B1470,"Customer Not Found",0)</f>
        <v>Customer_745</v>
      </c>
      <c r="F471" s="7" t="str">
        <f>_xlfn.XLOOKUP(Orders!B471,Customers!A471:A1470,Customers!C471:C1470,"Country not Found",0)</f>
        <v>Kenya</v>
      </c>
      <c r="G471" s="7" t="str">
        <f>_xlfn.XLOOKUP(C471,Products!A471:A970,Products!B471:B970,"Product Missing",0)</f>
        <v>Product Missing</v>
      </c>
      <c r="H471" s="7" t="str">
        <f>_xlfn.XLOOKUP(C471,Products!A471:A970,Products!C471:C970,"Category Missing",0)</f>
        <v>Category Missing</v>
      </c>
      <c r="I471" s="11" t="str">
        <f>_xlfn.XLOOKUP(Orders!C471,Products!A471:A970,Products!D471:D970,"Price Missing",0)</f>
        <v>Price Missing</v>
      </c>
      <c r="J471" s="19">
        <f t="shared" si="7"/>
        <v>0</v>
      </c>
    </row>
    <row r="472" spans="1:10" x14ac:dyDescent="0.35">
      <c r="A472" s="4" t="s">
        <v>4492</v>
      </c>
      <c r="B472" s="7" t="s">
        <v>575</v>
      </c>
      <c r="C472" s="7" t="s">
        <v>3410</v>
      </c>
      <c r="D472" s="5">
        <v>5</v>
      </c>
      <c r="E472" s="7" t="str">
        <f>_xlfn.XLOOKUP(B472,Customers!A472:A1471,Customers!B472:B1471,"Customer Not Found",0)</f>
        <v>Customer Not Found</v>
      </c>
      <c r="F472" s="7" t="str">
        <f>_xlfn.XLOOKUP(Orders!B472,Customers!A472:A1471,Customers!C472:C1471,"Country not Found",0)</f>
        <v>Country not Found</v>
      </c>
      <c r="G472" s="7" t="str">
        <f>_xlfn.XLOOKUP(C472,Products!A472:A971,Products!B472:B971,"Product Missing",0)</f>
        <v>Product Missing</v>
      </c>
      <c r="H472" s="7" t="str">
        <f>_xlfn.XLOOKUP(C472,Products!A472:A971,Products!C472:C971,"Category Missing",0)</f>
        <v>Category Missing</v>
      </c>
      <c r="I472" s="11" t="str">
        <f>_xlfn.XLOOKUP(Orders!C472,Products!A472:A971,Products!D472:D971,"Price Missing",0)</f>
        <v>Price Missing</v>
      </c>
      <c r="J472" s="19">
        <f t="shared" si="7"/>
        <v>0</v>
      </c>
    </row>
    <row r="473" spans="1:10" x14ac:dyDescent="0.35">
      <c r="A473" s="4" t="s">
        <v>4493</v>
      </c>
      <c r="B473" s="7" t="s">
        <v>2768</v>
      </c>
      <c r="C473" s="7" t="s">
        <v>3110</v>
      </c>
      <c r="D473" s="5">
        <v>2</v>
      </c>
      <c r="E473" s="7" t="str">
        <f>_xlfn.XLOOKUP(B473,Customers!A473:A1472,Customers!B473:B1472,"Customer Not Found",0)</f>
        <v>Customer_920</v>
      </c>
      <c r="F473" s="7" t="str">
        <f>_xlfn.XLOOKUP(Orders!B473,Customers!A473:A1472,Customers!C473:C1472,"Country not Found",0)</f>
        <v>Ghana</v>
      </c>
      <c r="G473" s="7" t="str">
        <f>_xlfn.XLOOKUP(C473,Products!A473:A972,Products!B473:B972,"Product Missing",0)</f>
        <v>Product Missing</v>
      </c>
      <c r="H473" s="7" t="str">
        <f>_xlfn.XLOOKUP(C473,Products!A473:A972,Products!C473:C972,"Category Missing",0)</f>
        <v>Category Missing</v>
      </c>
      <c r="I473" s="11" t="str">
        <f>_xlfn.XLOOKUP(Orders!C473,Products!A473:A972,Products!D473:D972,"Price Missing",0)</f>
        <v>Price Missing</v>
      </c>
      <c r="J473" s="19">
        <f t="shared" si="7"/>
        <v>0</v>
      </c>
    </row>
    <row r="474" spans="1:10" x14ac:dyDescent="0.35">
      <c r="A474" s="4" t="s">
        <v>4494</v>
      </c>
      <c r="B474" s="7" t="s">
        <v>218</v>
      </c>
      <c r="C474" s="7" t="s">
        <v>3940</v>
      </c>
      <c r="D474" s="5">
        <v>4</v>
      </c>
      <c r="E474" s="7" t="str">
        <f>_xlfn.XLOOKUP(B474,Customers!A474:A1473,Customers!B474:B1473,"Customer Not Found",0)</f>
        <v>Customer Not Found</v>
      </c>
      <c r="F474" s="7" t="str">
        <f>_xlfn.XLOOKUP(Orders!B474,Customers!A474:A1473,Customers!C474:C1473,"Country not Found",0)</f>
        <v>Country not Found</v>
      </c>
      <c r="G474" s="7" t="str">
        <f>_xlfn.XLOOKUP(C474,Products!A474:A973,Products!B474:B973,"Product Missing",0)</f>
        <v>Product Missing</v>
      </c>
      <c r="H474" s="7" t="str">
        <f>_xlfn.XLOOKUP(C474,Products!A474:A973,Products!C474:C973,"Category Missing",0)</f>
        <v>Category Missing</v>
      </c>
      <c r="I474" s="11" t="str">
        <f>_xlfn.XLOOKUP(Orders!C474,Products!A474:A973,Products!D474:D973,"Price Missing",0)</f>
        <v>Price Missing</v>
      </c>
      <c r="J474" s="19">
        <f t="shared" si="7"/>
        <v>0</v>
      </c>
    </row>
    <row r="475" spans="1:10" x14ac:dyDescent="0.35">
      <c r="A475" s="4" t="s">
        <v>4495</v>
      </c>
      <c r="B475" s="7" t="s">
        <v>1763</v>
      </c>
      <c r="C475" s="7" t="s">
        <v>3656</v>
      </c>
      <c r="D475" s="5">
        <v>8</v>
      </c>
      <c r="E475" s="7" t="str">
        <f>_xlfn.XLOOKUP(B475,Customers!A475:A1474,Customers!B475:B1474,"Customer Not Found",0)</f>
        <v>Customer_585</v>
      </c>
      <c r="F475" s="7" t="str">
        <f>_xlfn.XLOOKUP(Orders!B475,Customers!A475:A1474,Customers!C475:C1474,"Country not Found",0)</f>
        <v>Ghana</v>
      </c>
      <c r="G475" s="7" t="str">
        <f>_xlfn.XLOOKUP(C475,Products!A475:A974,Products!B475:B974,"Product Missing",0)</f>
        <v>Product Missing</v>
      </c>
      <c r="H475" s="7" t="str">
        <f>_xlfn.XLOOKUP(C475,Products!A475:A974,Products!C475:C974,"Category Missing",0)</f>
        <v>Category Missing</v>
      </c>
      <c r="I475" s="11" t="str">
        <f>_xlfn.XLOOKUP(Orders!C475,Products!A475:A974,Products!D475:D974,"Price Missing",0)</f>
        <v>Price Missing</v>
      </c>
      <c r="J475" s="19">
        <f t="shared" si="7"/>
        <v>0</v>
      </c>
    </row>
    <row r="476" spans="1:10" x14ac:dyDescent="0.35">
      <c r="A476" s="4" t="s">
        <v>4496</v>
      </c>
      <c r="B476" s="7" t="s">
        <v>1286</v>
      </c>
      <c r="C476" s="7" t="s">
        <v>3246</v>
      </c>
      <c r="D476" s="5">
        <v>5</v>
      </c>
      <c r="E476" s="7" t="str">
        <f>_xlfn.XLOOKUP(B476,Customers!A476:A1475,Customers!B476:B1475,"Customer Not Found",0)</f>
        <v>Customer Not Found</v>
      </c>
      <c r="F476" s="7" t="str">
        <f>_xlfn.XLOOKUP(Orders!B476,Customers!A476:A1475,Customers!C476:C1475,"Country not Found",0)</f>
        <v>Country not Found</v>
      </c>
      <c r="G476" s="7" t="str">
        <f>_xlfn.XLOOKUP(C476,Products!A476:A975,Products!B476:B975,"Product Missing",0)</f>
        <v>Product Missing</v>
      </c>
      <c r="H476" s="7" t="str">
        <f>_xlfn.XLOOKUP(C476,Products!A476:A975,Products!C476:C975,"Category Missing",0)</f>
        <v>Category Missing</v>
      </c>
      <c r="I476" s="11" t="str">
        <f>_xlfn.XLOOKUP(Orders!C476,Products!A476:A975,Products!D476:D975,"Price Missing",0)</f>
        <v>Price Missing</v>
      </c>
      <c r="J476" s="19">
        <f t="shared" si="7"/>
        <v>0</v>
      </c>
    </row>
    <row r="477" spans="1:10" x14ac:dyDescent="0.35">
      <c r="A477" s="4" t="s">
        <v>4497</v>
      </c>
      <c r="B477" s="7" t="s">
        <v>1877</v>
      </c>
      <c r="C477" s="7" t="s">
        <v>3114</v>
      </c>
      <c r="D477" s="5">
        <v>1</v>
      </c>
      <c r="E477" s="7" t="str">
        <f>_xlfn.XLOOKUP(B477,Customers!A477:A1476,Customers!B477:B1476,"Customer Not Found",0)</f>
        <v>Customer_623</v>
      </c>
      <c r="F477" s="7" t="str">
        <f>_xlfn.XLOOKUP(Orders!B477,Customers!A477:A1476,Customers!C477:C1476,"Country not Found",0)</f>
        <v>Canada</v>
      </c>
      <c r="G477" s="7" t="str">
        <f>_xlfn.XLOOKUP(C477,Products!A477:A976,Products!B477:B976,"Product Missing",0)</f>
        <v>Product Missing</v>
      </c>
      <c r="H477" s="7" t="str">
        <f>_xlfn.XLOOKUP(C477,Products!A477:A976,Products!C477:C976,"Category Missing",0)</f>
        <v>Category Missing</v>
      </c>
      <c r="I477" s="11" t="str">
        <f>_xlfn.XLOOKUP(Orders!C477,Products!A477:A976,Products!D477:D976,"Price Missing",0)</f>
        <v>Price Missing</v>
      </c>
      <c r="J477" s="19">
        <f t="shared" si="7"/>
        <v>0</v>
      </c>
    </row>
    <row r="478" spans="1:10" x14ac:dyDescent="0.35">
      <c r="A478" s="4" t="s">
        <v>4498</v>
      </c>
      <c r="B478" s="7" t="s">
        <v>125</v>
      </c>
      <c r="C478" s="7" t="s">
        <v>3102</v>
      </c>
      <c r="D478" s="5">
        <v>10</v>
      </c>
      <c r="E478" s="7" t="str">
        <f>_xlfn.XLOOKUP(B478,Customers!A478:A1477,Customers!B478:B1477,"Customer Not Found",0)</f>
        <v>Customer Not Found</v>
      </c>
      <c r="F478" s="7" t="str">
        <f>_xlfn.XLOOKUP(Orders!B478,Customers!A478:A1477,Customers!C478:C1477,"Country not Found",0)</f>
        <v>Country not Found</v>
      </c>
      <c r="G478" s="7" t="str">
        <f>_xlfn.XLOOKUP(C478,Products!A478:A977,Products!B478:B977,"Product Missing",0)</f>
        <v>Product Missing</v>
      </c>
      <c r="H478" s="7" t="str">
        <f>_xlfn.XLOOKUP(C478,Products!A478:A977,Products!C478:C977,"Category Missing",0)</f>
        <v>Category Missing</v>
      </c>
      <c r="I478" s="11" t="str">
        <f>_xlfn.XLOOKUP(Orders!C478,Products!A478:A977,Products!D478:D977,"Price Missing",0)</f>
        <v>Price Missing</v>
      </c>
      <c r="J478" s="19">
        <f t="shared" si="7"/>
        <v>0</v>
      </c>
    </row>
    <row r="479" spans="1:10" x14ac:dyDescent="0.35">
      <c r="A479" s="4" t="s">
        <v>4499</v>
      </c>
      <c r="B479" s="7" t="s">
        <v>2945</v>
      </c>
      <c r="C479" s="7" t="s">
        <v>3434</v>
      </c>
      <c r="D479" s="5">
        <v>8</v>
      </c>
      <c r="E479" s="7" t="str">
        <f>_xlfn.XLOOKUP(B479,Customers!A479:A1478,Customers!B479:B1478,"Customer Not Found",0)</f>
        <v>Customer_979</v>
      </c>
      <c r="F479" s="7" t="str">
        <f>_xlfn.XLOOKUP(Orders!B479,Customers!A479:A1478,Customers!C479:C1478,"Country not Found",0)</f>
        <v>Nigeria</v>
      </c>
      <c r="G479" s="7" t="str">
        <f>_xlfn.XLOOKUP(C479,Products!A479:A978,Products!B479:B978,"Product Missing",0)</f>
        <v>Product Missing</v>
      </c>
      <c r="H479" s="7" t="str">
        <f>_xlfn.XLOOKUP(C479,Products!A479:A978,Products!C479:C978,"Category Missing",0)</f>
        <v>Category Missing</v>
      </c>
      <c r="I479" s="11" t="str">
        <f>_xlfn.XLOOKUP(Orders!C479,Products!A479:A978,Products!D479:D978,"Price Missing",0)</f>
        <v>Price Missing</v>
      </c>
      <c r="J479" s="19">
        <f t="shared" si="7"/>
        <v>0</v>
      </c>
    </row>
    <row r="480" spans="1:10" x14ac:dyDescent="0.35">
      <c r="A480" s="4" t="s">
        <v>4500</v>
      </c>
      <c r="B480" s="7" t="s">
        <v>461</v>
      </c>
      <c r="C480" s="7" t="s">
        <v>3886</v>
      </c>
      <c r="D480" s="5">
        <v>7</v>
      </c>
      <c r="E480" s="7" t="str">
        <f>_xlfn.XLOOKUP(B480,Customers!A480:A1479,Customers!B480:B1479,"Customer Not Found",0)</f>
        <v>Customer Not Found</v>
      </c>
      <c r="F480" s="7" t="str">
        <f>_xlfn.XLOOKUP(Orders!B480,Customers!A480:A1479,Customers!C480:C1479,"Country not Found",0)</f>
        <v>Country not Found</v>
      </c>
      <c r="G480" s="7" t="str">
        <f>_xlfn.XLOOKUP(C480,Products!A480:A979,Products!B480:B979,"Product Missing",0)</f>
        <v>Product Missing</v>
      </c>
      <c r="H480" s="7" t="str">
        <f>_xlfn.XLOOKUP(C480,Products!A480:A979,Products!C480:C979,"Category Missing",0)</f>
        <v>Category Missing</v>
      </c>
      <c r="I480" s="11" t="str">
        <f>_xlfn.XLOOKUP(Orders!C480,Products!A480:A979,Products!D480:D979,"Price Missing",0)</f>
        <v>Price Missing</v>
      </c>
      <c r="J480" s="19">
        <f t="shared" si="7"/>
        <v>0</v>
      </c>
    </row>
    <row r="481" spans="1:10" x14ac:dyDescent="0.35">
      <c r="A481" s="4" t="s">
        <v>4501</v>
      </c>
      <c r="B481" s="7" t="s">
        <v>1682</v>
      </c>
      <c r="C481" s="7" t="s">
        <v>3498</v>
      </c>
      <c r="D481" s="5">
        <v>9</v>
      </c>
      <c r="E481" s="7" t="str">
        <f>_xlfn.XLOOKUP(B481,Customers!A481:A1480,Customers!B481:B1480,"Customer Not Found",0)</f>
        <v>Customer_558</v>
      </c>
      <c r="F481" s="7" t="str">
        <f>_xlfn.XLOOKUP(Orders!B481,Customers!A481:A1480,Customers!C481:C1480,"Country not Found",0)</f>
        <v>South Africa</v>
      </c>
      <c r="G481" s="7" t="str">
        <f>_xlfn.XLOOKUP(C481,Products!A481:A980,Products!B481:B980,"Product Missing",0)</f>
        <v>Product Missing</v>
      </c>
      <c r="H481" s="7" t="str">
        <f>_xlfn.XLOOKUP(C481,Products!A481:A980,Products!C481:C980,"Category Missing",0)</f>
        <v>Category Missing</v>
      </c>
      <c r="I481" s="11" t="str">
        <f>_xlfn.XLOOKUP(Orders!C481,Products!A481:A980,Products!D481:D980,"Price Missing",0)</f>
        <v>Price Missing</v>
      </c>
      <c r="J481" s="19">
        <f t="shared" si="7"/>
        <v>0</v>
      </c>
    </row>
    <row r="482" spans="1:10" x14ac:dyDescent="0.35">
      <c r="A482" s="4" t="s">
        <v>4502</v>
      </c>
      <c r="B482" s="7" t="s">
        <v>491</v>
      </c>
      <c r="C482" s="7" t="s">
        <v>3043</v>
      </c>
      <c r="D482" s="5">
        <v>9</v>
      </c>
      <c r="E482" s="7" t="str">
        <f>_xlfn.XLOOKUP(B482,Customers!A482:A1481,Customers!B482:B1481,"Customer Not Found",0)</f>
        <v>Customer Not Found</v>
      </c>
      <c r="F482" s="7" t="str">
        <f>_xlfn.XLOOKUP(Orders!B482,Customers!A482:A1481,Customers!C482:C1481,"Country not Found",0)</f>
        <v>Country not Found</v>
      </c>
      <c r="G482" s="7" t="str">
        <f>_xlfn.XLOOKUP(C482,Products!A482:A981,Products!B482:B981,"Product Missing",0)</f>
        <v>Product Missing</v>
      </c>
      <c r="H482" s="7" t="str">
        <f>_xlfn.XLOOKUP(C482,Products!A482:A981,Products!C482:C981,"Category Missing",0)</f>
        <v>Category Missing</v>
      </c>
      <c r="I482" s="11" t="str">
        <f>_xlfn.XLOOKUP(Orders!C482,Products!A482:A981,Products!D482:D981,"Price Missing",0)</f>
        <v>Price Missing</v>
      </c>
      <c r="J482" s="19">
        <f t="shared" si="7"/>
        <v>0</v>
      </c>
    </row>
    <row r="483" spans="1:10" x14ac:dyDescent="0.35">
      <c r="A483" s="4" t="s">
        <v>4503</v>
      </c>
      <c r="B483" s="7" t="s">
        <v>1940</v>
      </c>
      <c r="C483" s="7" t="s">
        <v>3043</v>
      </c>
      <c r="D483" s="5">
        <v>3</v>
      </c>
      <c r="E483" s="7" t="str">
        <f>_xlfn.XLOOKUP(B483,Customers!A483:A1482,Customers!B483:B1482,"Customer Not Found",0)</f>
        <v>Customer_644</v>
      </c>
      <c r="F483" s="7" t="str">
        <f>_xlfn.XLOOKUP(Orders!B483,Customers!A483:A1482,Customers!C483:C1482,"Country not Found",0)</f>
        <v>Kenya</v>
      </c>
      <c r="G483" s="7" t="str">
        <f>_xlfn.XLOOKUP(C483,Products!A483:A982,Products!B483:B982,"Product Missing",0)</f>
        <v>Product Missing</v>
      </c>
      <c r="H483" s="7" t="str">
        <f>_xlfn.XLOOKUP(C483,Products!A483:A982,Products!C483:C982,"Category Missing",0)</f>
        <v>Category Missing</v>
      </c>
      <c r="I483" s="11" t="str">
        <f>_xlfn.XLOOKUP(Orders!C483,Products!A483:A982,Products!D483:D982,"Price Missing",0)</f>
        <v>Price Missing</v>
      </c>
      <c r="J483" s="19">
        <f t="shared" si="7"/>
        <v>0</v>
      </c>
    </row>
    <row r="484" spans="1:10" x14ac:dyDescent="0.35">
      <c r="A484" s="4" t="s">
        <v>4504</v>
      </c>
      <c r="B484" s="7" t="s">
        <v>1694</v>
      </c>
      <c r="C484" s="7" t="s">
        <v>4012</v>
      </c>
      <c r="D484" s="5">
        <v>4</v>
      </c>
      <c r="E484" s="7" t="str">
        <f>_xlfn.XLOOKUP(B484,Customers!A484:A1483,Customers!B484:B1483,"Customer Not Found",0)</f>
        <v>Customer_562</v>
      </c>
      <c r="F484" s="7" t="str">
        <f>_xlfn.XLOOKUP(Orders!B484,Customers!A484:A1483,Customers!C484:C1483,"Country not Found",0)</f>
        <v>South Africa</v>
      </c>
      <c r="G484" s="7" t="str">
        <f>_xlfn.XLOOKUP(C484,Products!A484:A983,Products!B484:B983,"Product Missing",0)</f>
        <v>Product_497</v>
      </c>
      <c r="H484" s="7" t="str">
        <f>_xlfn.XLOOKUP(C484,Products!A484:A983,Products!C484:C983,"Category Missing",0)</f>
        <v>Sports</v>
      </c>
      <c r="I484" s="11">
        <f>_xlfn.XLOOKUP(Orders!C484,Products!A484:A983,Products!D484:D983,"Price Missing",0)</f>
        <v>414.31</v>
      </c>
      <c r="J484" s="19">
        <f t="shared" si="7"/>
        <v>1657.24</v>
      </c>
    </row>
    <row r="485" spans="1:10" x14ac:dyDescent="0.35">
      <c r="A485" s="4" t="s">
        <v>4505</v>
      </c>
      <c r="B485" s="7" t="s">
        <v>2966</v>
      </c>
      <c r="C485" s="7" t="s">
        <v>3864</v>
      </c>
      <c r="D485" s="5">
        <v>7</v>
      </c>
      <c r="E485" s="7" t="str">
        <f>_xlfn.XLOOKUP(B485,Customers!A485:A1484,Customers!B485:B1484,"Customer Not Found",0)</f>
        <v>Customer_986</v>
      </c>
      <c r="F485" s="7" t="str">
        <f>_xlfn.XLOOKUP(Orders!B485,Customers!A485:A1484,Customers!C485:C1484,"Country not Found",0)</f>
        <v>Kenya</v>
      </c>
      <c r="G485" s="7" t="str">
        <f>_xlfn.XLOOKUP(C485,Products!A485:A984,Products!B485:B984,"Product Missing",0)</f>
        <v>Product Missing</v>
      </c>
      <c r="H485" s="7" t="str">
        <f>_xlfn.XLOOKUP(C485,Products!A485:A984,Products!C485:C984,"Category Missing",0)</f>
        <v>Category Missing</v>
      </c>
      <c r="I485" s="11" t="str">
        <f>_xlfn.XLOOKUP(Orders!C485,Products!A485:A984,Products!D485:D984,"Price Missing",0)</f>
        <v>Price Missing</v>
      </c>
      <c r="J485" s="19">
        <f t="shared" si="7"/>
        <v>0</v>
      </c>
    </row>
    <row r="486" spans="1:10" x14ac:dyDescent="0.35">
      <c r="A486" s="4" t="s">
        <v>4506</v>
      </c>
      <c r="B486" s="7" t="s">
        <v>428</v>
      </c>
      <c r="C486" s="7" t="s">
        <v>3754</v>
      </c>
      <c r="D486" s="5">
        <v>1</v>
      </c>
      <c r="E486" s="7" t="str">
        <f>_xlfn.XLOOKUP(B486,Customers!A486:A1485,Customers!B486:B1485,"Customer Not Found",0)</f>
        <v>Customer Not Found</v>
      </c>
      <c r="F486" s="7" t="str">
        <f>_xlfn.XLOOKUP(Orders!B486,Customers!A486:A1485,Customers!C486:C1485,"Country not Found",0)</f>
        <v>Country not Found</v>
      </c>
      <c r="G486" s="7" t="str">
        <f>_xlfn.XLOOKUP(C486,Products!A486:A985,Products!B486:B985,"Product Missing",0)</f>
        <v>Product Missing</v>
      </c>
      <c r="H486" s="7" t="str">
        <f>_xlfn.XLOOKUP(C486,Products!A486:A985,Products!C486:C985,"Category Missing",0)</f>
        <v>Category Missing</v>
      </c>
      <c r="I486" s="11" t="str">
        <f>_xlfn.XLOOKUP(Orders!C486,Products!A486:A985,Products!D486:D985,"Price Missing",0)</f>
        <v>Price Missing</v>
      </c>
      <c r="J486" s="19">
        <f t="shared" si="7"/>
        <v>0</v>
      </c>
    </row>
    <row r="487" spans="1:10" x14ac:dyDescent="0.35">
      <c r="A487" s="4" t="s">
        <v>4507</v>
      </c>
      <c r="B487" s="7" t="s">
        <v>2429</v>
      </c>
      <c r="C487" s="7" t="s">
        <v>3482</v>
      </c>
      <c r="D487" s="5">
        <v>4</v>
      </c>
      <c r="E487" s="7" t="str">
        <f>_xlfn.XLOOKUP(B487,Customers!A487:A1486,Customers!B487:B1486,"Customer Not Found",0)</f>
        <v>Customer_807</v>
      </c>
      <c r="F487" s="7" t="str">
        <f>_xlfn.XLOOKUP(Orders!B487,Customers!A487:A1486,Customers!C487:C1486,"Country not Found",0)</f>
        <v>Nigeria</v>
      </c>
      <c r="G487" s="7" t="str">
        <f>_xlfn.XLOOKUP(C487,Products!A487:A986,Products!B487:B986,"Product Missing",0)</f>
        <v>Product Missing</v>
      </c>
      <c r="H487" s="7" t="str">
        <f>_xlfn.XLOOKUP(C487,Products!A487:A986,Products!C487:C986,"Category Missing",0)</f>
        <v>Category Missing</v>
      </c>
      <c r="I487" s="11" t="str">
        <f>_xlfn.XLOOKUP(Orders!C487,Products!A487:A986,Products!D487:D986,"Price Missing",0)</f>
        <v>Price Missing</v>
      </c>
      <c r="J487" s="19">
        <f t="shared" si="7"/>
        <v>0</v>
      </c>
    </row>
    <row r="488" spans="1:10" x14ac:dyDescent="0.35">
      <c r="A488" s="4" t="s">
        <v>4508</v>
      </c>
      <c r="B488" s="7" t="s">
        <v>188</v>
      </c>
      <c r="C488" s="7" t="s">
        <v>3506</v>
      </c>
      <c r="D488" s="5">
        <v>7</v>
      </c>
      <c r="E488" s="7" t="str">
        <f>_xlfn.XLOOKUP(B488,Customers!A488:A1487,Customers!B488:B1487,"Customer Not Found",0)</f>
        <v>Customer Not Found</v>
      </c>
      <c r="F488" s="7" t="str">
        <f>_xlfn.XLOOKUP(Orders!B488,Customers!A488:A1487,Customers!C488:C1487,"Country not Found",0)</f>
        <v>Country not Found</v>
      </c>
      <c r="G488" s="7" t="str">
        <f>_xlfn.XLOOKUP(C488,Products!A488:A987,Products!B488:B987,"Product Missing",0)</f>
        <v>Product Missing</v>
      </c>
      <c r="H488" s="7" t="str">
        <f>_xlfn.XLOOKUP(C488,Products!A488:A987,Products!C488:C987,"Category Missing",0)</f>
        <v>Category Missing</v>
      </c>
      <c r="I488" s="11" t="str">
        <f>_xlfn.XLOOKUP(Orders!C488,Products!A488:A987,Products!D488:D987,"Price Missing",0)</f>
        <v>Price Missing</v>
      </c>
      <c r="J488" s="19">
        <f t="shared" si="7"/>
        <v>0</v>
      </c>
    </row>
    <row r="489" spans="1:10" x14ac:dyDescent="0.35">
      <c r="A489" s="4" t="s">
        <v>4509</v>
      </c>
      <c r="B489" s="7" t="s">
        <v>2714</v>
      </c>
      <c r="C489" s="7" t="s">
        <v>3874</v>
      </c>
      <c r="D489" s="5">
        <v>10</v>
      </c>
      <c r="E489" s="7" t="str">
        <f>_xlfn.XLOOKUP(B489,Customers!A489:A1488,Customers!B489:B1488,"Customer Not Found",0)</f>
        <v>Customer_902</v>
      </c>
      <c r="F489" s="7" t="str">
        <f>_xlfn.XLOOKUP(Orders!B489,Customers!A489:A1488,Customers!C489:C1488,"Country not Found",0)</f>
        <v>South Africa</v>
      </c>
      <c r="G489" s="7" t="str">
        <f>_xlfn.XLOOKUP(C489,Products!A489:A988,Products!B489:B988,"Product Missing",0)</f>
        <v>Product Missing</v>
      </c>
      <c r="H489" s="7" t="str">
        <f>_xlfn.XLOOKUP(C489,Products!A489:A988,Products!C489:C988,"Category Missing",0)</f>
        <v>Category Missing</v>
      </c>
      <c r="I489" s="11" t="str">
        <f>_xlfn.XLOOKUP(Orders!C489,Products!A489:A988,Products!D489:D988,"Price Missing",0)</f>
        <v>Price Missing</v>
      </c>
      <c r="J489" s="19">
        <f t="shared" si="7"/>
        <v>0</v>
      </c>
    </row>
    <row r="490" spans="1:10" x14ac:dyDescent="0.35">
      <c r="A490" s="4" t="s">
        <v>4510</v>
      </c>
      <c r="B490" s="7" t="s">
        <v>2546</v>
      </c>
      <c r="C490" s="7" t="s">
        <v>3518</v>
      </c>
      <c r="D490" s="5">
        <v>9</v>
      </c>
      <c r="E490" s="7" t="str">
        <f>_xlfn.XLOOKUP(B490,Customers!A490:A1489,Customers!B490:B1489,"Customer Not Found",0)</f>
        <v>Customer_846</v>
      </c>
      <c r="F490" s="7" t="str">
        <f>_xlfn.XLOOKUP(Orders!B490,Customers!A490:A1489,Customers!C490:C1489,"Country not Found",0)</f>
        <v>South Africa</v>
      </c>
      <c r="G490" s="7" t="str">
        <f>_xlfn.XLOOKUP(C490,Products!A490:A989,Products!B490:B989,"Product Missing",0)</f>
        <v>Product Missing</v>
      </c>
      <c r="H490" s="7" t="str">
        <f>_xlfn.XLOOKUP(C490,Products!A490:A989,Products!C490:C989,"Category Missing",0)</f>
        <v>Category Missing</v>
      </c>
      <c r="I490" s="11" t="str">
        <f>_xlfn.XLOOKUP(Orders!C490,Products!A490:A989,Products!D490:D989,"Price Missing",0)</f>
        <v>Price Missing</v>
      </c>
      <c r="J490" s="19">
        <f t="shared" si="7"/>
        <v>0</v>
      </c>
    </row>
    <row r="491" spans="1:10" x14ac:dyDescent="0.35">
      <c r="A491" s="4" t="s">
        <v>4511</v>
      </c>
      <c r="B491" s="7" t="s">
        <v>1442</v>
      </c>
      <c r="C491" s="7" t="s">
        <v>3110</v>
      </c>
      <c r="D491" s="5">
        <v>8</v>
      </c>
      <c r="E491" s="7" t="str">
        <f>_xlfn.XLOOKUP(B491,Customers!A491:A1490,Customers!B491:B1490,"Customer Not Found",0)</f>
        <v>Customer Not Found</v>
      </c>
      <c r="F491" s="7" t="str">
        <f>_xlfn.XLOOKUP(Orders!B491,Customers!A491:A1490,Customers!C491:C1490,"Country not Found",0)</f>
        <v>Country not Found</v>
      </c>
      <c r="G491" s="7" t="str">
        <f>_xlfn.XLOOKUP(C491,Products!A491:A990,Products!B491:B990,"Product Missing",0)</f>
        <v>Product Missing</v>
      </c>
      <c r="H491" s="7" t="str">
        <f>_xlfn.XLOOKUP(C491,Products!A491:A990,Products!C491:C990,"Category Missing",0)</f>
        <v>Category Missing</v>
      </c>
      <c r="I491" s="11" t="str">
        <f>_xlfn.XLOOKUP(Orders!C491,Products!A491:A990,Products!D491:D990,"Price Missing",0)</f>
        <v>Price Missing</v>
      </c>
      <c r="J491" s="19">
        <f t="shared" si="7"/>
        <v>0</v>
      </c>
    </row>
    <row r="492" spans="1:10" x14ac:dyDescent="0.35">
      <c r="A492" s="4" t="s">
        <v>4512</v>
      </c>
      <c r="B492" s="7" t="s">
        <v>500</v>
      </c>
      <c r="C492" s="7" t="s">
        <v>3962</v>
      </c>
      <c r="D492" s="5">
        <v>2</v>
      </c>
      <c r="E492" s="7" t="str">
        <f>_xlfn.XLOOKUP(B492,Customers!A492:A1491,Customers!B492:B1491,"Customer Not Found",0)</f>
        <v>Customer Not Found</v>
      </c>
      <c r="F492" s="7" t="str">
        <f>_xlfn.XLOOKUP(Orders!B492,Customers!A492:A1491,Customers!C492:C1491,"Country not Found",0)</f>
        <v>Country not Found</v>
      </c>
      <c r="G492" s="7" t="str">
        <f>_xlfn.XLOOKUP(C492,Products!A492:A991,Products!B492:B991,"Product Missing",0)</f>
        <v>Product Missing</v>
      </c>
      <c r="H492" s="7" t="str">
        <f>_xlfn.XLOOKUP(C492,Products!A492:A991,Products!C492:C991,"Category Missing",0)</f>
        <v>Category Missing</v>
      </c>
      <c r="I492" s="11" t="str">
        <f>_xlfn.XLOOKUP(Orders!C492,Products!A492:A991,Products!D492:D991,"Price Missing",0)</f>
        <v>Price Missing</v>
      </c>
      <c r="J492" s="19">
        <f t="shared" si="7"/>
        <v>0</v>
      </c>
    </row>
    <row r="493" spans="1:10" x14ac:dyDescent="0.35">
      <c r="A493" s="4" t="s">
        <v>4513</v>
      </c>
      <c r="B493" s="7" t="s">
        <v>2501</v>
      </c>
      <c r="C493" s="7" t="s">
        <v>3558</v>
      </c>
      <c r="D493" s="5">
        <v>4</v>
      </c>
      <c r="E493" s="7" t="str">
        <f>_xlfn.XLOOKUP(B493,Customers!A493:A1492,Customers!B493:B1492,"Customer Not Found",0)</f>
        <v>Customer_831</v>
      </c>
      <c r="F493" s="7" t="str">
        <f>_xlfn.XLOOKUP(Orders!B493,Customers!A493:A1492,Customers!C493:C1492,"Country not Found",0)</f>
        <v>Ghana</v>
      </c>
      <c r="G493" s="7" t="str">
        <f>_xlfn.XLOOKUP(C493,Products!A493:A992,Products!B493:B992,"Product Missing",0)</f>
        <v>Product Missing</v>
      </c>
      <c r="H493" s="7" t="str">
        <f>_xlfn.XLOOKUP(C493,Products!A493:A992,Products!C493:C992,"Category Missing",0)</f>
        <v>Category Missing</v>
      </c>
      <c r="I493" s="11" t="str">
        <f>_xlfn.XLOOKUP(Orders!C493,Products!A493:A992,Products!D493:D992,"Price Missing",0)</f>
        <v>Price Missing</v>
      </c>
      <c r="J493" s="19">
        <f t="shared" si="7"/>
        <v>0</v>
      </c>
    </row>
    <row r="494" spans="1:10" x14ac:dyDescent="0.35">
      <c r="A494" s="4" t="s">
        <v>4514</v>
      </c>
      <c r="B494" s="7" t="s">
        <v>473</v>
      </c>
      <c r="C494" s="7" t="s">
        <v>3326</v>
      </c>
      <c r="D494" s="5">
        <v>2</v>
      </c>
      <c r="E494" s="7" t="str">
        <f>_xlfn.XLOOKUP(B494,Customers!A494:A1493,Customers!B494:B1493,"Customer Not Found",0)</f>
        <v>Customer Not Found</v>
      </c>
      <c r="F494" s="7" t="str">
        <f>_xlfn.XLOOKUP(Orders!B494,Customers!A494:A1493,Customers!C494:C1493,"Country not Found",0)</f>
        <v>Country not Found</v>
      </c>
      <c r="G494" s="7" t="str">
        <f>_xlfn.XLOOKUP(C494,Products!A494:A993,Products!B494:B993,"Product Missing",0)</f>
        <v>Product Missing</v>
      </c>
      <c r="H494" s="7" t="str">
        <f>_xlfn.XLOOKUP(C494,Products!A494:A993,Products!C494:C993,"Category Missing",0)</f>
        <v>Category Missing</v>
      </c>
      <c r="I494" s="11" t="str">
        <f>_xlfn.XLOOKUP(Orders!C494,Products!A494:A993,Products!D494:D993,"Price Missing",0)</f>
        <v>Price Missing</v>
      </c>
      <c r="J494" s="19">
        <f t="shared" si="7"/>
        <v>0</v>
      </c>
    </row>
    <row r="495" spans="1:10" x14ac:dyDescent="0.35">
      <c r="A495" s="4" t="s">
        <v>4515</v>
      </c>
      <c r="B495" s="7" t="s">
        <v>1106</v>
      </c>
      <c r="C495" s="7" t="s">
        <v>3074</v>
      </c>
      <c r="D495" s="5">
        <v>4</v>
      </c>
      <c r="E495" s="7" t="str">
        <f>_xlfn.XLOOKUP(B495,Customers!A495:A1494,Customers!B495:B1494,"Customer Not Found",0)</f>
        <v>Customer Not Found</v>
      </c>
      <c r="F495" s="7" t="str">
        <f>_xlfn.XLOOKUP(Orders!B495,Customers!A495:A1494,Customers!C495:C1494,"Country not Found",0)</f>
        <v>Country not Found</v>
      </c>
      <c r="G495" s="7" t="str">
        <f>_xlfn.XLOOKUP(C495,Products!A495:A994,Products!B495:B994,"Product Missing",0)</f>
        <v>Product Missing</v>
      </c>
      <c r="H495" s="7" t="str">
        <f>_xlfn.XLOOKUP(C495,Products!A495:A994,Products!C495:C994,"Category Missing",0)</f>
        <v>Category Missing</v>
      </c>
      <c r="I495" s="11" t="str">
        <f>_xlfn.XLOOKUP(Orders!C495,Products!A495:A994,Products!D495:D994,"Price Missing",0)</f>
        <v>Price Missing</v>
      </c>
      <c r="J495" s="19">
        <f t="shared" si="7"/>
        <v>0</v>
      </c>
    </row>
    <row r="496" spans="1:10" x14ac:dyDescent="0.35">
      <c r="A496" s="4" t="s">
        <v>4516</v>
      </c>
      <c r="B496" s="7" t="s">
        <v>2171</v>
      </c>
      <c r="C496" s="7" t="s">
        <v>3716</v>
      </c>
      <c r="D496" s="5">
        <v>7</v>
      </c>
      <c r="E496" s="7" t="str">
        <f>_xlfn.XLOOKUP(B496,Customers!A496:A1495,Customers!B496:B1495,"Customer Not Found",0)</f>
        <v>Customer_721</v>
      </c>
      <c r="F496" s="7" t="str">
        <f>_xlfn.XLOOKUP(Orders!B496,Customers!A496:A1495,Customers!C496:C1495,"Country not Found",0)</f>
        <v>Kenya</v>
      </c>
      <c r="G496" s="7" t="str">
        <f>_xlfn.XLOOKUP(C496,Products!A496:A995,Products!B496:B995,"Product Missing",0)</f>
        <v>Product Missing</v>
      </c>
      <c r="H496" s="7" t="str">
        <f>_xlfn.XLOOKUP(C496,Products!A496:A995,Products!C496:C995,"Category Missing",0)</f>
        <v>Category Missing</v>
      </c>
      <c r="I496" s="11" t="str">
        <f>_xlfn.XLOOKUP(Orders!C496,Products!A496:A995,Products!D496:D995,"Price Missing",0)</f>
        <v>Price Missing</v>
      </c>
      <c r="J496" s="19">
        <f t="shared" si="7"/>
        <v>0</v>
      </c>
    </row>
    <row r="497" spans="1:10" x14ac:dyDescent="0.35">
      <c r="A497" s="4" t="s">
        <v>4517</v>
      </c>
      <c r="B497" s="7" t="s">
        <v>404</v>
      </c>
      <c r="C497" s="7" t="s">
        <v>3598</v>
      </c>
      <c r="D497" s="5">
        <v>9</v>
      </c>
      <c r="E497" s="7" t="str">
        <f>_xlfn.XLOOKUP(B497,Customers!A497:A1496,Customers!B497:B1496,"Customer Not Found",0)</f>
        <v>Customer Not Found</v>
      </c>
      <c r="F497" s="7" t="str">
        <f>_xlfn.XLOOKUP(Orders!B497,Customers!A497:A1496,Customers!C497:C1496,"Country not Found",0)</f>
        <v>Country not Found</v>
      </c>
      <c r="G497" s="7" t="str">
        <f>_xlfn.XLOOKUP(C497,Products!A497:A996,Products!B497:B996,"Product Missing",0)</f>
        <v>Product Missing</v>
      </c>
      <c r="H497" s="7" t="str">
        <f>_xlfn.XLOOKUP(C497,Products!A497:A996,Products!C497:C996,"Category Missing",0)</f>
        <v>Category Missing</v>
      </c>
      <c r="I497" s="11" t="str">
        <f>_xlfn.XLOOKUP(Orders!C497,Products!A497:A996,Products!D497:D996,"Price Missing",0)</f>
        <v>Price Missing</v>
      </c>
      <c r="J497" s="19">
        <f t="shared" si="7"/>
        <v>0</v>
      </c>
    </row>
    <row r="498" spans="1:10" x14ac:dyDescent="0.35">
      <c r="A498" s="4" t="s">
        <v>4518</v>
      </c>
      <c r="B498" s="7" t="s">
        <v>1031</v>
      </c>
      <c r="C498" s="7" t="s">
        <v>3532</v>
      </c>
      <c r="D498" s="5">
        <v>4</v>
      </c>
      <c r="E498" s="7" t="str">
        <f>_xlfn.XLOOKUP(B498,Customers!A498:A1497,Customers!B498:B1497,"Customer Not Found",0)</f>
        <v>Customer Not Found</v>
      </c>
      <c r="F498" s="7" t="str">
        <f>_xlfn.XLOOKUP(Orders!B498,Customers!A498:A1497,Customers!C498:C1497,"Country not Found",0)</f>
        <v>Country not Found</v>
      </c>
      <c r="G498" s="7" t="str">
        <f>_xlfn.XLOOKUP(C498,Products!A498:A997,Products!B498:B997,"Product Missing",0)</f>
        <v>Product Missing</v>
      </c>
      <c r="H498" s="7" t="str">
        <f>_xlfn.XLOOKUP(C498,Products!A498:A997,Products!C498:C997,"Category Missing",0)</f>
        <v>Category Missing</v>
      </c>
      <c r="I498" s="11" t="str">
        <f>_xlfn.XLOOKUP(Orders!C498,Products!A498:A997,Products!D498:D997,"Price Missing",0)</f>
        <v>Price Missing</v>
      </c>
      <c r="J498" s="19">
        <f t="shared" si="7"/>
        <v>0</v>
      </c>
    </row>
    <row r="499" spans="1:10" x14ac:dyDescent="0.35">
      <c r="A499" s="4" t="s">
        <v>4519</v>
      </c>
      <c r="B499" s="7" t="s">
        <v>1652</v>
      </c>
      <c r="C499" s="7" t="s">
        <v>3572</v>
      </c>
      <c r="D499" s="5">
        <v>7</v>
      </c>
      <c r="E499" s="7" t="str">
        <f>_xlfn.XLOOKUP(B499,Customers!A499:A1498,Customers!B499:B1498,"Customer Not Found",0)</f>
        <v>Customer_548</v>
      </c>
      <c r="F499" s="7" t="str">
        <f>_xlfn.XLOOKUP(Orders!B499,Customers!A499:A1498,Customers!C499:C1498,"Country not Found",0)</f>
        <v>UK</v>
      </c>
      <c r="G499" s="7" t="str">
        <f>_xlfn.XLOOKUP(C499,Products!A499:A998,Products!B499:B998,"Product Missing",0)</f>
        <v>Product Missing</v>
      </c>
      <c r="H499" s="7" t="str">
        <f>_xlfn.XLOOKUP(C499,Products!A499:A998,Products!C499:C998,"Category Missing",0)</f>
        <v>Category Missing</v>
      </c>
      <c r="I499" s="11" t="str">
        <f>_xlfn.XLOOKUP(Orders!C499,Products!A499:A998,Products!D499:D998,"Price Missing",0)</f>
        <v>Price Missing</v>
      </c>
      <c r="J499" s="19">
        <f t="shared" si="7"/>
        <v>0</v>
      </c>
    </row>
    <row r="500" spans="1:10" x14ac:dyDescent="0.35">
      <c r="A500" s="4" t="s">
        <v>4520</v>
      </c>
      <c r="B500" s="7" t="s">
        <v>1694</v>
      </c>
      <c r="C500" s="7" t="s">
        <v>3186</v>
      </c>
      <c r="D500" s="5">
        <v>10</v>
      </c>
      <c r="E500" s="7" t="str">
        <f>_xlfn.XLOOKUP(B500,Customers!A500:A1499,Customers!B500:B1499,"Customer Not Found",0)</f>
        <v>Customer_562</v>
      </c>
      <c r="F500" s="7" t="str">
        <f>_xlfn.XLOOKUP(Orders!B500,Customers!A500:A1499,Customers!C500:C1499,"Country not Found",0)</f>
        <v>South Africa</v>
      </c>
      <c r="G500" s="7" t="str">
        <f>_xlfn.XLOOKUP(C500,Products!A500:A999,Products!B500:B999,"Product Missing",0)</f>
        <v>Product Missing</v>
      </c>
      <c r="H500" s="7" t="str">
        <f>_xlfn.XLOOKUP(C500,Products!A500:A999,Products!C500:C999,"Category Missing",0)</f>
        <v>Category Missing</v>
      </c>
      <c r="I500" s="11" t="str">
        <f>_xlfn.XLOOKUP(Orders!C500,Products!A500:A999,Products!D500:D999,"Price Missing",0)</f>
        <v>Price Missing</v>
      </c>
      <c r="J500" s="19">
        <f t="shared" si="7"/>
        <v>0</v>
      </c>
    </row>
    <row r="501" spans="1:10" x14ac:dyDescent="0.35">
      <c r="A501" s="4" t="s">
        <v>4521</v>
      </c>
      <c r="B501" s="7" t="s">
        <v>1025</v>
      </c>
      <c r="C501" s="7" t="s">
        <v>3280</v>
      </c>
      <c r="D501" s="5">
        <v>3</v>
      </c>
      <c r="E501" s="7" t="str">
        <f>_xlfn.XLOOKUP(B501,Customers!A501:A1500,Customers!B501:B1500,"Customer Not Found",0)</f>
        <v>Customer Not Found</v>
      </c>
      <c r="F501" s="7" t="str">
        <f>_xlfn.XLOOKUP(Orders!B501,Customers!A501:A1500,Customers!C501:C1500,"Country not Found",0)</f>
        <v>Country not Found</v>
      </c>
      <c r="G501" s="7" t="str">
        <f>_xlfn.XLOOKUP(C501,Products!A501:A1000,Products!B501:B1000,"Product Missing",0)</f>
        <v>Product Missing</v>
      </c>
      <c r="H501" s="7" t="str">
        <f>_xlfn.XLOOKUP(C501,Products!A501:A1000,Products!C501:C1000,"Category Missing",0)</f>
        <v>Category Missing</v>
      </c>
      <c r="I501" s="11" t="str">
        <f>_xlfn.XLOOKUP(Orders!C501,Products!A501:A1000,Products!D501:D1000,"Price Missing",0)</f>
        <v>Price Missing</v>
      </c>
      <c r="J501" s="19">
        <f t="shared" si="7"/>
        <v>0</v>
      </c>
    </row>
    <row r="502" spans="1:10" x14ac:dyDescent="0.35">
      <c r="A502" s="4" t="s">
        <v>4522</v>
      </c>
      <c r="B502" s="7" t="s">
        <v>1472</v>
      </c>
      <c r="C502" s="7" t="s">
        <v>3304</v>
      </c>
      <c r="D502" s="5">
        <v>4</v>
      </c>
      <c r="E502" s="7" t="str">
        <f>_xlfn.XLOOKUP(B502,Customers!A502:A1501,Customers!B502:B1501,"Customer Not Found",0)</f>
        <v>Customer Not Found</v>
      </c>
      <c r="F502" s="7" t="str">
        <f>_xlfn.XLOOKUP(Orders!B502,Customers!A502:A1501,Customers!C502:C1501,"Country not Found",0)</f>
        <v>Country not Found</v>
      </c>
      <c r="G502" s="7" t="str">
        <f>_xlfn.XLOOKUP(C502,Products!A502:A1001,Products!B502:B1001,"Product Missing",0)</f>
        <v>Product Missing</v>
      </c>
      <c r="H502" s="7" t="str">
        <f>_xlfn.XLOOKUP(C502,Products!A502:A1001,Products!C502:C1001,"Category Missing",0)</f>
        <v>Category Missing</v>
      </c>
      <c r="I502" s="11" t="str">
        <f>_xlfn.XLOOKUP(Orders!C502,Products!A502:A1001,Products!D502:D1001,"Price Missing",0)</f>
        <v>Price Missing</v>
      </c>
      <c r="J502" s="19">
        <f t="shared" si="7"/>
        <v>0</v>
      </c>
    </row>
    <row r="503" spans="1:10" x14ac:dyDescent="0.35">
      <c r="A503" s="4" t="s">
        <v>4523</v>
      </c>
      <c r="B503" s="7" t="s">
        <v>2195</v>
      </c>
      <c r="C503" s="7" t="s">
        <v>3778</v>
      </c>
      <c r="D503" s="5">
        <v>1</v>
      </c>
      <c r="E503" s="7" t="str">
        <f>_xlfn.XLOOKUP(B503,Customers!A503:A1502,Customers!B503:B1502,"Customer Not Found",0)</f>
        <v>Customer_729</v>
      </c>
      <c r="F503" s="7" t="str">
        <f>_xlfn.XLOOKUP(Orders!B503,Customers!A503:A1502,Customers!C503:C1502,"Country not Found",0)</f>
        <v>UK</v>
      </c>
      <c r="G503" s="7" t="str">
        <f>_xlfn.XLOOKUP(C503,Products!A503:A1002,Products!B503:B1002,"Product Missing",0)</f>
        <v>Product Missing</v>
      </c>
      <c r="H503" s="7" t="str">
        <f>_xlfn.XLOOKUP(C503,Products!A503:A1002,Products!C503:C1002,"Category Missing",0)</f>
        <v>Category Missing</v>
      </c>
      <c r="I503" s="11" t="str">
        <f>_xlfn.XLOOKUP(Orders!C503,Products!A503:A1002,Products!D503:D1002,"Price Missing",0)</f>
        <v>Price Missing</v>
      </c>
      <c r="J503" s="19">
        <f t="shared" si="7"/>
        <v>0</v>
      </c>
    </row>
    <row r="504" spans="1:10" x14ac:dyDescent="0.35">
      <c r="A504" s="4" t="s">
        <v>4524</v>
      </c>
      <c r="B504" s="7" t="s">
        <v>1388</v>
      </c>
      <c r="C504" s="7" t="s">
        <v>3702</v>
      </c>
      <c r="D504" s="5">
        <v>4</v>
      </c>
      <c r="E504" s="7" t="str">
        <f>_xlfn.XLOOKUP(B504,Customers!A504:A1503,Customers!B504:B1503,"Customer Not Found",0)</f>
        <v>Customer Not Found</v>
      </c>
      <c r="F504" s="7" t="str">
        <f>_xlfn.XLOOKUP(Orders!B504,Customers!A504:A1503,Customers!C504:C1503,"Country not Found",0)</f>
        <v>Country not Found</v>
      </c>
      <c r="G504" s="7" t="str">
        <f>_xlfn.XLOOKUP(C504,Products!A504:A1003,Products!B504:B1003,"Product Missing",0)</f>
        <v>Product Missing</v>
      </c>
      <c r="H504" s="7" t="str">
        <f>_xlfn.XLOOKUP(C504,Products!A504:A1003,Products!C504:C1003,"Category Missing",0)</f>
        <v>Category Missing</v>
      </c>
      <c r="I504" s="11" t="str">
        <f>_xlfn.XLOOKUP(Orders!C504,Products!A504:A1003,Products!D504:D1003,"Price Missing",0)</f>
        <v>Price Missing</v>
      </c>
      <c r="J504" s="19">
        <f t="shared" si="7"/>
        <v>0</v>
      </c>
    </row>
    <row r="505" spans="1:10" x14ac:dyDescent="0.35">
      <c r="A505" s="4" t="s">
        <v>4525</v>
      </c>
      <c r="B505" s="7" t="s">
        <v>2645</v>
      </c>
      <c r="C505" s="7" t="s">
        <v>3434</v>
      </c>
      <c r="D505" s="5">
        <v>9</v>
      </c>
      <c r="E505" s="7" t="str">
        <f>_xlfn.XLOOKUP(B505,Customers!A505:A1504,Customers!B505:B1504,"Customer Not Found",0)</f>
        <v>Customer_879</v>
      </c>
      <c r="F505" s="7" t="str">
        <f>_xlfn.XLOOKUP(Orders!B505,Customers!A505:A1504,Customers!C505:C1504,"Country not Found",0)</f>
        <v>Ghana</v>
      </c>
      <c r="G505" s="7" t="str">
        <f>_xlfn.XLOOKUP(C505,Products!A505:A1004,Products!B505:B1004,"Product Missing",0)</f>
        <v>Product Missing</v>
      </c>
      <c r="H505" s="7" t="str">
        <f>_xlfn.XLOOKUP(C505,Products!A505:A1004,Products!C505:C1004,"Category Missing",0)</f>
        <v>Category Missing</v>
      </c>
      <c r="I505" s="11" t="str">
        <f>_xlfn.XLOOKUP(Orders!C505,Products!A505:A1004,Products!D505:D1004,"Price Missing",0)</f>
        <v>Price Missing</v>
      </c>
      <c r="J505" s="19">
        <f t="shared" si="7"/>
        <v>0</v>
      </c>
    </row>
    <row r="506" spans="1:10" x14ac:dyDescent="0.35">
      <c r="A506" s="4" t="s">
        <v>4526</v>
      </c>
      <c r="B506" s="7" t="s">
        <v>2825</v>
      </c>
      <c r="C506" s="7" t="s">
        <v>3892</v>
      </c>
      <c r="D506" s="5">
        <v>2</v>
      </c>
      <c r="E506" s="7" t="str">
        <f>_xlfn.XLOOKUP(B506,Customers!A506:A1505,Customers!B506:B1505,"Customer Not Found",0)</f>
        <v>Customer_939</v>
      </c>
      <c r="F506" s="7" t="str">
        <f>_xlfn.XLOOKUP(Orders!B506,Customers!A506:A1505,Customers!C506:C1505,"Country not Found",0)</f>
        <v>South Africa</v>
      </c>
      <c r="G506" s="7" t="str">
        <f>_xlfn.XLOOKUP(C506,Products!A506:A1005,Products!B506:B1005,"Product Missing",0)</f>
        <v>Product Missing</v>
      </c>
      <c r="H506" s="7" t="str">
        <f>_xlfn.XLOOKUP(C506,Products!A506:A1005,Products!C506:C1005,"Category Missing",0)</f>
        <v>Category Missing</v>
      </c>
      <c r="I506" s="11" t="str">
        <f>_xlfn.XLOOKUP(Orders!C506,Products!A506:A1005,Products!D506:D1005,"Price Missing",0)</f>
        <v>Price Missing</v>
      </c>
      <c r="J506" s="19">
        <f t="shared" si="7"/>
        <v>0</v>
      </c>
    </row>
    <row r="507" spans="1:10" x14ac:dyDescent="0.35">
      <c r="A507" s="4" t="s">
        <v>4527</v>
      </c>
      <c r="B507" s="7" t="s">
        <v>1880</v>
      </c>
      <c r="C507" s="7" t="s">
        <v>3566</v>
      </c>
      <c r="D507" s="5">
        <v>2</v>
      </c>
      <c r="E507" s="7" t="str">
        <f>_xlfn.XLOOKUP(B507,Customers!A507:A1506,Customers!B507:B1506,"Customer Not Found",0)</f>
        <v>Customer_624</v>
      </c>
      <c r="F507" s="7" t="str">
        <f>_xlfn.XLOOKUP(Orders!B507,Customers!A507:A1506,Customers!C507:C1506,"Country not Found",0)</f>
        <v>Nigeria</v>
      </c>
      <c r="G507" s="7" t="str">
        <f>_xlfn.XLOOKUP(C507,Products!A507:A1006,Products!B507:B1006,"Product Missing",0)</f>
        <v>Product Missing</v>
      </c>
      <c r="H507" s="7" t="str">
        <f>_xlfn.XLOOKUP(C507,Products!A507:A1006,Products!C507:C1006,"Category Missing",0)</f>
        <v>Category Missing</v>
      </c>
      <c r="I507" s="11" t="str">
        <f>_xlfn.XLOOKUP(Orders!C507,Products!A507:A1006,Products!D507:D1006,"Price Missing",0)</f>
        <v>Price Missing</v>
      </c>
      <c r="J507" s="19">
        <f t="shared" si="7"/>
        <v>0</v>
      </c>
    </row>
    <row r="508" spans="1:10" x14ac:dyDescent="0.35">
      <c r="A508" s="4" t="s">
        <v>4528</v>
      </c>
      <c r="B508" s="7" t="s">
        <v>1142</v>
      </c>
      <c r="C508" s="7" t="s">
        <v>3902</v>
      </c>
      <c r="D508" s="5">
        <v>9</v>
      </c>
      <c r="E508" s="7" t="str">
        <f>_xlfn.XLOOKUP(B508,Customers!A508:A1507,Customers!B508:B1507,"Customer Not Found",0)</f>
        <v>Customer Not Found</v>
      </c>
      <c r="F508" s="7" t="str">
        <f>_xlfn.XLOOKUP(Orders!B508,Customers!A508:A1507,Customers!C508:C1507,"Country not Found",0)</f>
        <v>Country not Found</v>
      </c>
      <c r="G508" s="7" t="str">
        <f>_xlfn.XLOOKUP(C508,Products!A508:A1007,Products!B508:B1007,"Product Missing",0)</f>
        <v>Product Missing</v>
      </c>
      <c r="H508" s="7" t="str">
        <f>_xlfn.XLOOKUP(C508,Products!A508:A1007,Products!C508:C1007,"Category Missing",0)</f>
        <v>Category Missing</v>
      </c>
      <c r="I508" s="11" t="str">
        <f>_xlfn.XLOOKUP(Orders!C508,Products!A508:A1007,Products!D508:D1007,"Price Missing",0)</f>
        <v>Price Missing</v>
      </c>
      <c r="J508" s="19">
        <f t="shared" si="7"/>
        <v>0</v>
      </c>
    </row>
    <row r="509" spans="1:10" x14ac:dyDescent="0.35">
      <c r="A509" s="4" t="s">
        <v>4529</v>
      </c>
      <c r="B509" s="7" t="s">
        <v>152</v>
      </c>
      <c r="C509" s="7" t="s">
        <v>3047</v>
      </c>
      <c r="D509" s="5">
        <v>8</v>
      </c>
      <c r="E509" s="7" t="str">
        <f>_xlfn.XLOOKUP(B509,Customers!A509:A1508,Customers!B509:B1508,"Customer Not Found",0)</f>
        <v>Customer Not Found</v>
      </c>
      <c r="F509" s="7" t="str">
        <f>_xlfn.XLOOKUP(Orders!B509,Customers!A509:A1508,Customers!C509:C1508,"Country not Found",0)</f>
        <v>Country not Found</v>
      </c>
      <c r="G509" s="7" t="str">
        <f>_xlfn.XLOOKUP(C509,Products!A509:A1008,Products!B509:B1008,"Product Missing",0)</f>
        <v>Product Missing</v>
      </c>
      <c r="H509" s="7" t="str">
        <f>_xlfn.XLOOKUP(C509,Products!A509:A1008,Products!C509:C1008,"Category Missing",0)</f>
        <v>Category Missing</v>
      </c>
      <c r="I509" s="11" t="str">
        <f>_xlfn.XLOOKUP(Orders!C509,Products!A509:A1008,Products!D509:D1008,"Price Missing",0)</f>
        <v>Price Missing</v>
      </c>
      <c r="J509" s="19">
        <f t="shared" si="7"/>
        <v>0</v>
      </c>
    </row>
    <row r="510" spans="1:10" x14ac:dyDescent="0.35">
      <c r="A510" s="4" t="s">
        <v>4530</v>
      </c>
      <c r="B510" s="7" t="s">
        <v>2444</v>
      </c>
      <c r="C510" s="7" t="s">
        <v>3716</v>
      </c>
      <c r="D510" s="5">
        <v>6</v>
      </c>
      <c r="E510" s="7" t="str">
        <f>_xlfn.XLOOKUP(B510,Customers!A510:A1509,Customers!B510:B1509,"Customer Not Found",0)</f>
        <v>Customer_812</v>
      </c>
      <c r="F510" s="7" t="str">
        <f>_xlfn.XLOOKUP(Orders!B510,Customers!A510:A1509,Customers!C510:C1509,"Country not Found",0)</f>
        <v>Kenya</v>
      </c>
      <c r="G510" s="7" t="str">
        <f>_xlfn.XLOOKUP(C510,Products!A510:A1009,Products!B510:B1009,"Product Missing",0)</f>
        <v>Product Missing</v>
      </c>
      <c r="H510" s="7" t="str">
        <f>_xlfn.XLOOKUP(C510,Products!A510:A1009,Products!C510:C1009,"Category Missing",0)</f>
        <v>Category Missing</v>
      </c>
      <c r="I510" s="11" t="str">
        <f>_xlfn.XLOOKUP(Orders!C510,Products!A510:A1009,Products!D510:D1009,"Price Missing",0)</f>
        <v>Price Missing</v>
      </c>
      <c r="J510" s="19">
        <f t="shared" si="7"/>
        <v>0</v>
      </c>
    </row>
    <row r="511" spans="1:10" x14ac:dyDescent="0.35">
      <c r="A511" s="4" t="s">
        <v>4531</v>
      </c>
      <c r="B511" s="7" t="s">
        <v>2060</v>
      </c>
      <c r="C511" s="7" t="s">
        <v>3736</v>
      </c>
      <c r="D511" s="5">
        <v>10</v>
      </c>
      <c r="E511" s="7" t="str">
        <f>_xlfn.XLOOKUP(B511,Customers!A511:A1510,Customers!B511:B1510,"Customer Not Found",0)</f>
        <v>Customer_684</v>
      </c>
      <c r="F511" s="7" t="str">
        <f>_xlfn.XLOOKUP(Orders!B511,Customers!A511:A1510,Customers!C511:C1510,"Country not Found",0)</f>
        <v>Kenya</v>
      </c>
      <c r="G511" s="7" t="str">
        <f>_xlfn.XLOOKUP(C511,Products!A511:A1010,Products!B511:B1010,"Product Missing",0)</f>
        <v>Product Missing</v>
      </c>
      <c r="H511" s="7" t="str">
        <f>_xlfn.XLOOKUP(C511,Products!A511:A1010,Products!C511:C1010,"Category Missing",0)</f>
        <v>Category Missing</v>
      </c>
      <c r="I511" s="11" t="str">
        <f>_xlfn.XLOOKUP(Orders!C511,Products!A511:A1010,Products!D511:D1010,"Price Missing",0)</f>
        <v>Price Missing</v>
      </c>
      <c r="J511" s="19">
        <f t="shared" si="7"/>
        <v>0</v>
      </c>
    </row>
    <row r="512" spans="1:10" x14ac:dyDescent="0.35">
      <c r="A512" s="4" t="s">
        <v>4532</v>
      </c>
      <c r="B512" s="7" t="s">
        <v>209</v>
      </c>
      <c r="C512" s="7" t="s">
        <v>3064</v>
      </c>
      <c r="D512" s="5">
        <v>8</v>
      </c>
      <c r="E512" s="7" t="str">
        <f>_xlfn.XLOOKUP(B512,Customers!A512:A1511,Customers!B512:B1511,"Customer Not Found",0)</f>
        <v>Customer Not Found</v>
      </c>
      <c r="F512" s="7" t="str">
        <f>_xlfn.XLOOKUP(Orders!B512,Customers!A512:A1511,Customers!C512:C1511,"Country not Found",0)</f>
        <v>Country not Found</v>
      </c>
      <c r="G512" s="7" t="str">
        <f>_xlfn.XLOOKUP(C512,Products!A512:A1011,Products!B512:B1011,"Product Missing",0)</f>
        <v>Product Missing</v>
      </c>
      <c r="H512" s="7" t="str">
        <f>_xlfn.XLOOKUP(C512,Products!A512:A1011,Products!C512:C1011,"Category Missing",0)</f>
        <v>Category Missing</v>
      </c>
      <c r="I512" s="11" t="str">
        <f>_xlfn.XLOOKUP(Orders!C512,Products!A512:A1011,Products!D512:D1011,"Price Missing",0)</f>
        <v>Price Missing</v>
      </c>
      <c r="J512" s="19">
        <f t="shared" si="7"/>
        <v>0</v>
      </c>
    </row>
    <row r="513" spans="1:10" x14ac:dyDescent="0.35">
      <c r="A513" s="4" t="s">
        <v>4533</v>
      </c>
      <c r="B513" s="7" t="s">
        <v>2504</v>
      </c>
      <c r="C513" s="7" t="s">
        <v>3990</v>
      </c>
      <c r="D513" s="5">
        <v>9</v>
      </c>
      <c r="E513" s="7" t="str">
        <f>_xlfn.XLOOKUP(B513,Customers!A513:A1512,Customers!B513:B1512,"Customer Not Found",0)</f>
        <v>Customer_832</v>
      </c>
      <c r="F513" s="7" t="str">
        <f>_xlfn.XLOOKUP(Orders!B513,Customers!A513:A1512,Customers!C513:C1512,"Country not Found",0)</f>
        <v>Nigeria</v>
      </c>
      <c r="G513" s="7" t="str">
        <f>_xlfn.XLOOKUP(C513,Products!A513:A1012,Products!B513:B1012,"Product Missing",0)</f>
        <v>Product Missing</v>
      </c>
      <c r="H513" s="7" t="str">
        <f>_xlfn.XLOOKUP(C513,Products!A513:A1012,Products!C513:C1012,"Category Missing",0)</f>
        <v>Category Missing</v>
      </c>
      <c r="I513" s="11" t="str">
        <f>_xlfn.XLOOKUP(Orders!C513,Products!A513:A1012,Products!D513:D1012,"Price Missing",0)</f>
        <v>Price Missing</v>
      </c>
      <c r="J513" s="19">
        <f t="shared" si="7"/>
        <v>0</v>
      </c>
    </row>
    <row r="514" spans="1:10" x14ac:dyDescent="0.35">
      <c r="A514" s="4" t="s">
        <v>4534</v>
      </c>
      <c r="B514" s="7" t="s">
        <v>1001</v>
      </c>
      <c r="C514" s="7" t="s">
        <v>3224</v>
      </c>
      <c r="D514" s="5">
        <v>6</v>
      </c>
      <c r="E514" s="7" t="str">
        <f>_xlfn.XLOOKUP(B514,Customers!A514:A1513,Customers!B514:B1513,"Customer Not Found",0)</f>
        <v>Customer Not Found</v>
      </c>
      <c r="F514" s="7" t="str">
        <f>_xlfn.XLOOKUP(Orders!B514,Customers!A514:A1513,Customers!C514:C1513,"Country not Found",0)</f>
        <v>Country not Found</v>
      </c>
      <c r="G514" s="7" t="str">
        <f>_xlfn.XLOOKUP(C514,Products!A514:A1013,Products!B514:B1013,"Product Missing",0)</f>
        <v>Product Missing</v>
      </c>
      <c r="H514" s="7" t="str">
        <f>_xlfn.XLOOKUP(C514,Products!A514:A1013,Products!C514:C1013,"Category Missing",0)</f>
        <v>Category Missing</v>
      </c>
      <c r="I514" s="11" t="str">
        <f>_xlfn.XLOOKUP(Orders!C514,Products!A514:A1013,Products!D514:D1013,"Price Missing",0)</f>
        <v>Price Missing</v>
      </c>
      <c r="J514" s="19">
        <f t="shared" si="7"/>
        <v>0</v>
      </c>
    </row>
    <row r="515" spans="1:10" x14ac:dyDescent="0.35">
      <c r="A515" s="4" t="s">
        <v>4535</v>
      </c>
      <c r="B515" s="7" t="s">
        <v>2996</v>
      </c>
      <c r="C515" s="7" t="s">
        <v>3272</v>
      </c>
      <c r="D515" s="5">
        <v>6</v>
      </c>
      <c r="E515" s="7" t="str">
        <f>_xlfn.XLOOKUP(B515,Customers!A515:A1514,Customers!B515:B1514,"Customer Not Found",0)</f>
        <v>Customer_996</v>
      </c>
      <c r="F515" s="7" t="str">
        <f>_xlfn.XLOOKUP(Orders!B515,Customers!A515:A1514,Customers!C515:C1514,"Country not Found",0)</f>
        <v>Nigeria</v>
      </c>
      <c r="G515" s="7" t="str">
        <f>_xlfn.XLOOKUP(C515,Products!A515:A1014,Products!B515:B1014,"Product Missing",0)</f>
        <v>Product Missing</v>
      </c>
      <c r="H515" s="7" t="str">
        <f>_xlfn.XLOOKUP(C515,Products!A515:A1014,Products!C515:C1014,"Category Missing",0)</f>
        <v>Category Missing</v>
      </c>
      <c r="I515" s="11" t="str">
        <f>_xlfn.XLOOKUP(Orders!C515,Products!A515:A1014,Products!D515:D1014,"Price Missing",0)</f>
        <v>Price Missing</v>
      </c>
      <c r="J515" s="19">
        <f t="shared" ref="J515:J578" si="8">IFERROR(I515*D515,0)</f>
        <v>0</v>
      </c>
    </row>
    <row r="516" spans="1:10" x14ac:dyDescent="0.35">
      <c r="A516" s="4" t="s">
        <v>4536</v>
      </c>
      <c r="B516" s="7" t="s">
        <v>1010</v>
      </c>
      <c r="C516" s="7" t="s">
        <v>3164</v>
      </c>
      <c r="D516" s="5">
        <v>4</v>
      </c>
      <c r="E516" s="7" t="str">
        <f>_xlfn.XLOOKUP(B516,Customers!A516:A1515,Customers!B516:B1515,"Customer Not Found",0)</f>
        <v>Customer Not Found</v>
      </c>
      <c r="F516" s="7" t="str">
        <f>_xlfn.XLOOKUP(Orders!B516,Customers!A516:A1515,Customers!C516:C1515,"Country not Found",0)</f>
        <v>Country not Found</v>
      </c>
      <c r="G516" s="7" t="str">
        <f>_xlfn.XLOOKUP(C516,Products!A516:A1015,Products!B516:B1015,"Product Missing",0)</f>
        <v>Product Missing</v>
      </c>
      <c r="H516" s="7" t="str">
        <f>_xlfn.XLOOKUP(C516,Products!A516:A1015,Products!C516:C1015,"Category Missing",0)</f>
        <v>Category Missing</v>
      </c>
      <c r="I516" s="11" t="str">
        <f>_xlfn.XLOOKUP(Orders!C516,Products!A516:A1015,Products!D516:D1015,"Price Missing",0)</f>
        <v>Price Missing</v>
      </c>
      <c r="J516" s="19">
        <f t="shared" si="8"/>
        <v>0</v>
      </c>
    </row>
    <row r="517" spans="1:10" x14ac:dyDescent="0.35">
      <c r="A517" s="4" t="s">
        <v>4537</v>
      </c>
      <c r="B517" s="7" t="s">
        <v>941</v>
      </c>
      <c r="C517" s="7" t="s">
        <v>3308</v>
      </c>
      <c r="D517" s="5">
        <v>4</v>
      </c>
      <c r="E517" s="7" t="str">
        <f>_xlfn.XLOOKUP(B517,Customers!A517:A1516,Customers!B517:B1516,"Customer Not Found",0)</f>
        <v>Customer Not Found</v>
      </c>
      <c r="F517" s="7" t="str">
        <f>_xlfn.XLOOKUP(Orders!B517,Customers!A517:A1516,Customers!C517:C1516,"Country not Found",0)</f>
        <v>Country not Found</v>
      </c>
      <c r="G517" s="7" t="str">
        <f>_xlfn.XLOOKUP(C517,Products!A517:A1016,Products!B517:B1016,"Product Missing",0)</f>
        <v>Product Missing</v>
      </c>
      <c r="H517" s="7" t="str">
        <f>_xlfn.XLOOKUP(C517,Products!A517:A1016,Products!C517:C1016,"Category Missing",0)</f>
        <v>Category Missing</v>
      </c>
      <c r="I517" s="11" t="str">
        <f>_xlfn.XLOOKUP(Orders!C517,Products!A517:A1016,Products!D517:D1016,"Price Missing",0)</f>
        <v>Price Missing</v>
      </c>
      <c r="J517" s="19">
        <f t="shared" si="8"/>
        <v>0</v>
      </c>
    </row>
    <row r="518" spans="1:10" x14ac:dyDescent="0.35">
      <c r="A518" s="4" t="s">
        <v>4538</v>
      </c>
      <c r="B518" s="7" t="s">
        <v>2474</v>
      </c>
      <c r="C518" s="7" t="s">
        <v>3248</v>
      </c>
      <c r="D518" s="5">
        <v>9</v>
      </c>
      <c r="E518" s="7" t="str">
        <f>_xlfn.XLOOKUP(B518,Customers!A518:A1517,Customers!B518:B1517,"Customer Not Found",0)</f>
        <v>Customer_822</v>
      </c>
      <c r="F518" s="7" t="str">
        <f>_xlfn.XLOOKUP(Orders!B518,Customers!A518:A1517,Customers!C518:C1517,"Country not Found",0)</f>
        <v>Kenya</v>
      </c>
      <c r="G518" s="7" t="str">
        <f>_xlfn.XLOOKUP(C518,Products!A518:A1017,Products!B518:B1017,"Product Missing",0)</f>
        <v>Product Missing</v>
      </c>
      <c r="H518" s="7" t="str">
        <f>_xlfn.XLOOKUP(C518,Products!A518:A1017,Products!C518:C1017,"Category Missing",0)</f>
        <v>Category Missing</v>
      </c>
      <c r="I518" s="11" t="str">
        <f>_xlfn.XLOOKUP(Orders!C518,Products!A518:A1017,Products!D518:D1017,"Price Missing",0)</f>
        <v>Price Missing</v>
      </c>
      <c r="J518" s="19">
        <f t="shared" si="8"/>
        <v>0</v>
      </c>
    </row>
    <row r="519" spans="1:10" x14ac:dyDescent="0.35">
      <c r="A519" s="4" t="s">
        <v>4539</v>
      </c>
      <c r="B519" s="7" t="s">
        <v>1859</v>
      </c>
      <c r="C519" s="7" t="s">
        <v>3180</v>
      </c>
      <c r="D519" s="5">
        <v>2</v>
      </c>
      <c r="E519" s="7" t="str">
        <f>_xlfn.XLOOKUP(B519,Customers!A519:A1518,Customers!B519:B1518,"Customer Not Found",0)</f>
        <v>Customer_617</v>
      </c>
      <c r="F519" s="7" t="str">
        <f>_xlfn.XLOOKUP(Orders!B519,Customers!A519:A1518,Customers!C519:C1518,"Country not Found",0)</f>
        <v>USA</v>
      </c>
      <c r="G519" s="7" t="str">
        <f>_xlfn.XLOOKUP(C519,Products!A519:A1018,Products!B519:B1018,"Product Missing",0)</f>
        <v>Product Missing</v>
      </c>
      <c r="H519" s="7" t="str">
        <f>_xlfn.XLOOKUP(C519,Products!A519:A1018,Products!C519:C1018,"Category Missing",0)</f>
        <v>Category Missing</v>
      </c>
      <c r="I519" s="11" t="str">
        <f>_xlfn.XLOOKUP(Orders!C519,Products!A519:A1018,Products!D519:D1018,"Price Missing",0)</f>
        <v>Price Missing</v>
      </c>
      <c r="J519" s="19">
        <f t="shared" si="8"/>
        <v>0</v>
      </c>
    </row>
    <row r="520" spans="1:10" x14ac:dyDescent="0.35">
      <c r="A520" s="4" t="s">
        <v>4540</v>
      </c>
      <c r="B520" s="7" t="s">
        <v>665</v>
      </c>
      <c r="C520" s="7" t="s">
        <v>3480</v>
      </c>
      <c r="D520" s="5">
        <v>6</v>
      </c>
      <c r="E520" s="7" t="str">
        <f>_xlfn.XLOOKUP(B520,Customers!A520:A1519,Customers!B520:B1519,"Customer Not Found",0)</f>
        <v>Customer Not Found</v>
      </c>
      <c r="F520" s="7" t="str">
        <f>_xlfn.XLOOKUP(Orders!B520,Customers!A520:A1519,Customers!C520:C1519,"Country not Found",0)</f>
        <v>Country not Found</v>
      </c>
      <c r="G520" s="7" t="str">
        <f>_xlfn.XLOOKUP(C520,Products!A520:A1019,Products!B520:B1019,"Product Missing",0)</f>
        <v>Product Missing</v>
      </c>
      <c r="H520" s="7" t="str">
        <f>_xlfn.XLOOKUP(C520,Products!A520:A1019,Products!C520:C1019,"Category Missing",0)</f>
        <v>Category Missing</v>
      </c>
      <c r="I520" s="11" t="str">
        <f>_xlfn.XLOOKUP(Orders!C520,Products!A520:A1019,Products!D520:D1019,"Price Missing",0)</f>
        <v>Price Missing</v>
      </c>
      <c r="J520" s="19">
        <f t="shared" si="8"/>
        <v>0</v>
      </c>
    </row>
    <row r="521" spans="1:10" x14ac:dyDescent="0.35">
      <c r="A521" s="4" t="s">
        <v>4541</v>
      </c>
      <c r="B521" s="7" t="s">
        <v>1430</v>
      </c>
      <c r="C521" s="7" t="s">
        <v>3562</v>
      </c>
      <c r="D521" s="5">
        <v>4</v>
      </c>
      <c r="E521" s="7" t="str">
        <f>_xlfn.XLOOKUP(B521,Customers!A521:A1520,Customers!B521:B1520,"Customer Not Found",0)</f>
        <v>Customer Not Found</v>
      </c>
      <c r="F521" s="7" t="str">
        <f>_xlfn.XLOOKUP(Orders!B521,Customers!A521:A1520,Customers!C521:C1520,"Country not Found",0)</f>
        <v>Country not Found</v>
      </c>
      <c r="G521" s="7" t="str">
        <f>_xlfn.XLOOKUP(C521,Products!A521:A1020,Products!B521:B1020,"Product Missing",0)</f>
        <v>Product Missing</v>
      </c>
      <c r="H521" s="7" t="str">
        <f>_xlfn.XLOOKUP(C521,Products!A521:A1020,Products!C521:C1020,"Category Missing",0)</f>
        <v>Category Missing</v>
      </c>
      <c r="I521" s="11" t="str">
        <f>_xlfn.XLOOKUP(Orders!C521,Products!A521:A1020,Products!D521:D1020,"Price Missing",0)</f>
        <v>Price Missing</v>
      </c>
      <c r="J521" s="19">
        <f t="shared" si="8"/>
        <v>0</v>
      </c>
    </row>
    <row r="522" spans="1:10" x14ac:dyDescent="0.35">
      <c r="A522" s="4" t="s">
        <v>4542</v>
      </c>
      <c r="B522" s="7" t="s">
        <v>1601</v>
      </c>
      <c r="C522" s="7" t="s">
        <v>3052</v>
      </c>
      <c r="D522" s="5">
        <v>6</v>
      </c>
      <c r="E522" s="7" t="str">
        <f>_xlfn.XLOOKUP(B522,Customers!A522:A1521,Customers!B522:B1521,"Customer Not Found",0)</f>
        <v>Customer_531</v>
      </c>
      <c r="F522" s="7" t="str">
        <f>_xlfn.XLOOKUP(Orders!B522,Customers!A522:A1521,Customers!C522:C1521,"Country not Found",0)</f>
        <v>Kenya</v>
      </c>
      <c r="G522" s="7" t="str">
        <f>_xlfn.XLOOKUP(C522,Products!A522:A1021,Products!B522:B1021,"Product Missing",0)</f>
        <v>Product Missing</v>
      </c>
      <c r="H522" s="7" t="str">
        <f>_xlfn.XLOOKUP(C522,Products!A522:A1021,Products!C522:C1021,"Category Missing",0)</f>
        <v>Category Missing</v>
      </c>
      <c r="I522" s="11" t="str">
        <f>_xlfn.XLOOKUP(Orders!C522,Products!A522:A1021,Products!D522:D1021,"Price Missing",0)</f>
        <v>Price Missing</v>
      </c>
      <c r="J522" s="19">
        <f t="shared" si="8"/>
        <v>0</v>
      </c>
    </row>
    <row r="523" spans="1:10" x14ac:dyDescent="0.35">
      <c r="A523" s="4" t="s">
        <v>4543</v>
      </c>
      <c r="B523" s="7" t="s">
        <v>1937</v>
      </c>
      <c r="C523" s="7" t="s">
        <v>3764</v>
      </c>
      <c r="D523" s="5">
        <v>2</v>
      </c>
      <c r="E523" s="7" t="str">
        <f>_xlfn.XLOOKUP(B523,Customers!A523:A1522,Customers!B523:B1522,"Customer Not Found",0)</f>
        <v>Customer_643</v>
      </c>
      <c r="F523" s="7" t="str">
        <f>_xlfn.XLOOKUP(Orders!B523,Customers!A523:A1522,Customers!C523:C1522,"Country not Found",0)</f>
        <v>South Africa</v>
      </c>
      <c r="G523" s="7" t="str">
        <f>_xlfn.XLOOKUP(C523,Products!A523:A1022,Products!B523:B1022,"Product Missing",0)</f>
        <v>Product Missing</v>
      </c>
      <c r="H523" s="7" t="str">
        <f>_xlfn.XLOOKUP(C523,Products!A523:A1022,Products!C523:C1022,"Category Missing",0)</f>
        <v>Category Missing</v>
      </c>
      <c r="I523" s="11" t="str">
        <f>_xlfn.XLOOKUP(Orders!C523,Products!A523:A1022,Products!D523:D1022,"Price Missing",0)</f>
        <v>Price Missing</v>
      </c>
      <c r="J523" s="19">
        <f t="shared" si="8"/>
        <v>0</v>
      </c>
    </row>
    <row r="524" spans="1:10" x14ac:dyDescent="0.35">
      <c r="A524" s="4" t="s">
        <v>4544</v>
      </c>
      <c r="B524" s="7" t="s">
        <v>19</v>
      </c>
      <c r="C524" s="7" t="s">
        <v>3262</v>
      </c>
      <c r="D524" s="5">
        <v>2</v>
      </c>
      <c r="E524" s="7" t="str">
        <f>_xlfn.XLOOKUP(B524,Customers!A524:A1523,Customers!B524:B1523,"Customer Not Found",0)</f>
        <v>Customer Not Found</v>
      </c>
      <c r="F524" s="7" t="str">
        <f>_xlfn.XLOOKUP(Orders!B524,Customers!A524:A1523,Customers!C524:C1523,"Country not Found",0)</f>
        <v>Country not Found</v>
      </c>
      <c r="G524" s="7" t="str">
        <f>_xlfn.XLOOKUP(C524,Products!A524:A1023,Products!B524:B1023,"Product Missing",0)</f>
        <v>Product Missing</v>
      </c>
      <c r="H524" s="7" t="str">
        <f>_xlfn.XLOOKUP(C524,Products!A524:A1023,Products!C524:C1023,"Category Missing",0)</f>
        <v>Category Missing</v>
      </c>
      <c r="I524" s="11" t="str">
        <f>_xlfn.XLOOKUP(Orders!C524,Products!A524:A1023,Products!D524:D1023,"Price Missing",0)</f>
        <v>Price Missing</v>
      </c>
      <c r="J524" s="19">
        <f t="shared" si="8"/>
        <v>0</v>
      </c>
    </row>
    <row r="525" spans="1:10" x14ac:dyDescent="0.35">
      <c r="A525" s="4" t="s">
        <v>4545</v>
      </c>
      <c r="B525" s="7" t="s">
        <v>2150</v>
      </c>
      <c r="C525" s="7" t="s">
        <v>3762</v>
      </c>
      <c r="D525" s="5">
        <v>2</v>
      </c>
      <c r="E525" s="7" t="str">
        <f>_xlfn.XLOOKUP(B525,Customers!A525:A1524,Customers!B525:B1524,"Customer Not Found",0)</f>
        <v>Customer_714</v>
      </c>
      <c r="F525" s="7" t="str">
        <f>_xlfn.XLOOKUP(Orders!B525,Customers!A525:A1524,Customers!C525:C1524,"Country not Found",0)</f>
        <v>Ghana</v>
      </c>
      <c r="G525" s="7" t="str">
        <f>_xlfn.XLOOKUP(C525,Products!A525:A1024,Products!B525:B1024,"Product Missing",0)</f>
        <v>Product Missing</v>
      </c>
      <c r="H525" s="7" t="str">
        <f>_xlfn.XLOOKUP(C525,Products!A525:A1024,Products!C525:C1024,"Category Missing",0)</f>
        <v>Category Missing</v>
      </c>
      <c r="I525" s="11" t="str">
        <f>_xlfn.XLOOKUP(Orders!C525,Products!A525:A1024,Products!D525:D1024,"Price Missing",0)</f>
        <v>Price Missing</v>
      </c>
      <c r="J525" s="19">
        <f t="shared" si="8"/>
        <v>0</v>
      </c>
    </row>
    <row r="526" spans="1:10" x14ac:dyDescent="0.35">
      <c r="A526" s="4" t="s">
        <v>4546</v>
      </c>
      <c r="B526" s="7" t="s">
        <v>518</v>
      </c>
      <c r="C526" s="7" t="s">
        <v>3702</v>
      </c>
      <c r="D526" s="5">
        <v>6</v>
      </c>
      <c r="E526" s="7" t="str">
        <f>_xlfn.XLOOKUP(B526,Customers!A526:A1525,Customers!B526:B1525,"Customer Not Found",0)</f>
        <v>Customer Not Found</v>
      </c>
      <c r="F526" s="7" t="str">
        <f>_xlfn.XLOOKUP(Orders!B526,Customers!A526:A1525,Customers!C526:C1525,"Country not Found",0)</f>
        <v>Country not Found</v>
      </c>
      <c r="G526" s="7" t="str">
        <f>_xlfn.XLOOKUP(C526,Products!A526:A1025,Products!B526:B1025,"Product Missing",0)</f>
        <v>Product Missing</v>
      </c>
      <c r="H526" s="7" t="str">
        <f>_xlfn.XLOOKUP(C526,Products!A526:A1025,Products!C526:C1025,"Category Missing",0)</f>
        <v>Category Missing</v>
      </c>
      <c r="I526" s="11" t="str">
        <f>_xlfn.XLOOKUP(Orders!C526,Products!A526:A1025,Products!D526:D1025,"Price Missing",0)</f>
        <v>Price Missing</v>
      </c>
      <c r="J526" s="19">
        <f t="shared" si="8"/>
        <v>0</v>
      </c>
    </row>
    <row r="527" spans="1:10" x14ac:dyDescent="0.35">
      <c r="A527" s="4" t="s">
        <v>4547</v>
      </c>
      <c r="B527" s="7" t="s">
        <v>2177</v>
      </c>
      <c r="C527" s="7" t="s">
        <v>3990</v>
      </c>
      <c r="D527" s="5">
        <v>1</v>
      </c>
      <c r="E527" s="7" t="str">
        <f>_xlfn.XLOOKUP(B527,Customers!A527:A1526,Customers!B527:B1526,"Customer Not Found",0)</f>
        <v>Customer_723</v>
      </c>
      <c r="F527" s="7" t="str">
        <f>_xlfn.XLOOKUP(Orders!B527,Customers!A527:A1526,Customers!C527:C1526,"Country not Found",0)</f>
        <v>Canada</v>
      </c>
      <c r="G527" s="7" t="str">
        <f>_xlfn.XLOOKUP(C527,Products!A527:A1026,Products!B527:B1026,"Product Missing",0)</f>
        <v>Product Missing</v>
      </c>
      <c r="H527" s="7" t="str">
        <f>_xlfn.XLOOKUP(C527,Products!A527:A1026,Products!C527:C1026,"Category Missing",0)</f>
        <v>Category Missing</v>
      </c>
      <c r="I527" s="11" t="str">
        <f>_xlfn.XLOOKUP(Orders!C527,Products!A527:A1026,Products!D527:D1026,"Price Missing",0)</f>
        <v>Price Missing</v>
      </c>
      <c r="J527" s="19">
        <f t="shared" si="8"/>
        <v>0</v>
      </c>
    </row>
    <row r="528" spans="1:10" x14ac:dyDescent="0.35">
      <c r="A528" s="4" t="s">
        <v>4548</v>
      </c>
      <c r="B528" s="7" t="s">
        <v>1688</v>
      </c>
      <c r="C528" s="7" t="s">
        <v>4006</v>
      </c>
      <c r="D528" s="5">
        <v>3</v>
      </c>
      <c r="E528" s="7" t="str">
        <f>_xlfn.XLOOKUP(B528,Customers!A528:A1527,Customers!B528:B1527,"Customer Not Found",0)</f>
        <v>Customer_560</v>
      </c>
      <c r="F528" s="7" t="str">
        <f>_xlfn.XLOOKUP(Orders!B528,Customers!A528:A1527,Customers!C528:C1527,"Country not Found",0)</f>
        <v>Canada</v>
      </c>
      <c r="G528" s="7" t="str">
        <f>_xlfn.XLOOKUP(C528,Products!A528:A1027,Products!B528:B1027,"Product Missing",0)</f>
        <v>Product Missing</v>
      </c>
      <c r="H528" s="7" t="str">
        <f>_xlfn.XLOOKUP(C528,Products!A528:A1027,Products!C528:C1027,"Category Missing",0)</f>
        <v>Category Missing</v>
      </c>
      <c r="I528" s="11" t="str">
        <f>_xlfn.XLOOKUP(Orders!C528,Products!A528:A1027,Products!D528:D1027,"Price Missing",0)</f>
        <v>Price Missing</v>
      </c>
      <c r="J528" s="19">
        <f t="shared" si="8"/>
        <v>0</v>
      </c>
    </row>
    <row r="529" spans="1:10" x14ac:dyDescent="0.35">
      <c r="A529" s="4" t="s">
        <v>4549</v>
      </c>
      <c r="B529" s="7" t="s">
        <v>731</v>
      </c>
      <c r="C529" s="7" t="s">
        <v>3778</v>
      </c>
      <c r="D529" s="5">
        <v>8</v>
      </c>
      <c r="E529" s="7" t="str">
        <f>_xlfn.XLOOKUP(B529,Customers!A529:A1528,Customers!B529:B1528,"Customer Not Found",0)</f>
        <v>Customer Not Found</v>
      </c>
      <c r="F529" s="7" t="str">
        <f>_xlfn.XLOOKUP(Orders!B529,Customers!A529:A1528,Customers!C529:C1528,"Country not Found",0)</f>
        <v>Country not Found</v>
      </c>
      <c r="G529" s="7" t="str">
        <f>_xlfn.XLOOKUP(C529,Products!A529:A1028,Products!B529:B1028,"Product Missing",0)</f>
        <v>Product Missing</v>
      </c>
      <c r="H529" s="7" t="str">
        <f>_xlfn.XLOOKUP(C529,Products!A529:A1028,Products!C529:C1028,"Category Missing",0)</f>
        <v>Category Missing</v>
      </c>
      <c r="I529" s="11" t="str">
        <f>_xlfn.XLOOKUP(Orders!C529,Products!A529:A1028,Products!D529:D1028,"Price Missing",0)</f>
        <v>Price Missing</v>
      </c>
      <c r="J529" s="19">
        <f t="shared" si="8"/>
        <v>0</v>
      </c>
    </row>
    <row r="530" spans="1:10" x14ac:dyDescent="0.35">
      <c r="A530" s="4" t="s">
        <v>4550</v>
      </c>
      <c r="B530" s="7" t="s">
        <v>2834</v>
      </c>
      <c r="C530" s="7" t="s">
        <v>3402</v>
      </c>
      <c r="D530" s="5">
        <v>6</v>
      </c>
      <c r="E530" s="7" t="str">
        <f>_xlfn.XLOOKUP(B530,Customers!A530:A1529,Customers!B530:B1529,"Customer Not Found",0)</f>
        <v>Customer_942</v>
      </c>
      <c r="F530" s="7" t="str">
        <f>_xlfn.XLOOKUP(Orders!B530,Customers!A530:A1529,Customers!C530:C1529,"Country not Found",0)</f>
        <v>Canada</v>
      </c>
      <c r="G530" s="7" t="str">
        <f>_xlfn.XLOOKUP(C530,Products!A530:A1029,Products!B530:B1029,"Product Missing",0)</f>
        <v>Product Missing</v>
      </c>
      <c r="H530" s="7" t="str">
        <f>_xlfn.XLOOKUP(C530,Products!A530:A1029,Products!C530:C1029,"Category Missing",0)</f>
        <v>Category Missing</v>
      </c>
      <c r="I530" s="11" t="str">
        <f>_xlfn.XLOOKUP(Orders!C530,Products!A530:A1029,Products!D530:D1029,"Price Missing",0)</f>
        <v>Price Missing</v>
      </c>
      <c r="J530" s="19">
        <f t="shared" si="8"/>
        <v>0</v>
      </c>
    </row>
    <row r="531" spans="1:10" x14ac:dyDescent="0.35">
      <c r="A531" s="4" t="s">
        <v>4551</v>
      </c>
      <c r="B531" s="7" t="s">
        <v>275</v>
      </c>
      <c r="C531" s="7" t="s">
        <v>3108</v>
      </c>
      <c r="D531" s="5">
        <v>5</v>
      </c>
      <c r="E531" s="7" t="str">
        <f>_xlfn.XLOOKUP(B531,Customers!A531:A1530,Customers!B531:B1530,"Customer Not Found",0)</f>
        <v>Customer Not Found</v>
      </c>
      <c r="F531" s="7" t="str">
        <f>_xlfn.XLOOKUP(Orders!B531,Customers!A531:A1530,Customers!C531:C1530,"Country not Found",0)</f>
        <v>Country not Found</v>
      </c>
      <c r="G531" s="7" t="str">
        <f>_xlfn.XLOOKUP(C531,Products!A531:A1030,Products!B531:B1030,"Product Missing",0)</f>
        <v>Product Missing</v>
      </c>
      <c r="H531" s="7" t="str">
        <f>_xlfn.XLOOKUP(C531,Products!A531:A1030,Products!C531:C1030,"Category Missing",0)</f>
        <v>Category Missing</v>
      </c>
      <c r="I531" s="11" t="str">
        <f>_xlfn.XLOOKUP(Orders!C531,Products!A531:A1030,Products!D531:D1030,"Price Missing",0)</f>
        <v>Price Missing</v>
      </c>
      <c r="J531" s="19">
        <f t="shared" si="8"/>
        <v>0</v>
      </c>
    </row>
    <row r="532" spans="1:10" x14ac:dyDescent="0.35">
      <c r="A532" s="4" t="s">
        <v>4552</v>
      </c>
      <c r="B532" s="7" t="s">
        <v>1238</v>
      </c>
      <c r="C532" s="7" t="s">
        <v>3404</v>
      </c>
      <c r="D532" s="5">
        <v>2</v>
      </c>
      <c r="E532" s="7" t="str">
        <f>_xlfn.XLOOKUP(B532,Customers!A532:A1531,Customers!B532:B1531,"Customer Not Found",0)</f>
        <v>Customer Not Found</v>
      </c>
      <c r="F532" s="7" t="str">
        <f>_xlfn.XLOOKUP(Orders!B532,Customers!A532:A1531,Customers!C532:C1531,"Country not Found",0)</f>
        <v>Country not Found</v>
      </c>
      <c r="G532" s="7" t="str">
        <f>_xlfn.XLOOKUP(C532,Products!A532:A1031,Products!B532:B1031,"Product Missing",0)</f>
        <v>Product Missing</v>
      </c>
      <c r="H532" s="7" t="str">
        <f>_xlfn.XLOOKUP(C532,Products!A532:A1031,Products!C532:C1031,"Category Missing",0)</f>
        <v>Category Missing</v>
      </c>
      <c r="I532" s="11" t="str">
        <f>_xlfn.XLOOKUP(Orders!C532,Products!A532:A1031,Products!D532:D1031,"Price Missing",0)</f>
        <v>Price Missing</v>
      </c>
      <c r="J532" s="19">
        <f t="shared" si="8"/>
        <v>0</v>
      </c>
    </row>
    <row r="533" spans="1:10" x14ac:dyDescent="0.35">
      <c r="A533" s="4" t="s">
        <v>4553</v>
      </c>
      <c r="B533" s="7" t="s">
        <v>1106</v>
      </c>
      <c r="C533" s="7" t="s">
        <v>3842</v>
      </c>
      <c r="D533" s="5">
        <v>5</v>
      </c>
      <c r="E533" s="7" t="str">
        <f>_xlfn.XLOOKUP(B533,Customers!A533:A1532,Customers!B533:B1532,"Customer Not Found",0)</f>
        <v>Customer Not Found</v>
      </c>
      <c r="F533" s="7" t="str">
        <f>_xlfn.XLOOKUP(Orders!B533,Customers!A533:A1532,Customers!C533:C1532,"Country not Found",0)</f>
        <v>Country not Found</v>
      </c>
      <c r="G533" s="7" t="str">
        <f>_xlfn.XLOOKUP(C533,Products!A533:A1032,Products!B533:B1032,"Product Missing",0)</f>
        <v>Product Missing</v>
      </c>
      <c r="H533" s="7" t="str">
        <f>_xlfn.XLOOKUP(C533,Products!A533:A1032,Products!C533:C1032,"Category Missing",0)</f>
        <v>Category Missing</v>
      </c>
      <c r="I533" s="11" t="str">
        <f>_xlfn.XLOOKUP(Orders!C533,Products!A533:A1032,Products!D533:D1032,"Price Missing",0)</f>
        <v>Price Missing</v>
      </c>
      <c r="J533" s="19">
        <f t="shared" si="8"/>
        <v>0</v>
      </c>
    </row>
    <row r="534" spans="1:10" x14ac:dyDescent="0.35">
      <c r="A534" s="4" t="s">
        <v>4554</v>
      </c>
      <c r="B534" s="7" t="s">
        <v>2753</v>
      </c>
      <c r="C534" s="7" t="s">
        <v>3754</v>
      </c>
      <c r="D534" s="5">
        <v>10</v>
      </c>
      <c r="E534" s="7" t="str">
        <f>_xlfn.XLOOKUP(B534,Customers!A534:A1533,Customers!B534:B1533,"Customer Not Found",0)</f>
        <v>Customer_915</v>
      </c>
      <c r="F534" s="7" t="str">
        <f>_xlfn.XLOOKUP(Orders!B534,Customers!A534:A1533,Customers!C534:C1533,"Country not Found",0)</f>
        <v>USA</v>
      </c>
      <c r="G534" s="7" t="str">
        <f>_xlfn.XLOOKUP(C534,Products!A534:A1033,Products!B534:B1033,"Product Missing",0)</f>
        <v>Product Missing</v>
      </c>
      <c r="H534" s="7" t="str">
        <f>_xlfn.XLOOKUP(C534,Products!A534:A1033,Products!C534:C1033,"Category Missing",0)</f>
        <v>Category Missing</v>
      </c>
      <c r="I534" s="11" t="str">
        <f>_xlfn.XLOOKUP(Orders!C534,Products!A534:A1033,Products!D534:D1033,"Price Missing",0)</f>
        <v>Price Missing</v>
      </c>
      <c r="J534" s="19">
        <f t="shared" si="8"/>
        <v>0</v>
      </c>
    </row>
    <row r="535" spans="1:10" x14ac:dyDescent="0.35">
      <c r="A535" s="4" t="s">
        <v>4555</v>
      </c>
      <c r="B535" s="7" t="s">
        <v>257</v>
      </c>
      <c r="C535" s="7" t="s">
        <v>3686</v>
      </c>
      <c r="D535" s="5">
        <v>6</v>
      </c>
      <c r="E535" s="7" t="str">
        <f>_xlfn.XLOOKUP(B535,Customers!A535:A1534,Customers!B535:B1534,"Customer Not Found",0)</f>
        <v>Customer Not Found</v>
      </c>
      <c r="F535" s="7" t="str">
        <f>_xlfn.XLOOKUP(Orders!B535,Customers!A535:A1534,Customers!C535:C1534,"Country not Found",0)</f>
        <v>Country not Found</v>
      </c>
      <c r="G535" s="7" t="str">
        <f>_xlfn.XLOOKUP(C535,Products!A535:A1034,Products!B535:B1034,"Product Missing",0)</f>
        <v>Product Missing</v>
      </c>
      <c r="H535" s="7" t="str">
        <f>_xlfn.XLOOKUP(C535,Products!A535:A1034,Products!C535:C1034,"Category Missing",0)</f>
        <v>Category Missing</v>
      </c>
      <c r="I535" s="11" t="str">
        <f>_xlfn.XLOOKUP(Orders!C535,Products!A535:A1034,Products!D535:D1034,"Price Missing",0)</f>
        <v>Price Missing</v>
      </c>
      <c r="J535" s="19">
        <f t="shared" si="8"/>
        <v>0</v>
      </c>
    </row>
    <row r="536" spans="1:10" x14ac:dyDescent="0.35">
      <c r="A536" s="4" t="s">
        <v>4556</v>
      </c>
      <c r="B536" s="7" t="s">
        <v>2801</v>
      </c>
      <c r="C536" s="7" t="s">
        <v>3312</v>
      </c>
      <c r="D536" s="5">
        <v>8</v>
      </c>
      <c r="E536" s="7" t="str">
        <f>_xlfn.XLOOKUP(B536,Customers!A536:A1535,Customers!B536:B1535,"Customer Not Found",0)</f>
        <v>Customer_931</v>
      </c>
      <c r="F536" s="7" t="str">
        <f>_xlfn.XLOOKUP(Orders!B536,Customers!A536:A1535,Customers!C536:C1535,"Country not Found",0)</f>
        <v>Canada</v>
      </c>
      <c r="G536" s="7" t="str">
        <f>_xlfn.XLOOKUP(C536,Products!A536:A1035,Products!B536:B1035,"Product Missing",0)</f>
        <v>Product Missing</v>
      </c>
      <c r="H536" s="7" t="str">
        <f>_xlfn.XLOOKUP(C536,Products!A536:A1035,Products!C536:C1035,"Category Missing",0)</f>
        <v>Category Missing</v>
      </c>
      <c r="I536" s="11" t="str">
        <f>_xlfn.XLOOKUP(Orders!C536,Products!A536:A1035,Products!D536:D1035,"Price Missing",0)</f>
        <v>Price Missing</v>
      </c>
      <c r="J536" s="19">
        <f t="shared" si="8"/>
        <v>0</v>
      </c>
    </row>
    <row r="537" spans="1:10" x14ac:dyDescent="0.35">
      <c r="A537" s="4" t="s">
        <v>4557</v>
      </c>
      <c r="B537" s="7" t="s">
        <v>1829</v>
      </c>
      <c r="C537" s="7" t="s">
        <v>3900</v>
      </c>
      <c r="D537" s="5">
        <v>4</v>
      </c>
      <c r="E537" s="7" t="str">
        <f>_xlfn.XLOOKUP(B537,Customers!A537:A1536,Customers!B537:B1536,"Customer Not Found",0)</f>
        <v>Customer_607</v>
      </c>
      <c r="F537" s="7" t="str">
        <f>_xlfn.XLOOKUP(Orders!B537,Customers!A537:A1536,Customers!C537:C1536,"Country not Found",0)</f>
        <v>South Africa</v>
      </c>
      <c r="G537" s="7" t="str">
        <f>_xlfn.XLOOKUP(C537,Products!A537:A1036,Products!B537:B1036,"Product Missing",0)</f>
        <v>Product Missing</v>
      </c>
      <c r="H537" s="7" t="str">
        <f>_xlfn.XLOOKUP(C537,Products!A537:A1036,Products!C537:C1036,"Category Missing",0)</f>
        <v>Category Missing</v>
      </c>
      <c r="I537" s="11" t="str">
        <f>_xlfn.XLOOKUP(Orders!C537,Products!A537:A1036,Products!D537:D1036,"Price Missing",0)</f>
        <v>Price Missing</v>
      </c>
      <c r="J537" s="19">
        <f t="shared" si="8"/>
        <v>0</v>
      </c>
    </row>
    <row r="538" spans="1:10" x14ac:dyDescent="0.35">
      <c r="A538" s="4" t="s">
        <v>4558</v>
      </c>
      <c r="B538" s="7" t="s">
        <v>473</v>
      </c>
      <c r="C538" s="7" t="s">
        <v>3922</v>
      </c>
      <c r="D538" s="5">
        <v>9</v>
      </c>
      <c r="E538" s="7" t="str">
        <f>_xlfn.XLOOKUP(B538,Customers!A538:A1537,Customers!B538:B1537,"Customer Not Found",0)</f>
        <v>Customer Not Found</v>
      </c>
      <c r="F538" s="7" t="str">
        <f>_xlfn.XLOOKUP(Orders!B538,Customers!A538:A1537,Customers!C538:C1537,"Country not Found",0)</f>
        <v>Country not Found</v>
      </c>
      <c r="G538" s="7" t="str">
        <f>_xlfn.XLOOKUP(C538,Products!A538:A1037,Products!B538:B1037,"Product Missing",0)</f>
        <v>Product Missing</v>
      </c>
      <c r="H538" s="7" t="str">
        <f>_xlfn.XLOOKUP(C538,Products!A538:A1037,Products!C538:C1037,"Category Missing",0)</f>
        <v>Category Missing</v>
      </c>
      <c r="I538" s="11" t="str">
        <f>_xlfn.XLOOKUP(Orders!C538,Products!A538:A1037,Products!D538:D1037,"Price Missing",0)</f>
        <v>Price Missing</v>
      </c>
      <c r="J538" s="19">
        <f t="shared" si="8"/>
        <v>0</v>
      </c>
    </row>
    <row r="539" spans="1:10" x14ac:dyDescent="0.35">
      <c r="A539" s="4" t="s">
        <v>4559</v>
      </c>
      <c r="B539" s="7" t="s">
        <v>1679</v>
      </c>
      <c r="C539" s="7" t="s">
        <v>3102</v>
      </c>
      <c r="D539" s="5">
        <v>8</v>
      </c>
      <c r="E539" s="7" t="str">
        <f>_xlfn.XLOOKUP(B539,Customers!A539:A1538,Customers!B539:B1538,"Customer Not Found",0)</f>
        <v>Customer_557</v>
      </c>
      <c r="F539" s="7" t="str">
        <f>_xlfn.XLOOKUP(Orders!B539,Customers!A539:A1538,Customers!C539:C1538,"Country not Found",0)</f>
        <v>Canada</v>
      </c>
      <c r="G539" s="7" t="str">
        <f>_xlfn.XLOOKUP(C539,Products!A539:A1038,Products!B539:B1038,"Product Missing",0)</f>
        <v>Product Missing</v>
      </c>
      <c r="H539" s="7" t="str">
        <f>_xlfn.XLOOKUP(C539,Products!A539:A1038,Products!C539:C1038,"Category Missing",0)</f>
        <v>Category Missing</v>
      </c>
      <c r="I539" s="11" t="str">
        <f>_xlfn.XLOOKUP(Orders!C539,Products!A539:A1038,Products!D539:D1038,"Price Missing",0)</f>
        <v>Price Missing</v>
      </c>
      <c r="J539" s="19">
        <f t="shared" si="8"/>
        <v>0</v>
      </c>
    </row>
    <row r="540" spans="1:10" x14ac:dyDescent="0.35">
      <c r="A540" s="4" t="s">
        <v>4560</v>
      </c>
      <c r="B540" s="7" t="s">
        <v>2759</v>
      </c>
      <c r="C540" s="7" t="s">
        <v>3250</v>
      </c>
      <c r="D540" s="5">
        <v>3</v>
      </c>
      <c r="E540" s="7" t="str">
        <f>_xlfn.XLOOKUP(B540,Customers!A540:A1539,Customers!B540:B1539,"Customer Not Found",0)</f>
        <v>Customer_917</v>
      </c>
      <c r="F540" s="7" t="str">
        <f>_xlfn.XLOOKUP(Orders!B540,Customers!A540:A1539,Customers!C540:C1539,"Country not Found",0)</f>
        <v>Canada</v>
      </c>
      <c r="G540" s="7" t="str">
        <f>_xlfn.XLOOKUP(C540,Products!A540:A1039,Products!B540:B1039,"Product Missing",0)</f>
        <v>Product Missing</v>
      </c>
      <c r="H540" s="7" t="str">
        <f>_xlfn.XLOOKUP(C540,Products!A540:A1039,Products!C540:C1039,"Category Missing",0)</f>
        <v>Category Missing</v>
      </c>
      <c r="I540" s="11" t="str">
        <f>_xlfn.XLOOKUP(Orders!C540,Products!A540:A1039,Products!D540:D1039,"Price Missing",0)</f>
        <v>Price Missing</v>
      </c>
      <c r="J540" s="19">
        <f t="shared" si="8"/>
        <v>0</v>
      </c>
    </row>
    <row r="541" spans="1:10" x14ac:dyDescent="0.35">
      <c r="A541" s="4" t="s">
        <v>4561</v>
      </c>
      <c r="B541" s="7" t="s">
        <v>731</v>
      </c>
      <c r="C541" s="7" t="s">
        <v>3300</v>
      </c>
      <c r="D541" s="5">
        <v>8</v>
      </c>
      <c r="E541" s="7" t="str">
        <f>_xlfn.XLOOKUP(B541,Customers!A541:A1540,Customers!B541:B1540,"Customer Not Found",0)</f>
        <v>Customer Not Found</v>
      </c>
      <c r="F541" s="7" t="str">
        <f>_xlfn.XLOOKUP(Orders!B541,Customers!A541:A1540,Customers!C541:C1540,"Country not Found",0)</f>
        <v>Country not Found</v>
      </c>
      <c r="G541" s="7" t="str">
        <f>_xlfn.XLOOKUP(C541,Products!A541:A1040,Products!B541:B1040,"Product Missing",0)</f>
        <v>Product Missing</v>
      </c>
      <c r="H541" s="7" t="str">
        <f>_xlfn.XLOOKUP(C541,Products!A541:A1040,Products!C541:C1040,"Category Missing",0)</f>
        <v>Category Missing</v>
      </c>
      <c r="I541" s="11" t="str">
        <f>_xlfn.XLOOKUP(Orders!C541,Products!A541:A1040,Products!D541:D1040,"Price Missing",0)</f>
        <v>Price Missing</v>
      </c>
      <c r="J541" s="19">
        <f t="shared" si="8"/>
        <v>0</v>
      </c>
    </row>
    <row r="542" spans="1:10" x14ac:dyDescent="0.35">
      <c r="A542" s="4" t="s">
        <v>4562</v>
      </c>
      <c r="B542" s="7" t="s">
        <v>1304</v>
      </c>
      <c r="C542" s="7" t="s">
        <v>3410</v>
      </c>
      <c r="D542" s="5">
        <v>8</v>
      </c>
      <c r="E542" s="7" t="str">
        <f>_xlfn.XLOOKUP(B542,Customers!A542:A1541,Customers!B542:B1541,"Customer Not Found",0)</f>
        <v>Customer Not Found</v>
      </c>
      <c r="F542" s="7" t="str">
        <f>_xlfn.XLOOKUP(Orders!B542,Customers!A542:A1541,Customers!C542:C1541,"Country not Found",0)</f>
        <v>Country not Found</v>
      </c>
      <c r="G542" s="7" t="str">
        <f>_xlfn.XLOOKUP(C542,Products!A542:A1041,Products!B542:B1041,"Product Missing",0)</f>
        <v>Product Missing</v>
      </c>
      <c r="H542" s="7" t="str">
        <f>_xlfn.XLOOKUP(C542,Products!A542:A1041,Products!C542:C1041,"Category Missing",0)</f>
        <v>Category Missing</v>
      </c>
      <c r="I542" s="11" t="str">
        <f>_xlfn.XLOOKUP(Orders!C542,Products!A542:A1041,Products!D542:D1041,"Price Missing",0)</f>
        <v>Price Missing</v>
      </c>
      <c r="J542" s="19">
        <f t="shared" si="8"/>
        <v>0</v>
      </c>
    </row>
    <row r="543" spans="1:10" x14ac:dyDescent="0.35">
      <c r="A543" s="4" t="s">
        <v>4563</v>
      </c>
      <c r="B543" s="7" t="s">
        <v>980</v>
      </c>
      <c r="C543" s="7" t="s">
        <v>3768</v>
      </c>
      <c r="D543" s="5">
        <v>1</v>
      </c>
      <c r="E543" s="7" t="str">
        <f>_xlfn.XLOOKUP(B543,Customers!A543:A1542,Customers!B543:B1542,"Customer Not Found",0)</f>
        <v>Customer Not Found</v>
      </c>
      <c r="F543" s="7" t="str">
        <f>_xlfn.XLOOKUP(Orders!B543,Customers!A543:A1542,Customers!C543:C1542,"Country not Found",0)</f>
        <v>Country not Found</v>
      </c>
      <c r="G543" s="7" t="str">
        <f>_xlfn.XLOOKUP(C543,Products!A543:A1042,Products!B543:B1042,"Product Missing",0)</f>
        <v>Product Missing</v>
      </c>
      <c r="H543" s="7" t="str">
        <f>_xlfn.XLOOKUP(C543,Products!A543:A1042,Products!C543:C1042,"Category Missing",0)</f>
        <v>Category Missing</v>
      </c>
      <c r="I543" s="11" t="str">
        <f>_xlfn.XLOOKUP(Orders!C543,Products!A543:A1042,Products!D543:D1042,"Price Missing",0)</f>
        <v>Price Missing</v>
      </c>
      <c r="J543" s="19">
        <f t="shared" si="8"/>
        <v>0</v>
      </c>
    </row>
    <row r="544" spans="1:10" x14ac:dyDescent="0.35">
      <c r="A544" s="4" t="s">
        <v>4564</v>
      </c>
      <c r="B544" s="7" t="s">
        <v>1061</v>
      </c>
      <c r="C544" s="7" t="s">
        <v>3252</v>
      </c>
      <c r="D544" s="5">
        <v>4</v>
      </c>
      <c r="E544" s="7" t="str">
        <f>_xlfn.XLOOKUP(B544,Customers!A544:A1543,Customers!B544:B1543,"Customer Not Found",0)</f>
        <v>Customer Not Found</v>
      </c>
      <c r="F544" s="7" t="str">
        <f>_xlfn.XLOOKUP(Orders!B544,Customers!A544:A1543,Customers!C544:C1543,"Country not Found",0)</f>
        <v>Country not Found</v>
      </c>
      <c r="G544" s="7" t="str">
        <f>_xlfn.XLOOKUP(C544,Products!A544:A1043,Products!B544:B1043,"Product Missing",0)</f>
        <v>Product Missing</v>
      </c>
      <c r="H544" s="7" t="str">
        <f>_xlfn.XLOOKUP(C544,Products!A544:A1043,Products!C544:C1043,"Category Missing",0)</f>
        <v>Category Missing</v>
      </c>
      <c r="I544" s="11" t="str">
        <f>_xlfn.XLOOKUP(Orders!C544,Products!A544:A1043,Products!D544:D1043,"Price Missing",0)</f>
        <v>Price Missing</v>
      </c>
      <c r="J544" s="19">
        <f t="shared" si="8"/>
        <v>0</v>
      </c>
    </row>
    <row r="545" spans="1:10" x14ac:dyDescent="0.35">
      <c r="A545" s="4" t="s">
        <v>4565</v>
      </c>
      <c r="B545" s="7" t="s">
        <v>809</v>
      </c>
      <c r="C545" s="7" t="s">
        <v>3964</v>
      </c>
      <c r="D545" s="5">
        <v>10</v>
      </c>
      <c r="E545" s="7" t="str">
        <f>_xlfn.XLOOKUP(B545,Customers!A545:A1544,Customers!B545:B1544,"Customer Not Found",0)</f>
        <v>Customer Not Found</v>
      </c>
      <c r="F545" s="7" t="str">
        <f>_xlfn.XLOOKUP(Orders!B545,Customers!A545:A1544,Customers!C545:C1544,"Country not Found",0)</f>
        <v>Country not Found</v>
      </c>
      <c r="G545" s="7" t="str">
        <f>_xlfn.XLOOKUP(C545,Products!A545:A1044,Products!B545:B1044,"Product Missing",0)</f>
        <v>Product Missing</v>
      </c>
      <c r="H545" s="7" t="str">
        <f>_xlfn.XLOOKUP(C545,Products!A545:A1044,Products!C545:C1044,"Category Missing",0)</f>
        <v>Category Missing</v>
      </c>
      <c r="I545" s="11" t="str">
        <f>_xlfn.XLOOKUP(Orders!C545,Products!A545:A1044,Products!D545:D1044,"Price Missing",0)</f>
        <v>Price Missing</v>
      </c>
      <c r="J545" s="19">
        <f t="shared" si="8"/>
        <v>0</v>
      </c>
    </row>
    <row r="546" spans="1:10" x14ac:dyDescent="0.35">
      <c r="A546" s="4" t="s">
        <v>4566</v>
      </c>
      <c r="B546" s="7" t="s">
        <v>1985</v>
      </c>
      <c r="C546" s="7" t="s">
        <v>3392</v>
      </c>
      <c r="D546" s="5">
        <v>8</v>
      </c>
      <c r="E546" s="7" t="str">
        <f>_xlfn.XLOOKUP(B546,Customers!A546:A1545,Customers!B546:B1545,"Customer Not Found",0)</f>
        <v>Customer_659</v>
      </c>
      <c r="F546" s="7" t="str">
        <f>_xlfn.XLOOKUP(Orders!B546,Customers!A546:A1545,Customers!C546:C1545,"Country not Found",0)</f>
        <v>Nigeria</v>
      </c>
      <c r="G546" s="7" t="str">
        <f>_xlfn.XLOOKUP(C546,Products!A546:A1045,Products!B546:B1045,"Product Missing",0)</f>
        <v>Product Missing</v>
      </c>
      <c r="H546" s="7" t="str">
        <f>_xlfn.XLOOKUP(C546,Products!A546:A1045,Products!C546:C1045,"Category Missing",0)</f>
        <v>Category Missing</v>
      </c>
      <c r="I546" s="11" t="str">
        <f>_xlfn.XLOOKUP(Orders!C546,Products!A546:A1045,Products!D546:D1045,"Price Missing",0)</f>
        <v>Price Missing</v>
      </c>
      <c r="J546" s="19">
        <f t="shared" si="8"/>
        <v>0</v>
      </c>
    </row>
    <row r="547" spans="1:10" x14ac:dyDescent="0.35">
      <c r="A547" s="4" t="s">
        <v>4567</v>
      </c>
      <c r="B547" s="7" t="s">
        <v>1331</v>
      </c>
      <c r="C547" s="7" t="s">
        <v>3802</v>
      </c>
      <c r="D547" s="5">
        <v>7</v>
      </c>
      <c r="E547" s="7" t="str">
        <f>_xlfn.XLOOKUP(B547,Customers!A547:A1546,Customers!B547:B1546,"Customer Not Found",0)</f>
        <v>Customer Not Found</v>
      </c>
      <c r="F547" s="7" t="str">
        <f>_xlfn.XLOOKUP(Orders!B547,Customers!A547:A1546,Customers!C547:C1546,"Country not Found",0)</f>
        <v>Country not Found</v>
      </c>
      <c r="G547" s="7" t="str">
        <f>_xlfn.XLOOKUP(C547,Products!A547:A1046,Products!B547:B1046,"Product Missing",0)</f>
        <v>Product Missing</v>
      </c>
      <c r="H547" s="7" t="str">
        <f>_xlfn.XLOOKUP(C547,Products!A547:A1046,Products!C547:C1046,"Category Missing",0)</f>
        <v>Category Missing</v>
      </c>
      <c r="I547" s="11" t="str">
        <f>_xlfn.XLOOKUP(Orders!C547,Products!A547:A1046,Products!D547:D1046,"Price Missing",0)</f>
        <v>Price Missing</v>
      </c>
      <c r="J547" s="19">
        <f t="shared" si="8"/>
        <v>0</v>
      </c>
    </row>
    <row r="548" spans="1:10" x14ac:dyDescent="0.35">
      <c r="A548" s="4" t="s">
        <v>4568</v>
      </c>
      <c r="B548" s="7" t="s">
        <v>611</v>
      </c>
      <c r="C548" s="7" t="s">
        <v>3206</v>
      </c>
      <c r="D548" s="5">
        <v>10</v>
      </c>
      <c r="E548" s="7" t="str">
        <f>_xlfn.XLOOKUP(B548,Customers!A548:A1547,Customers!B548:B1547,"Customer Not Found",0)</f>
        <v>Customer Not Found</v>
      </c>
      <c r="F548" s="7" t="str">
        <f>_xlfn.XLOOKUP(Orders!B548,Customers!A548:A1547,Customers!C548:C1547,"Country not Found",0)</f>
        <v>Country not Found</v>
      </c>
      <c r="G548" s="7" t="str">
        <f>_xlfn.XLOOKUP(C548,Products!A548:A1047,Products!B548:B1047,"Product Missing",0)</f>
        <v>Product Missing</v>
      </c>
      <c r="H548" s="7" t="str">
        <f>_xlfn.XLOOKUP(C548,Products!A548:A1047,Products!C548:C1047,"Category Missing",0)</f>
        <v>Category Missing</v>
      </c>
      <c r="I548" s="11" t="str">
        <f>_xlfn.XLOOKUP(Orders!C548,Products!A548:A1047,Products!D548:D1047,"Price Missing",0)</f>
        <v>Price Missing</v>
      </c>
      <c r="J548" s="19">
        <f t="shared" si="8"/>
        <v>0</v>
      </c>
    </row>
    <row r="549" spans="1:10" x14ac:dyDescent="0.35">
      <c r="A549" s="4" t="s">
        <v>4569</v>
      </c>
      <c r="B549" s="7" t="s">
        <v>2141</v>
      </c>
      <c r="C549" s="7" t="s">
        <v>3878</v>
      </c>
      <c r="D549" s="5">
        <v>5</v>
      </c>
      <c r="E549" s="7" t="str">
        <f>_xlfn.XLOOKUP(B549,Customers!A549:A1548,Customers!B549:B1548,"Customer Not Found",0)</f>
        <v>Customer_711</v>
      </c>
      <c r="F549" s="7" t="str">
        <f>_xlfn.XLOOKUP(Orders!B549,Customers!A549:A1548,Customers!C549:C1548,"Country not Found",0)</f>
        <v>Kenya</v>
      </c>
      <c r="G549" s="7" t="str">
        <f>_xlfn.XLOOKUP(C549,Products!A549:A1048,Products!B549:B1048,"Product Missing",0)</f>
        <v>Product Missing</v>
      </c>
      <c r="H549" s="7" t="str">
        <f>_xlfn.XLOOKUP(C549,Products!A549:A1048,Products!C549:C1048,"Category Missing",0)</f>
        <v>Category Missing</v>
      </c>
      <c r="I549" s="11" t="str">
        <f>_xlfn.XLOOKUP(Orders!C549,Products!A549:A1048,Products!D549:D1048,"Price Missing",0)</f>
        <v>Price Missing</v>
      </c>
      <c r="J549" s="19">
        <f t="shared" si="8"/>
        <v>0</v>
      </c>
    </row>
    <row r="550" spans="1:10" x14ac:dyDescent="0.35">
      <c r="A550" s="4" t="s">
        <v>4570</v>
      </c>
      <c r="B550" s="7" t="s">
        <v>1028</v>
      </c>
      <c r="C550" s="7" t="s">
        <v>3800</v>
      </c>
      <c r="D550" s="5">
        <v>7</v>
      </c>
      <c r="E550" s="7" t="str">
        <f>_xlfn.XLOOKUP(B550,Customers!A550:A1549,Customers!B550:B1549,"Customer Not Found",0)</f>
        <v>Customer Not Found</v>
      </c>
      <c r="F550" s="7" t="str">
        <f>_xlfn.XLOOKUP(Orders!B550,Customers!A550:A1549,Customers!C550:C1549,"Country not Found",0)</f>
        <v>Country not Found</v>
      </c>
      <c r="G550" s="7" t="str">
        <f>_xlfn.XLOOKUP(C550,Products!A550:A1049,Products!B550:B1049,"Product Missing",0)</f>
        <v>Product Missing</v>
      </c>
      <c r="H550" s="7" t="str">
        <f>_xlfn.XLOOKUP(C550,Products!A550:A1049,Products!C550:C1049,"Category Missing",0)</f>
        <v>Category Missing</v>
      </c>
      <c r="I550" s="11" t="str">
        <f>_xlfn.XLOOKUP(Orders!C550,Products!A550:A1049,Products!D550:D1049,"Price Missing",0)</f>
        <v>Price Missing</v>
      </c>
      <c r="J550" s="19">
        <f t="shared" si="8"/>
        <v>0</v>
      </c>
    </row>
    <row r="551" spans="1:10" x14ac:dyDescent="0.35">
      <c r="A551" s="4" t="s">
        <v>4571</v>
      </c>
      <c r="B551" s="7" t="s">
        <v>296</v>
      </c>
      <c r="C551" s="7" t="s">
        <v>3694</v>
      </c>
      <c r="D551" s="5">
        <v>10</v>
      </c>
      <c r="E551" s="7" t="str">
        <f>_xlfn.XLOOKUP(B551,Customers!A551:A1550,Customers!B551:B1550,"Customer Not Found",0)</f>
        <v>Customer Not Found</v>
      </c>
      <c r="F551" s="7" t="str">
        <f>_xlfn.XLOOKUP(Orders!B551,Customers!A551:A1550,Customers!C551:C1550,"Country not Found",0)</f>
        <v>Country not Found</v>
      </c>
      <c r="G551" s="7" t="str">
        <f>_xlfn.XLOOKUP(C551,Products!A551:A1050,Products!B551:B1050,"Product Missing",0)</f>
        <v>Product Missing</v>
      </c>
      <c r="H551" s="7" t="str">
        <f>_xlfn.XLOOKUP(C551,Products!A551:A1050,Products!C551:C1050,"Category Missing",0)</f>
        <v>Category Missing</v>
      </c>
      <c r="I551" s="11" t="str">
        <f>_xlfn.XLOOKUP(Orders!C551,Products!A551:A1050,Products!D551:D1050,"Price Missing",0)</f>
        <v>Price Missing</v>
      </c>
      <c r="J551" s="19">
        <f t="shared" si="8"/>
        <v>0</v>
      </c>
    </row>
    <row r="552" spans="1:10" x14ac:dyDescent="0.35">
      <c r="A552" s="4" t="s">
        <v>4572</v>
      </c>
      <c r="B552" s="7" t="s">
        <v>410</v>
      </c>
      <c r="C552" s="7" t="s">
        <v>3108</v>
      </c>
      <c r="D552" s="5">
        <v>3</v>
      </c>
      <c r="E552" s="7" t="str">
        <f>_xlfn.XLOOKUP(B552,Customers!A552:A1551,Customers!B552:B1551,"Customer Not Found",0)</f>
        <v>Customer Not Found</v>
      </c>
      <c r="F552" s="7" t="str">
        <f>_xlfn.XLOOKUP(Orders!B552,Customers!A552:A1551,Customers!C552:C1551,"Country not Found",0)</f>
        <v>Country not Found</v>
      </c>
      <c r="G552" s="7" t="str">
        <f>_xlfn.XLOOKUP(C552,Products!A552:A1051,Products!B552:B1051,"Product Missing",0)</f>
        <v>Product Missing</v>
      </c>
      <c r="H552" s="7" t="str">
        <f>_xlfn.XLOOKUP(C552,Products!A552:A1051,Products!C552:C1051,"Category Missing",0)</f>
        <v>Category Missing</v>
      </c>
      <c r="I552" s="11" t="str">
        <f>_xlfn.XLOOKUP(Orders!C552,Products!A552:A1051,Products!D552:D1051,"Price Missing",0)</f>
        <v>Price Missing</v>
      </c>
      <c r="J552" s="19">
        <f t="shared" si="8"/>
        <v>0</v>
      </c>
    </row>
    <row r="553" spans="1:10" x14ac:dyDescent="0.35">
      <c r="A553" s="4" t="s">
        <v>4573</v>
      </c>
      <c r="B553" s="7" t="s">
        <v>968</v>
      </c>
      <c r="C553" s="7" t="s">
        <v>3242</v>
      </c>
      <c r="D553" s="5">
        <v>4</v>
      </c>
      <c r="E553" s="7" t="str">
        <f>_xlfn.XLOOKUP(B553,Customers!A553:A1552,Customers!B553:B1552,"Customer Not Found",0)</f>
        <v>Customer Not Found</v>
      </c>
      <c r="F553" s="7" t="str">
        <f>_xlfn.XLOOKUP(Orders!B553,Customers!A553:A1552,Customers!C553:C1552,"Country not Found",0)</f>
        <v>Country not Found</v>
      </c>
      <c r="G553" s="7" t="str">
        <f>_xlfn.XLOOKUP(C553,Products!A553:A1052,Products!B553:B1052,"Product Missing",0)</f>
        <v>Product Missing</v>
      </c>
      <c r="H553" s="7" t="str">
        <f>_xlfn.XLOOKUP(C553,Products!A553:A1052,Products!C553:C1052,"Category Missing",0)</f>
        <v>Category Missing</v>
      </c>
      <c r="I553" s="11" t="str">
        <f>_xlfn.XLOOKUP(Orders!C553,Products!A553:A1052,Products!D553:D1052,"Price Missing",0)</f>
        <v>Price Missing</v>
      </c>
      <c r="J553" s="19">
        <f t="shared" si="8"/>
        <v>0</v>
      </c>
    </row>
    <row r="554" spans="1:10" x14ac:dyDescent="0.35">
      <c r="A554" s="4" t="s">
        <v>4574</v>
      </c>
      <c r="B554" s="7" t="s">
        <v>2705</v>
      </c>
      <c r="C554" s="7" t="s">
        <v>3940</v>
      </c>
      <c r="D554" s="5">
        <v>10</v>
      </c>
      <c r="E554" s="7" t="str">
        <f>_xlfn.XLOOKUP(B554,Customers!A554:A1553,Customers!B554:B1553,"Customer Not Found",0)</f>
        <v>Customer_899</v>
      </c>
      <c r="F554" s="7" t="str">
        <f>_xlfn.XLOOKUP(Orders!B554,Customers!A554:A1553,Customers!C554:C1553,"Country not Found",0)</f>
        <v>UK</v>
      </c>
      <c r="G554" s="7" t="str">
        <f>_xlfn.XLOOKUP(C554,Products!A554:A1053,Products!B554:B1053,"Product Missing",0)</f>
        <v>Product Missing</v>
      </c>
      <c r="H554" s="7" t="str">
        <f>_xlfn.XLOOKUP(C554,Products!A554:A1053,Products!C554:C1053,"Category Missing",0)</f>
        <v>Category Missing</v>
      </c>
      <c r="I554" s="11" t="str">
        <f>_xlfn.XLOOKUP(Orders!C554,Products!A554:A1053,Products!D554:D1053,"Price Missing",0)</f>
        <v>Price Missing</v>
      </c>
      <c r="J554" s="19">
        <f t="shared" si="8"/>
        <v>0</v>
      </c>
    </row>
    <row r="555" spans="1:10" x14ac:dyDescent="0.35">
      <c r="A555" s="4" t="s">
        <v>4575</v>
      </c>
      <c r="B555" s="7" t="s">
        <v>503</v>
      </c>
      <c r="C555" s="7" t="s">
        <v>3344</v>
      </c>
      <c r="D555" s="5">
        <v>2</v>
      </c>
      <c r="E555" s="7" t="str">
        <f>_xlfn.XLOOKUP(B555,Customers!A555:A1554,Customers!B555:B1554,"Customer Not Found",0)</f>
        <v>Customer Not Found</v>
      </c>
      <c r="F555" s="7" t="str">
        <f>_xlfn.XLOOKUP(Orders!B555,Customers!A555:A1554,Customers!C555:C1554,"Country not Found",0)</f>
        <v>Country not Found</v>
      </c>
      <c r="G555" s="7" t="str">
        <f>_xlfn.XLOOKUP(C555,Products!A555:A1054,Products!B555:B1054,"Product Missing",0)</f>
        <v>Product Missing</v>
      </c>
      <c r="H555" s="7" t="str">
        <f>_xlfn.XLOOKUP(C555,Products!A555:A1054,Products!C555:C1054,"Category Missing",0)</f>
        <v>Category Missing</v>
      </c>
      <c r="I555" s="11" t="str">
        <f>_xlfn.XLOOKUP(Orders!C555,Products!A555:A1054,Products!D555:D1054,"Price Missing",0)</f>
        <v>Price Missing</v>
      </c>
      <c r="J555" s="19">
        <f t="shared" si="8"/>
        <v>0</v>
      </c>
    </row>
    <row r="556" spans="1:10" x14ac:dyDescent="0.35">
      <c r="A556" s="4" t="s">
        <v>4576</v>
      </c>
      <c r="B556" s="7" t="s">
        <v>1079</v>
      </c>
      <c r="C556" s="7" t="s">
        <v>3510</v>
      </c>
      <c r="D556" s="5">
        <v>5</v>
      </c>
      <c r="E556" s="7" t="str">
        <f>_xlfn.XLOOKUP(B556,Customers!A556:A1555,Customers!B556:B1555,"Customer Not Found",0)</f>
        <v>Customer Not Found</v>
      </c>
      <c r="F556" s="7" t="str">
        <f>_xlfn.XLOOKUP(Orders!B556,Customers!A556:A1555,Customers!C556:C1555,"Country not Found",0)</f>
        <v>Country not Found</v>
      </c>
      <c r="G556" s="7" t="str">
        <f>_xlfn.XLOOKUP(C556,Products!A556:A1055,Products!B556:B1055,"Product Missing",0)</f>
        <v>Product Missing</v>
      </c>
      <c r="H556" s="7" t="str">
        <f>_xlfn.XLOOKUP(C556,Products!A556:A1055,Products!C556:C1055,"Category Missing",0)</f>
        <v>Category Missing</v>
      </c>
      <c r="I556" s="11" t="str">
        <f>_xlfn.XLOOKUP(Orders!C556,Products!A556:A1055,Products!D556:D1055,"Price Missing",0)</f>
        <v>Price Missing</v>
      </c>
      <c r="J556" s="19">
        <f t="shared" si="8"/>
        <v>0</v>
      </c>
    </row>
    <row r="557" spans="1:10" x14ac:dyDescent="0.35">
      <c r="A557" s="4" t="s">
        <v>4577</v>
      </c>
      <c r="B557" s="7" t="s">
        <v>1862</v>
      </c>
      <c r="C557" s="7" t="s">
        <v>4014</v>
      </c>
      <c r="D557" s="5">
        <v>10</v>
      </c>
      <c r="E557" s="7" t="str">
        <f>_xlfn.XLOOKUP(B557,Customers!A557:A1556,Customers!B557:B1556,"Customer Not Found",0)</f>
        <v>Customer_618</v>
      </c>
      <c r="F557" s="7" t="str">
        <f>_xlfn.XLOOKUP(Orders!B557,Customers!A557:A1556,Customers!C557:C1556,"Country not Found",0)</f>
        <v>Nigeria</v>
      </c>
      <c r="G557" s="7" t="str">
        <f>_xlfn.XLOOKUP(C557,Products!A557:A1056,Products!B557:B1056,"Product Missing",0)</f>
        <v>Product Missing</v>
      </c>
      <c r="H557" s="7" t="str">
        <f>_xlfn.XLOOKUP(C557,Products!A557:A1056,Products!C557:C1056,"Category Missing",0)</f>
        <v>Category Missing</v>
      </c>
      <c r="I557" s="11" t="str">
        <f>_xlfn.XLOOKUP(Orders!C557,Products!A557:A1056,Products!D557:D1056,"Price Missing",0)</f>
        <v>Price Missing</v>
      </c>
      <c r="J557" s="19">
        <f t="shared" si="8"/>
        <v>0</v>
      </c>
    </row>
    <row r="558" spans="1:10" x14ac:dyDescent="0.35">
      <c r="A558" s="4" t="s">
        <v>4578</v>
      </c>
      <c r="B558" s="7" t="s">
        <v>2573</v>
      </c>
      <c r="C558" s="7" t="s">
        <v>3590</v>
      </c>
      <c r="D558" s="5">
        <v>2</v>
      </c>
      <c r="E558" s="7" t="str">
        <f>_xlfn.XLOOKUP(B558,Customers!A558:A1557,Customers!B558:B1557,"Customer Not Found",0)</f>
        <v>Customer_855</v>
      </c>
      <c r="F558" s="7" t="str">
        <f>_xlfn.XLOOKUP(Orders!B558,Customers!A558:A1557,Customers!C558:C1557,"Country not Found",0)</f>
        <v>Nigeria</v>
      </c>
      <c r="G558" s="7" t="str">
        <f>_xlfn.XLOOKUP(C558,Products!A558:A1057,Products!B558:B1057,"Product Missing",0)</f>
        <v>Product Missing</v>
      </c>
      <c r="H558" s="7" t="str">
        <f>_xlfn.XLOOKUP(C558,Products!A558:A1057,Products!C558:C1057,"Category Missing",0)</f>
        <v>Category Missing</v>
      </c>
      <c r="I558" s="11" t="str">
        <f>_xlfn.XLOOKUP(Orders!C558,Products!A558:A1057,Products!D558:D1057,"Price Missing",0)</f>
        <v>Price Missing</v>
      </c>
      <c r="J558" s="19">
        <f t="shared" si="8"/>
        <v>0</v>
      </c>
    </row>
    <row r="559" spans="1:10" x14ac:dyDescent="0.35">
      <c r="A559" s="4" t="s">
        <v>4579</v>
      </c>
      <c r="B559" s="7" t="s">
        <v>2636</v>
      </c>
      <c r="C559" s="7" t="s">
        <v>3680</v>
      </c>
      <c r="D559" s="5">
        <v>4</v>
      </c>
      <c r="E559" s="7" t="str">
        <f>_xlfn.XLOOKUP(B559,Customers!A559:A1558,Customers!B559:B1558,"Customer Not Found",0)</f>
        <v>Customer_876</v>
      </c>
      <c r="F559" s="7" t="str">
        <f>_xlfn.XLOOKUP(Orders!B559,Customers!A559:A1558,Customers!C559:C1558,"Country not Found",0)</f>
        <v>Canada</v>
      </c>
      <c r="G559" s="7" t="str">
        <f>_xlfn.XLOOKUP(C559,Products!A559:A1058,Products!B559:B1058,"Product Missing",0)</f>
        <v>Product Missing</v>
      </c>
      <c r="H559" s="7" t="str">
        <f>_xlfn.XLOOKUP(C559,Products!A559:A1058,Products!C559:C1058,"Category Missing",0)</f>
        <v>Category Missing</v>
      </c>
      <c r="I559" s="11" t="str">
        <f>_xlfn.XLOOKUP(Orders!C559,Products!A559:A1058,Products!D559:D1058,"Price Missing",0)</f>
        <v>Price Missing</v>
      </c>
      <c r="J559" s="19">
        <f t="shared" si="8"/>
        <v>0</v>
      </c>
    </row>
    <row r="560" spans="1:10" x14ac:dyDescent="0.35">
      <c r="A560" s="4" t="s">
        <v>4580</v>
      </c>
      <c r="B560" s="7" t="s">
        <v>2471</v>
      </c>
      <c r="C560" s="7" t="s">
        <v>3768</v>
      </c>
      <c r="D560" s="5">
        <v>2</v>
      </c>
      <c r="E560" s="7" t="str">
        <f>_xlfn.XLOOKUP(B560,Customers!A560:A1559,Customers!B560:B1559,"Customer Not Found",0)</f>
        <v>Customer_821</v>
      </c>
      <c r="F560" s="7" t="str">
        <f>_xlfn.XLOOKUP(Orders!B560,Customers!A560:A1559,Customers!C560:C1559,"Country not Found",0)</f>
        <v>Canada</v>
      </c>
      <c r="G560" s="7" t="str">
        <f>_xlfn.XLOOKUP(C560,Products!A560:A1059,Products!B560:B1059,"Product Missing",0)</f>
        <v>Product Missing</v>
      </c>
      <c r="H560" s="7" t="str">
        <f>_xlfn.XLOOKUP(C560,Products!A560:A1059,Products!C560:C1059,"Category Missing",0)</f>
        <v>Category Missing</v>
      </c>
      <c r="I560" s="11" t="str">
        <f>_xlfn.XLOOKUP(Orders!C560,Products!A560:A1059,Products!D560:D1059,"Price Missing",0)</f>
        <v>Price Missing</v>
      </c>
      <c r="J560" s="19">
        <f t="shared" si="8"/>
        <v>0</v>
      </c>
    </row>
    <row r="561" spans="1:10" x14ac:dyDescent="0.35">
      <c r="A561" s="4" t="s">
        <v>4581</v>
      </c>
      <c r="B561" s="7" t="s">
        <v>1136</v>
      </c>
      <c r="C561" s="7" t="s">
        <v>3296</v>
      </c>
      <c r="D561" s="5">
        <v>10</v>
      </c>
      <c r="E561" s="7" t="str">
        <f>_xlfn.XLOOKUP(B561,Customers!A561:A1560,Customers!B561:B1560,"Customer Not Found",0)</f>
        <v>Customer Not Found</v>
      </c>
      <c r="F561" s="7" t="str">
        <f>_xlfn.XLOOKUP(Orders!B561,Customers!A561:A1560,Customers!C561:C1560,"Country not Found",0)</f>
        <v>Country not Found</v>
      </c>
      <c r="G561" s="7" t="str">
        <f>_xlfn.XLOOKUP(C561,Products!A561:A1060,Products!B561:B1060,"Product Missing",0)</f>
        <v>Product Missing</v>
      </c>
      <c r="H561" s="7" t="str">
        <f>_xlfn.XLOOKUP(C561,Products!A561:A1060,Products!C561:C1060,"Category Missing",0)</f>
        <v>Category Missing</v>
      </c>
      <c r="I561" s="11" t="str">
        <f>_xlfn.XLOOKUP(Orders!C561,Products!A561:A1060,Products!D561:D1060,"Price Missing",0)</f>
        <v>Price Missing</v>
      </c>
      <c r="J561" s="19">
        <f t="shared" si="8"/>
        <v>0</v>
      </c>
    </row>
    <row r="562" spans="1:10" x14ac:dyDescent="0.35">
      <c r="A562" s="4" t="s">
        <v>4582</v>
      </c>
      <c r="B562" s="7" t="s">
        <v>971</v>
      </c>
      <c r="C562" s="7" t="s">
        <v>3920</v>
      </c>
      <c r="D562" s="5">
        <v>6</v>
      </c>
      <c r="E562" s="7" t="str">
        <f>_xlfn.XLOOKUP(B562,Customers!A562:A1561,Customers!B562:B1561,"Customer Not Found",0)</f>
        <v>Customer Not Found</v>
      </c>
      <c r="F562" s="7" t="str">
        <f>_xlfn.XLOOKUP(Orders!B562,Customers!A562:A1561,Customers!C562:C1561,"Country not Found",0)</f>
        <v>Country not Found</v>
      </c>
      <c r="G562" s="7" t="str">
        <f>_xlfn.XLOOKUP(C562,Products!A562:A1061,Products!B562:B1061,"Product Missing",0)</f>
        <v>Product Missing</v>
      </c>
      <c r="H562" s="7" t="str">
        <f>_xlfn.XLOOKUP(C562,Products!A562:A1061,Products!C562:C1061,"Category Missing",0)</f>
        <v>Category Missing</v>
      </c>
      <c r="I562" s="11" t="str">
        <f>_xlfn.XLOOKUP(Orders!C562,Products!A562:A1061,Products!D562:D1061,"Price Missing",0)</f>
        <v>Price Missing</v>
      </c>
      <c r="J562" s="19">
        <f t="shared" si="8"/>
        <v>0</v>
      </c>
    </row>
    <row r="563" spans="1:10" x14ac:dyDescent="0.35">
      <c r="A563" s="4" t="s">
        <v>4583</v>
      </c>
      <c r="B563" s="7" t="s">
        <v>1760</v>
      </c>
      <c r="C563" s="7" t="s">
        <v>3138</v>
      </c>
      <c r="D563" s="5">
        <v>2</v>
      </c>
      <c r="E563" s="7" t="str">
        <f>_xlfn.XLOOKUP(B563,Customers!A563:A1562,Customers!B563:B1562,"Customer Not Found",0)</f>
        <v>Customer_584</v>
      </c>
      <c r="F563" s="7" t="str">
        <f>_xlfn.XLOOKUP(Orders!B563,Customers!A563:A1562,Customers!C563:C1562,"Country not Found",0)</f>
        <v>UK</v>
      </c>
      <c r="G563" s="7" t="str">
        <f>_xlfn.XLOOKUP(C563,Products!A563:A1062,Products!B563:B1062,"Product Missing",0)</f>
        <v>Product Missing</v>
      </c>
      <c r="H563" s="7" t="str">
        <f>_xlfn.XLOOKUP(C563,Products!A563:A1062,Products!C563:C1062,"Category Missing",0)</f>
        <v>Category Missing</v>
      </c>
      <c r="I563" s="11" t="str">
        <f>_xlfn.XLOOKUP(Orders!C563,Products!A563:A1062,Products!D563:D1062,"Price Missing",0)</f>
        <v>Price Missing</v>
      </c>
      <c r="J563" s="19">
        <f t="shared" si="8"/>
        <v>0</v>
      </c>
    </row>
    <row r="564" spans="1:10" x14ac:dyDescent="0.35">
      <c r="A564" s="4" t="s">
        <v>4584</v>
      </c>
      <c r="B564" s="7" t="s">
        <v>2180</v>
      </c>
      <c r="C564" s="7" t="s">
        <v>3030</v>
      </c>
      <c r="D564" s="5">
        <v>8</v>
      </c>
      <c r="E564" s="7" t="str">
        <f>_xlfn.XLOOKUP(B564,Customers!A564:A1563,Customers!B564:B1563,"Customer Not Found",0)</f>
        <v>Customer_724</v>
      </c>
      <c r="F564" s="7" t="str">
        <f>_xlfn.XLOOKUP(Orders!B564,Customers!A564:A1563,Customers!C564:C1563,"Country not Found",0)</f>
        <v>Ghana</v>
      </c>
      <c r="G564" s="7" t="str">
        <f>_xlfn.XLOOKUP(C564,Products!A564:A1063,Products!B564:B1063,"Product Missing",0)</f>
        <v>Product Missing</v>
      </c>
      <c r="H564" s="7" t="str">
        <f>_xlfn.XLOOKUP(C564,Products!A564:A1063,Products!C564:C1063,"Category Missing",0)</f>
        <v>Category Missing</v>
      </c>
      <c r="I564" s="11" t="str">
        <f>_xlfn.XLOOKUP(Orders!C564,Products!A564:A1063,Products!D564:D1063,"Price Missing",0)</f>
        <v>Price Missing</v>
      </c>
      <c r="J564" s="19">
        <f t="shared" si="8"/>
        <v>0</v>
      </c>
    </row>
    <row r="565" spans="1:10" x14ac:dyDescent="0.35">
      <c r="A565" s="4" t="s">
        <v>4585</v>
      </c>
      <c r="B565" s="7" t="s">
        <v>2618</v>
      </c>
      <c r="C565" s="7" t="s">
        <v>3366</v>
      </c>
      <c r="D565" s="5">
        <v>10</v>
      </c>
      <c r="E565" s="7" t="str">
        <f>_xlfn.XLOOKUP(B565,Customers!A565:A1564,Customers!B565:B1564,"Customer Not Found",0)</f>
        <v>Customer_870</v>
      </c>
      <c r="F565" s="7" t="str">
        <f>_xlfn.XLOOKUP(Orders!B565,Customers!A565:A1564,Customers!C565:C1564,"Country not Found",0)</f>
        <v>Canada</v>
      </c>
      <c r="G565" s="7" t="str">
        <f>_xlfn.XLOOKUP(C565,Products!A565:A1064,Products!B565:B1064,"Product Missing",0)</f>
        <v>Product Missing</v>
      </c>
      <c r="H565" s="7" t="str">
        <f>_xlfn.XLOOKUP(C565,Products!A565:A1064,Products!C565:C1064,"Category Missing",0)</f>
        <v>Category Missing</v>
      </c>
      <c r="I565" s="11" t="str">
        <f>_xlfn.XLOOKUP(Orders!C565,Products!A565:A1064,Products!D565:D1064,"Price Missing",0)</f>
        <v>Price Missing</v>
      </c>
      <c r="J565" s="19">
        <f t="shared" si="8"/>
        <v>0</v>
      </c>
    </row>
    <row r="566" spans="1:10" x14ac:dyDescent="0.35">
      <c r="A566" s="4" t="s">
        <v>4586</v>
      </c>
      <c r="B566" s="7" t="s">
        <v>2288</v>
      </c>
      <c r="C566" s="7" t="s">
        <v>3782</v>
      </c>
      <c r="D566" s="5">
        <v>3</v>
      </c>
      <c r="E566" s="7" t="str">
        <f>_xlfn.XLOOKUP(B566,Customers!A566:A1565,Customers!B566:B1565,"Customer Not Found",0)</f>
        <v>Customer_760</v>
      </c>
      <c r="F566" s="7" t="str">
        <f>_xlfn.XLOOKUP(Orders!B566,Customers!A566:A1565,Customers!C566:C1565,"Country not Found",0)</f>
        <v>Ghana</v>
      </c>
      <c r="G566" s="7" t="str">
        <f>_xlfn.XLOOKUP(C566,Products!A566:A1065,Products!B566:B1065,"Product Missing",0)</f>
        <v>Product Missing</v>
      </c>
      <c r="H566" s="7" t="str">
        <f>_xlfn.XLOOKUP(C566,Products!A566:A1065,Products!C566:C1065,"Category Missing",0)</f>
        <v>Category Missing</v>
      </c>
      <c r="I566" s="11" t="str">
        <f>_xlfn.XLOOKUP(Orders!C566,Products!A566:A1065,Products!D566:D1065,"Price Missing",0)</f>
        <v>Price Missing</v>
      </c>
      <c r="J566" s="19">
        <f t="shared" si="8"/>
        <v>0</v>
      </c>
    </row>
    <row r="567" spans="1:10" x14ac:dyDescent="0.35">
      <c r="A567" s="4" t="s">
        <v>4587</v>
      </c>
      <c r="B567" s="7" t="s">
        <v>128</v>
      </c>
      <c r="C567" s="7" t="s">
        <v>3108</v>
      </c>
      <c r="D567" s="5">
        <v>5</v>
      </c>
      <c r="E567" s="7" t="str">
        <f>_xlfn.XLOOKUP(B567,Customers!A567:A1566,Customers!B567:B1566,"Customer Not Found",0)</f>
        <v>Customer Not Found</v>
      </c>
      <c r="F567" s="7" t="str">
        <f>_xlfn.XLOOKUP(Orders!B567,Customers!A567:A1566,Customers!C567:C1566,"Country not Found",0)</f>
        <v>Country not Found</v>
      </c>
      <c r="G567" s="7" t="str">
        <f>_xlfn.XLOOKUP(C567,Products!A567:A1066,Products!B567:B1066,"Product Missing",0)</f>
        <v>Product Missing</v>
      </c>
      <c r="H567" s="7" t="str">
        <f>_xlfn.XLOOKUP(C567,Products!A567:A1066,Products!C567:C1066,"Category Missing",0)</f>
        <v>Category Missing</v>
      </c>
      <c r="I567" s="11" t="str">
        <f>_xlfn.XLOOKUP(Orders!C567,Products!A567:A1066,Products!D567:D1066,"Price Missing",0)</f>
        <v>Price Missing</v>
      </c>
      <c r="J567" s="19">
        <f t="shared" si="8"/>
        <v>0</v>
      </c>
    </row>
    <row r="568" spans="1:10" x14ac:dyDescent="0.35">
      <c r="A568" s="4" t="s">
        <v>4588</v>
      </c>
      <c r="B568" s="7" t="s">
        <v>386</v>
      </c>
      <c r="C568" s="7" t="s">
        <v>3446</v>
      </c>
      <c r="D568" s="5">
        <v>1</v>
      </c>
      <c r="E568" s="7" t="str">
        <f>_xlfn.XLOOKUP(B568,Customers!A568:A1567,Customers!B568:B1567,"Customer Not Found",0)</f>
        <v>Customer Not Found</v>
      </c>
      <c r="F568" s="7" t="str">
        <f>_xlfn.XLOOKUP(Orders!B568,Customers!A568:A1567,Customers!C568:C1567,"Country not Found",0)</f>
        <v>Country not Found</v>
      </c>
      <c r="G568" s="7" t="str">
        <f>_xlfn.XLOOKUP(C568,Products!A568:A1067,Products!B568:B1067,"Product Missing",0)</f>
        <v>Product Missing</v>
      </c>
      <c r="H568" s="7" t="str">
        <f>_xlfn.XLOOKUP(C568,Products!A568:A1067,Products!C568:C1067,"Category Missing",0)</f>
        <v>Category Missing</v>
      </c>
      <c r="I568" s="11" t="str">
        <f>_xlfn.XLOOKUP(Orders!C568,Products!A568:A1067,Products!D568:D1067,"Price Missing",0)</f>
        <v>Price Missing</v>
      </c>
      <c r="J568" s="19">
        <f t="shared" si="8"/>
        <v>0</v>
      </c>
    </row>
    <row r="569" spans="1:10" x14ac:dyDescent="0.35">
      <c r="A569" s="4" t="s">
        <v>4589</v>
      </c>
      <c r="B569" s="7" t="s">
        <v>2135</v>
      </c>
      <c r="C569" s="7" t="s">
        <v>4012</v>
      </c>
      <c r="D569" s="5">
        <v>4</v>
      </c>
      <c r="E569" s="7" t="str">
        <f>_xlfn.XLOOKUP(B569,Customers!A569:A1568,Customers!B569:B1568,"Customer Not Found",0)</f>
        <v>Customer_709</v>
      </c>
      <c r="F569" s="7" t="str">
        <f>_xlfn.XLOOKUP(Orders!B569,Customers!A569:A1568,Customers!C569:C1568,"Country not Found",0)</f>
        <v>Kenya</v>
      </c>
      <c r="G569" s="7" t="str">
        <f>_xlfn.XLOOKUP(C569,Products!A569:A1068,Products!B569:B1068,"Product Missing",0)</f>
        <v>Product Missing</v>
      </c>
      <c r="H569" s="7" t="str">
        <f>_xlfn.XLOOKUP(C569,Products!A569:A1068,Products!C569:C1068,"Category Missing",0)</f>
        <v>Category Missing</v>
      </c>
      <c r="I569" s="11" t="str">
        <f>_xlfn.XLOOKUP(Orders!C569,Products!A569:A1068,Products!D569:D1068,"Price Missing",0)</f>
        <v>Price Missing</v>
      </c>
      <c r="J569" s="19">
        <f t="shared" si="8"/>
        <v>0</v>
      </c>
    </row>
    <row r="570" spans="1:10" x14ac:dyDescent="0.35">
      <c r="A570" s="4" t="s">
        <v>4590</v>
      </c>
      <c r="B570" s="7" t="s">
        <v>188</v>
      </c>
      <c r="C570" s="7" t="s">
        <v>3874</v>
      </c>
      <c r="D570" s="5">
        <v>10</v>
      </c>
      <c r="E570" s="7" t="str">
        <f>_xlfn.XLOOKUP(B570,Customers!A570:A1569,Customers!B570:B1569,"Customer Not Found",0)</f>
        <v>Customer Not Found</v>
      </c>
      <c r="F570" s="7" t="str">
        <f>_xlfn.XLOOKUP(Orders!B570,Customers!A570:A1569,Customers!C570:C1569,"Country not Found",0)</f>
        <v>Country not Found</v>
      </c>
      <c r="G570" s="7" t="str">
        <f>_xlfn.XLOOKUP(C570,Products!A570:A1069,Products!B570:B1069,"Product Missing",0)</f>
        <v>Product Missing</v>
      </c>
      <c r="H570" s="7" t="str">
        <f>_xlfn.XLOOKUP(C570,Products!A570:A1069,Products!C570:C1069,"Category Missing",0)</f>
        <v>Category Missing</v>
      </c>
      <c r="I570" s="11" t="str">
        <f>_xlfn.XLOOKUP(Orders!C570,Products!A570:A1069,Products!D570:D1069,"Price Missing",0)</f>
        <v>Price Missing</v>
      </c>
      <c r="J570" s="19">
        <f t="shared" si="8"/>
        <v>0</v>
      </c>
    </row>
    <row r="571" spans="1:10" x14ac:dyDescent="0.35">
      <c r="A571" s="4" t="s">
        <v>4591</v>
      </c>
      <c r="B571" s="7" t="s">
        <v>1601</v>
      </c>
      <c r="C571" s="7" t="s">
        <v>3106</v>
      </c>
      <c r="D571" s="5">
        <v>9</v>
      </c>
      <c r="E571" s="7" t="str">
        <f>_xlfn.XLOOKUP(B571,Customers!A571:A1570,Customers!B571:B1570,"Customer Not Found",0)</f>
        <v>Customer Not Found</v>
      </c>
      <c r="F571" s="7" t="str">
        <f>_xlfn.XLOOKUP(Orders!B571,Customers!A571:A1570,Customers!C571:C1570,"Country not Found",0)</f>
        <v>Country not Found</v>
      </c>
      <c r="G571" s="7" t="str">
        <f>_xlfn.XLOOKUP(C571,Products!A571:A1070,Products!B571:B1070,"Product Missing",0)</f>
        <v>Product Missing</v>
      </c>
      <c r="H571" s="7" t="str">
        <f>_xlfn.XLOOKUP(C571,Products!A571:A1070,Products!C571:C1070,"Category Missing",0)</f>
        <v>Category Missing</v>
      </c>
      <c r="I571" s="11" t="str">
        <f>_xlfn.XLOOKUP(Orders!C571,Products!A571:A1070,Products!D571:D1070,"Price Missing",0)</f>
        <v>Price Missing</v>
      </c>
      <c r="J571" s="19">
        <f t="shared" si="8"/>
        <v>0</v>
      </c>
    </row>
    <row r="572" spans="1:10" x14ac:dyDescent="0.35">
      <c r="A572" s="4" t="s">
        <v>4592</v>
      </c>
      <c r="B572" s="7" t="s">
        <v>1532</v>
      </c>
      <c r="C572" s="7" t="s">
        <v>3854</v>
      </c>
      <c r="D572" s="5">
        <v>5</v>
      </c>
      <c r="E572" s="7" t="str">
        <f>_xlfn.XLOOKUP(B572,Customers!A572:A1571,Customers!B572:B1571,"Customer Not Found",0)</f>
        <v>Customer Not Found</v>
      </c>
      <c r="F572" s="7" t="str">
        <f>_xlfn.XLOOKUP(Orders!B572,Customers!A572:A1571,Customers!C572:C1571,"Country not Found",0)</f>
        <v>Country not Found</v>
      </c>
      <c r="G572" s="7" t="str">
        <f>_xlfn.XLOOKUP(C572,Products!A572:A1071,Products!B572:B1071,"Product Missing",0)</f>
        <v>Product Missing</v>
      </c>
      <c r="H572" s="7" t="str">
        <f>_xlfn.XLOOKUP(C572,Products!A572:A1071,Products!C572:C1071,"Category Missing",0)</f>
        <v>Category Missing</v>
      </c>
      <c r="I572" s="11" t="str">
        <f>_xlfn.XLOOKUP(Orders!C572,Products!A572:A1071,Products!D572:D1071,"Price Missing",0)</f>
        <v>Price Missing</v>
      </c>
      <c r="J572" s="19">
        <f t="shared" si="8"/>
        <v>0</v>
      </c>
    </row>
    <row r="573" spans="1:10" x14ac:dyDescent="0.35">
      <c r="A573" s="4" t="s">
        <v>4593</v>
      </c>
      <c r="B573" s="7" t="s">
        <v>1598</v>
      </c>
      <c r="C573" s="7" t="s">
        <v>3696</v>
      </c>
      <c r="D573" s="5">
        <v>5</v>
      </c>
      <c r="E573" s="7" t="str">
        <f>_xlfn.XLOOKUP(B573,Customers!A573:A1572,Customers!B573:B1572,"Customer Not Found",0)</f>
        <v>Customer Not Found</v>
      </c>
      <c r="F573" s="7" t="str">
        <f>_xlfn.XLOOKUP(Orders!B573,Customers!A573:A1572,Customers!C573:C1572,"Country not Found",0)</f>
        <v>Country not Found</v>
      </c>
      <c r="G573" s="7" t="str">
        <f>_xlfn.XLOOKUP(C573,Products!A573:A1072,Products!B573:B1072,"Product Missing",0)</f>
        <v>Product Missing</v>
      </c>
      <c r="H573" s="7" t="str">
        <f>_xlfn.XLOOKUP(C573,Products!A573:A1072,Products!C573:C1072,"Category Missing",0)</f>
        <v>Category Missing</v>
      </c>
      <c r="I573" s="11" t="str">
        <f>_xlfn.XLOOKUP(Orders!C573,Products!A573:A1072,Products!D573:D1072,"Price Missing",0)</f>
        <v>Price Missing</v>
      </c>
      <c r="J573" s="19">
        <f t="shared" si="8"/>
        <v>0</v>
      </c>
    </row>
    <row r="574" spans="1:10" x14ac:dyDescent="0.35">
      <c r="A574" s="4" t="s">
        <v>4594</v>
      </c>
      <c r="B574" s="7" t="s">
        <v>326</v>
      </c>
      <c r="C574" s="7" t="s">
        <v>3908</v>
      </c>
      <c r="D574" s="5">
        <v>7</v>
      </c>
      <c r="E574" s="7" t="str">
        <f>_xlfn.XLOOKUP(B574,Customers!A574:A1573,Customers!B574:B1573,"Customer Not Found",0)</f>
        <v>Customer Not Found</v>
      </c>
      <c r="F574" s="7" t="str">
        <f>_xlfn.XLOOKUP(Orders!B574,Customers!A574:A1573,Customers!C574:C1573,"Country not Found",0)</f>
        <v>Country not Found</v>
      </c>
      <c r="G574" s="7" t="str">
        <f>_xlfn.XLOOKUP(C574,Products!A574:A1073,Products!B574:B1073,"Product Missing",0)</f>
        <v>Product Missing</v>
      </c>
      <c r="H574" s="7" t="str">
        <f>_xlfn.XLOOKUP(C574,Products!A574:A1073,Products!C574:C1073,"Category Missing",0)</f>
        <v>Category Missing</v>
      </c>
      <c r="I574" s="11" t="str">
        <f>_xlfn.XLOOKUP(Orders!C574,Products!A574:A1073,Products!D574:D1073,"Price Missing",0)</f>
        <v>Price Missing</v>
      </c>
      <c r="J574" s="19">
        <f t="shared" si="8"/>
        <v>0</v>
      </c>
    </row>
    <row r="575" spans="1:10" x14ac:dyDescent="0.35">
      <c r="A575" s="4" t="s">
        <v>4595</v>
      </c>
      <c r="B575" s="7" t="s">
        <v>1460</v>
      </c>
      <c r="C575" s="7" t="s">
        <v>3604</v>
      </c>
      <c r="D575" s="5">
        <v>3</v>
      </c>
      <c r="E575" s="7" t="str">
        <f>_xlfn.XLOOKUP(B575,Customers!A575:A1574,Customers!B575:B1574,"Customer Not Found",0)</f>
        <v>Customer Not Found</v>
      </c>
      <c r="F575" s="7" t="str">
        <f>_xlfn.XLOOKUP(Orders!B575,Customers!A575:A1574,Customers!C575:C1574,"Country not Found",0)</f>
        <v>Country not Found</v>
      </c>
      <c r="G575" s="7" t="str">
        <f>_xlfn.XLOOKUP(C575,Products!A575:A1074,Products!B575:B1074,"Product Missing",0)</f>
        <v>Product Missing</v>
      </c>
      <c r="H575" s="7" t="str">
        <f>_xlfn.XLOOKUP(C575,Products!A575:A1074,Products!C575:C1074,"Category Missing",0)</f>
        <v>Category Missing</v>
      </c>
      <c r="I575" s="11" t="str">
        <f>_xlfn.XLOOKUP(Orders!C575,Products!A575:A1074,Products!D575:D1074,"Price Missing",0)</f>
        <v>Price Missing</v>
      </c>
      <c r="J575" s="19">
        <f t="shared" si="8"/>
        <v>0</v>
      </c>
    </row>
    <row r="576" spans="1:10" x14ac:dyDescent="0.35">
      <c r="A576" s="4" t="s">
        <v>4596</v>
      </c>
      <c r="B576" s="7" t="s">
        <v>1367</v>
      </c>
      <c r="C576" s="7" t="s">
        <v>3718</v>
      </c>
      <c r="D576" s="5">
        <v>6</v>
      </c>
      <c r="E576" s="7" t="str">
        <f>_xlfn.XLOOKUP(B576,Customers!A576:A1575,Customers!B576:B1575,"Customer Not Found",0)</f>
        <v>Customer Not Found</v>
      </c>
      <c r="F576" s="7" t="str">
        <f>_xlfn.XLOOKUP(Orders!B576,Customers!A576:A1575,Customers!C576:C1575,"Country not Found",0)</f>
        <v>Country not Found</v>
      </c>
      <c r="G576" s="7" t="str">
        <f>_xlfn.XLOOKUP(C576,Products!A576:A1075,Products!B576:B1075,"Product Missing",0)</f>
        <v>Product Missing</v>
      </c>
      <c r="H576" s="7" t="str">
        <f>_xlfn.XLOOKUP(C576,Products!A576:A1075,Products!C576:C1075,"Category Missing",0)</f>
        <v>Category Missing</v>
      </c>
      <c r="I576" s="11" t="str">
        <f>_xlfn.XLOOKUP(Orders!C576,Products!A576:A1075,Products!D576:D1075,"Price Missing",0)</f>
        <v>Price Missing</v>
      </c>
      <c r="J576" s="19">
        <f t="shared" si="8"/>
        <v>0</v>
      </c>
    </row>
    <row r="577" spans="1:10" x14ac:dyDescent="0.35">
      <c r="A577" s="4" t="s">
        <v>4597</v>
      </c>
      <c r="B577" s="7" t="s">
        <v>1583</v>
      </c>
      <c r="C577" s="7" t="s">
        <v>3678</v>
      </c>
      <c r="D577" s="5">
        <v>4</v>
      </c>
      <c r="E577" s="7" t="str">
        <f>_xlfn.XLOOKUP(B577,Customers!A577:A1576,Customers!B577:B1576,"Customer Not Found",0)</f>
        <v>Customer Not Found</v>
      </c>
      <c r="F577" s="7" t="str">
        <f>_xlfn.XLOOKUP(Orders!B577,Customers!A577:A1576,Customers!C577:C1576,"Country not Found",0)</f>
        <v>Country not Found</v>
      </c>
      <c r="G577" s="7" t="str">
        <f>_xlfn.XLOOKUP(C577,Products!A577:A1076,Products!B577:B1076,"Product Missing",0)</f>
        <v>Product Missing</v>
      </c>
      <c r="H577" s="7" t="str">
        <f>_xlfn.XLOOKUP(C577,Products!A577:A1076,Products!C577:C1076,"Category Missing",0)</f>
        <v>Category Missing</v>
      </c>
      <c r="I577" s="11" t="str">
        <f>_xlfn.XLOOKUP(Orders!C577,Products!A577:A1076,Products!D577:D1076,"Price Missing",0)</f>
        <v>Price Missing</v>
      </c>
      <c r="J577" s="19">
        <f t="shared" si="8"/>
        <v>0</v>
      </c>
    </row>
    <row r="578" spans="1:10" x14ac:dyDescent="0.35">
      <c r="A578" s="4" t="s">
        <v>4598</v>
      </c>
      <c r="B578" s="7" t="s">
        <v>2261</v>
      </c>
      <c r="C578" s="7" t="s">
        <v>3284</v>
      </c>
      <c r="D578" s="5">
        <v>9</v>
      </c>
      <c r="E578" s="7" t="str">
        <f>_xlfn.XLOOKUP(B578,Customers!A578:A1577,Customers!B578:B1577,"Customer Not Found",0)</f>
        <v>Customer_751</v>
      </c>
      <c r="F578" s="7" t="str">
        <f>_xlfn.XLOOKUP(Orders!B578,Customers!A578:A1577,Customers!C578:C1577,"Country not Found",0)</f>
        <v>Nigeria</v>
      </c>
      <c r="G578" s="7" t="str">
        <f>_xlfn.XLOOKUP(C578,Products!A578:A1077,Products!B578:B1077,"Product Missing",0)</f>
        <v>Product Missing</v>
      </c>
      <c r="H578" s="7" t="str">
        <f>_xlfn.XLOOKUP(C578,Products!A578:A1077,Products!C578:C1077,"Category Missing",0)</f>
        <v>Category Missing</v>
      </c>
      <c r="I578" s="11" t="str">
        <f>_xlfn.XLOOKUP(Orders!C578,Products!A578:A1077,Products!D578:D1077,"Price Missing",0)</f>
        <v>Price Missing</v>
      </c>
      <c r="J578" s="19">
        <f t="shared" si="8"/>
        <v>0</v>
      </c>
    </row>
    <row r="579" spans="1:10" x14ac:dyDescent="0.35">
      <c r="A579" s="4" t="s">
        <v>4599</v>
      </c>
      <c r="B579" s="7" t="s">
        <v>2858</v>
      </c>
      <c r="C579" s="7" t="s">
        <v>3500</v>
      </c>
      <c r="D579" s="5">
        <v>4</v>
      </c>
      <c r="E579" s="7" t="str">
        <f>_xlfn.XLOOKUP(B579,Customers!A579:A1578,Customers!B579:B1578,"Customer Not Found",0)</f>
        <v>Customer_950</v>
      </c>
      <c r="F579" s="7" t="str">
        <f>_xlfn.XLOOKUP(Orders!B579,Customers!A579:A1578,Customers!C579:C1578,"Country not Found",0)</f>
        <v>Ghana</v>
      </c>
      <c r="G579" s="7" t="str">
        <f>_xlfn.XLOOKUP(C579,Products!A579:A1078,Products!B579:B1078,"Product Missing",0)</f>
        <v>Product Missing</v>
      </c>
      <c r="H579" s="7" t="str">
        <f>_xlfn.XLOOKUP(C579,Products!A579:A1078,Products!C579:C1078,"Category Missing",0)</f>
        <v>Category Missing</v>
      </c>
      <c r="I579" s="11" t="str">
        <f>_xlfn.XLOOKUP(Orders!C579,Products!A579:A1078,Products!D579:D1078,"Price Missing",0)</f>
        <v>Price Missing</v>
      </c>
      <c r="J579" s="19">
        <f t="shared" ref="J579:J642" si="9">IFERROR(I579*D579,0)</f>
        <v>0</v>
      </c>
    </row>
    <row r="580" spans="1:10" x14ac:dyDescent="0.35">
      <c r="A580" s="4" t="s">
        <v>4600</v>
      </c>
      <c r="B580" s="7" t="s">
        <v>2681</v>
      </c>
      <c r="C580" s="7" t="s">
        <v>3670</v>
      </c>
      <c r="D580" s="5">
        <v>5</v>
      </c>
      <c r="E580" s="7" t="str">
        <f>_xlfn.XLOOKUP(B580,Customers!A580:A1579,Customers!B580:B1579,"Customer Not Found",0)</f>
        <v>Customer_891</v>
      </c>
      <c r="F580" s="7" t="str">
        <f>_xlfn.XLOOKUP(Orders!B580,Customers!A580:A1579,Customers!C580:C1579,"Country not Found",0)</f>
        <v>Nigeria</v>
      </c>
      <c r="G580" s="7" t="str">
        <f>_xlfn.XLOOKUP(C580,Products!A580:A1079,Products!B580:B1079,"Product Missing",0)</f>
        <v>Product Missing</v>
      </c>
      <c r="H580" s="7" t="str">
        <f>_xlfn.XLOOKUP(C580,Products!A580:A1079,Products!C580:C1079,"Category Missing",0)</f>
        <v>Category Missing</v>
      </c>
      <c r="I580" s="11" t="str">
        <f>_xlfn.XLOOKUP(Orders!C580,Products!A580:A1079,Products!D580:D1079,"Price Missing",0)</f>
        <v>Price Missing</v>
      </c>
      <c r="J580" s="19">
        <f t="shared" si="9"/>
        <v>0</v>
      </c>
    </row>
    <row r="581" spans="1:10" x14ac:dyDescent="0.35">
      <c r="A581" s="4" t="s">
        <v>4601</v>
      </c>
      <c r="B581" s="7" t="s">
        <v>587</v>
      </c>
      <c r="C581" s="7" t="s">
        <v>3262</v>
      </c>
      <c r="D581" s="5">
        <v>3</v>
      </c>
      <c r="E581" s="7" t="str">
        <f>_xlfn.XLOOKUP(B581,Customers!A581:A1580,Customers!B581:B1580,"Customer Not Found",0)</f>
        <v>Customer Not Found</v>
      </c>
      <c r="F581" s="7" t="str">
        <f>_xlfn.XLOOKUP(Orders!B581,Customers!A581:A1580,Customers!C581:C1580,"Country not Found",0)</f>
        <v>Country not Found</v>
      </c>
      <c r="G581" s="7" t="str">
        <f>_xlfn.XLOOKUP(C581,Products!A581:A1080,Products!B581:B1080,"Product Missing",0)</f>
        <v>Product Missing</v>
      </c>
      <c r="H581" s="7" t="str">
        <f>_xlfn.XLOOKUP(C581,Products!A581:A1080,Products!C581:C1080,"Category Missing",0)</f>
        <v>Category Missing</v>
      </c>
      <c r="I581" s="11" t="str">
        <f>_xlfn.XLOOKUP(Orders!C581,Products!A581:A1080,Products!D581:D1080,"Price Missing",0)</f>
        <v>Price Missing</v>
      </c>
      <c r="J581" s="19">
        <f t="shared" si="9"/>
        <v>0</v>
      </c>
    </row>
    <row r="582" spans="1:10" x14ac:dyDescent="0.35">
      <c r="A582" s="4" t="s">
        <v>4602</v>
      </c>
      <c r="B582" s="7" t="s">
        <v>107</v>
      </c>
      <c r="C582" s="7" t="s">
        <v>3266</v>
      </c>
      <c r="D582" s="5">
        <v>3</v>
      </c>
      <c r="E582" s="7" t="str">
        <f>_xlfn.XLOOKUP(B582,Customers!A582:A1581,Customers!B582:B1581,"Customer Not Found",0)</f>
        <v>Customer Not Found</v>
      </c>
      <c r="F582" s="7" t="str">
        <f>_xlfn.XLOOKUP(Orders!B582,Customers!A582:A1581,Customers!C582:C1581,"Country not Found",0)</f>
        <v>Country not Found</v>
      </c>
      <c r="G582" s="7" t="str">
        <f>_xlfn.XLOOKUP(C582,Products!A582:A1081,Products!B582:B1081,"Product Missing",0)</f>
        <v>Product Missing</v>
      </c>
      <c r="H582" s="7" t="str">
        <f>_xlfn.XLOOKUP(C582,Products!A582:A1081,Products!C582:C1081,"Category Missing",0)</f>
        <v>Category Missing</v>
      </c>
      <c r="I582" s="11" t="str">
        <f>_xlfn.XLOOKUP(Orders!C582,Products!A582:A1081,Products!D582:D1081,"Price Missing",0)</f>
        <v>Price Missing</v>
      </c>
      <c r="J582" s="19">
        <f t="shared" si="9"/>
        <v>0</v>
      </c>
    </row>
    <row r="583" spans="1:10" x14ac:dyDescent="0.35">
      <c r="A583" s="4" t="s">
        <v>4603</v>
      </c>
      <c r="B583" s="7" t="s">
        <v>2597</v>
      </c>
      <c r="C583" s="7" t="s">
        <v>3798</v>
      </c>
      <c r="D583" s="5">
        <v>7</v>
      </c>
      <c r="E583" s="7" t="str">
        <f>_xlfn.XLOOKUP(B583,Customers!A583:A1582,Customers!B583:B1582,"Customer Not Found",0)</f>
        <v>Customer_863</v>
      </c>
      <c r="F583" s="7" t="str">
        <f>_xlfn.XLOOKUP(Orders!B583,Customers!A583:A1582,Customers!C583:C1582,"Country not Found",0)</f>
        <v>Kenya</v>
      </c>
      <c r="G583" s="7" t="str">
        <f>_xlfn.XLOOKUP(C583,Products!A583:A1082,Products!B583:B1082,"Product Missing",0)</f>
        <v>Product Missing</v>
      </c>
      <c r="H583" s="7" t="str">
        <f>_xlfn.XLOOKUP(C583,Products!A583:A1082,Products!C583:C1082,"Category Missing",0)</f>
        <v>Category Missing</v>
      </c>
      <c r="I583" s="11" t="str">
        <f>_xlfn.XLOOKUP(Orders!C583,Products!A583:A1082,Products!D583:D1082,"Price Missing",0)</f>
        <v>Price Missing</v>
      </c>
      <c r="J583" s="19">
        <f t="shared" si="9"/>
        <v>0</v>
      </c>
    </row>
    <row r="584" spans="1:10" x14ac:dyDescent="0.35">
      <c r="A584" s="4" t="s">
        <v>4604</v>
      </c>
      <c r="B584" s="7" t="s">
        <v>2087</v>
      </c>
      <c r="C584" s="7" t="s">
        <v>3068</v>
      </c>
      <c r="D584" s="5">
        <v>2</v>
      </c>
      <c r="E584" s="7" t="str">
        <f>_xlfn.XLOOKUP(B584,Customers!A584:A1583,Customers!B584:B1583,"Customer Not Found",0)</f>
        <v>Customer_693</v>
      </c>
      <c r="F584" s="7" t="str">
        <f>_xlfn.XLOOKUP(Orders!B584,Customers!A584:A1583,Customers!C584:C1583,"Country not Found",0)</f>
        <v>South Africa</v>
      </c>
      <c r="G584" s="7" t="str">
        <f>_xlfn.XLOOKUP(C584,Products!A584:A1083,Products!B584:B1083,"Product Missing",0)</f>
        <v>Product Missing</v>
      </c>
      <c r="H584" s="7" t="str">
        <f>_xlfn.XLOOKUP(C584,Products!A584:A1083,Products!C584:C1083,"Category Missing",0)</f>
        <v>Category Missing</v>
      </c>
      <c r="I584" s="11" t="str">
        <f>_xlfn.XLOOKUP(Orders!C584,Products!A584:A1083,Products!D584:D1083,"Price Missing",0)</f>
        <v>Price Missing</v>
      </c>
      <c r="J584" s="19">
        <f t="shared" si="9"/>
        <v>0</v>
      </c>
    </row>
    <row r="585" spans="1:10" x14ac:dyDescent="0.35">
      <c r="A585" s="4" t="s">
        <v>4605</v>
      </c>
      <c r="B585" s="7" t="s">
        <v>2957</v>
      </c>
      <c r="C585" s="7" t="s">
        <v>3444</v>
      </c>
      <c r="D585" s="5">
        <v>3</v>
      </c>
      <c r="E585" s="7" t="str">
        <f>_xlfn.XLOOKUP(B585,Customers!A585:A1584,Customers!B585:B1584,"Customer Not Found",0)</f>
        <v>Customer_983</v>
      </c>
      <c r="F585" s="7" t="str">
        <f>_xlfn.XLOOKUP(Orders!B585,Customers!A585:A1584,Customers!C585:C1584,"Country not Found",0)</f>
        <v>Canada</v>
      </c>
      <c r="G585" s="7" t="str">
        <f>_xlfn.XLOOKUP(C585,Products!A585:A1084,Products!B585:B1084,"Product Missing",0)</f>
        <v>Product Missing</v>
      </c>
      <c r="H585" s="7" t="str">
        <f>_xlfn.XLOOKUP(C585,Products!A585:A1084,Products!C585:C1084,"Category Missing",0)</f>
        <v>Category Missing</v>
      </c>
      <c r="I585" s="11" t="str">
        <f>_xlfn.XLOOKUP(Orders!C585,Products!A585:A1084,Products!D585:D1084,"Price Missing",0)</f>
        <v>Price Missing</v>
      </c>
      <c r="J585" s="19">
        <f t="shared" si="9"/>
        <v>0</v>
      </c>
    </row>
    <row r="586" spans="1:10" x14ac:dyDescent="0.35">
      <c r="A586" s="4" t="s">
        <v>4606</v>
      </c>
      <c r="B586" s="7" t="s">
        <v>1046</v>
      </c>
      <c r="C586" s="7" t="s">
        <v>3872</v>
      </c>
      <c r="D586" s="5">
        <v>3</v>
      </c>
      <c r="E586" s="7" t="str">
        <f>_xlfn.XLOOKUP(B586,Customers!A586:A1585,Customers!B586:B1585,"Customer Not Found",0)</f>
        <v>Customer Not Found</v>
      </c>
      <c r="F586" s="7" t="str">
        <f>_xlfn.XLOOKUP(Orders!B586,Customers!A586:A1585,Customers!C586:C1585,"Country not Found",0)</f>
        <v>Country not Found</v>
      </c>
      <c r="G586" s="7" t="str">
        <f>_xlfn.XLOOKUP(C586,Products!A586:A1085,Products!B586:B1085,"Product Missing",0)</f>
        <v>Product Missing</v>
      </c>
      <c r="H586" s="7" t="str">
        <f>_xlfn.XLOOKUP(C586,Products!A586:A1085,Products!C586:C1085,"Category Missing",0)</f>
        <v>Category Missing</v>
      </c>
      <c r="I586" s="11" t="str">
        <f>_xlfn.XLOOKUP(Orders!C586,Products!A586:A1085,Products!D586:D1085,"Price Missing",0)</f>
        <v>Price Missing</v>
      </c>
      <c r="J586" s="19">
        <f t="shared" si="9"/>
        <v>0</v>
      </c>
    </row>
    <row r="587" spans="1:10" x14ac:dyDescent="0.35">
      <c r="A587" s="4" t="s">
        <v>4607</v>
      </c>
      <c r="B587" s="7" t="s">
        <v>725</v>
      </c>
      <c r="C587" s="7" t="s">
        <v>3140</v>
      </c>
      <c r="D587" s="5">
        <v>10</v>
      </c>
      <c r="E587" s="7" t="str">
        <f>_xlfn.XLOOKUP(B587,Customers!A587:A1586,Customers!B587:B1586,"Customer Not Found",0)</f>
        <v>Customer Not Found</v>
      </c>
      <c r="F587" s="7" t="str">
        <f>_xlfn.XLOOKUP(Orders!B587,Customers!A587:A1586,Customers!C587:C1586,"Country not Found",0)</f>
        <v>Country not Found</v>
      </c>
      <c r="G587" s="7" t="str">
        <f>_xlfn.XLOOKUP(C587,Products!A587:A1086,Products!B587:B1086,"Product Missing",0)</f>
        <v>Product Missing</v>
      </c>
      <c r="H587" s="7" t="str">
        <f>_xlfn.XLOOKUP(C587,Products!A587:A1086,Products!C587:C1086,"Category Missing",0)</f>
        <v>Category Missing</v>
      </c>
      <c r="I587" s="11" t="str">
        <f>_xlfn.XLOOKUP(Orders!C587,Products!A587:A1086,Products!D587:D1086,"Price Missing",0)</f>
        <v>Price Missing</v>
      </c>
      <c r="J587" s="19">
        <f t="shared" si="9"/>
        <v>0</v>
      </c>
    </row>
    <row r="588" spans="1:10" x14ac:dyDescent="0.35">
      <c r="A588" s="4" t="s">
        <v>4608</v>
      </c>
      <c r="B588" s="7" t="s">
        <v>1256</v>
      </c>
      <c r="C588" s="7" t="s">
        <v>3756</v>
      </c>
      <c r="D588" s="5">
        <v>8</v>
      </c>
      <c r="E588" s="7" t="str">
        <f>_xlfn.XLOOKUP(B588,Customers!A588:A1587,Customers!B588:B1587,"Customer Not Found",0)</f>
        <v>Customer Not Found</v>
      </c>
      <c r="F588" s="7" t="str">
        <f>_xlfn.XLOOKUP(Orders!B588,Customers!A588:A1587,Customers!C588:C1587,"Country not Found",0)</f>
        <v>Country not Found</v>
      </c>
      <c r="G588" s="7" t="str">
        <f>_xlfn.XLOOKUP(C588,Products!A588:A1087,Products!B588:B1087,"Product Missing",0)</f>
        <v>Product Missing</v>
      </c>
      <c r="H588" s="7" t="str">
        <f>_xlfn.XLOOKUP(C588,Products!A588:A1087,Products!C588:C1087,"Category Missing",0)</f>
        <v>Category Missing</v>
      </c>
      <c r="I588" s="11" t="str">
        <f>_xlfn.XLOOKUP(Orders!C588,Products!A588:A1087,Products!D588:D1087,"Price Missing",0)</f>
        <v>Price Missing</v>
      </c>
      <c r="J588" s="19">
        <f t="shared" si="9"/>
        <v>0</v>
      </c>
    </row>
    <row r="589" spans="1:10" x14ac:dyDescent="0.35">
      <c r="A589" s="4" t="s">
        <v>4609</v>
      </c>
      <c r="B589" s="7" t="s">
        <v>2894</v>
      </c>
      <c r="C589" s="7" t="s">
        <v>3116</v>
      </c>
      <c r="D589" s="5">
        <v>4</v>
      </c>
      <c r="E589" s="7" t="str">
        <f>_xlfn.XLOOKUP(B589,Customers!A589:A1588,Customers!B589:B1588,"Customer Not Found",0)</f>
        <v>Customer_962</v>
      </c>
      <c r="F589" s="7" t="str">
        <f>_xlfn.XLOOKUP(Orders!B589,Customers!A589:A1588,Customers!C589:C1588,"Country not Found",0)</f>
        <v>Ghana</v>
      </c>
      <c r="G589" s="7" t="str">
        <f>_xlfn.XLOOKUP(C589,Products!A589:A1088,Products!B589:B1088,"Product Missing",0)</f>
        <v>Product Missing</v>
      </c>
      <c r="H589" s="7" t="str">
        <f>_xlfn.XLOOKUP(C589,Products!A589:A1088,Products!C589:C1088,"Category Missing",0)</f>
        <v>Category Missing</v>
      </c>
      <c r="I589" s="11" t="str">
        <f>_xlfn.XLOOKUP(Orders!C589,Products!A589:A1088,Products!D589:D1088,"Price Missing",0)</f>
        <v>Price Missing</v>
      </c>
      <c r="J589" s="19">
        <f t="shared" si="9"/>
        <v>0</v>
      </c>
    </row>
    <row r="590" spans="1:10" x14ac:dyDescent="0.35">
      <c r="A590" s="4" t="s">
        <v>4610</v>
      </c>
      <c r="B590" s="7" t="s">
        <v>1706</v>
      </c>
      <c r="C590" s="7" t="s">
        <v>3262</v>
      </c>
      <c r="D590" s="5">
        <v>8</v>
      </c>
      <c r="E590" s="7" t="str">
        <f>_xlfn.XLOOKUP(B590,Customers!A590:A1589,Customers!B590:B1589,"Customer Not Found",0)</f>
        <v>Customer Not Found</v>
      </c>
      <c r="F590" s="7" t="str">
        <f>_xlfn.XLOOKUP(Orders!B590,Customers!A590:A1589,Customers!C590:C1589,"Country not Found",0)</f>
        <v>Country not Found</v>
      </c>
      <c r="G590" s="7" t="str">
        <f>_xlfn.XLOOKUP(C590,Products!A590:A1089,Products!B590:B1089,"Product Missing",0)</f>
        <v>Product Missing</v>
      </c>
      <c r="H590" s="7" t="str">
        <f>_xlfn.XLOOKUP(C590,Products!A590:A1089,Products!C590:C1089,"Category Missing",0)</f>
        <v>Category Missing</v>
      </c>
      <c r="I590" s="11" t="str">
        <f>_xlfn.XLOOKUP(Orders!C590,Products!A590:A1089,Products!D590:D1089,"Price Missing",0)</f>
        <v>Price Missing</v>
      </c>
      <c r="J590" s="19">
        <f t="shared" si="9"/>
        <v>0</v>
      </c>
    </row>
    <row r="591" spans="1:10" x14ac:dyDescent="0.35">
      <c r="A591" s="4" t="s">
        <v>4611</v>
      </c>
      <c r="B591" s="7" t="s">
        <v>977</v>
      </c>
      <c r="C591" s="7" t="s">
        <v>3532</v>
      </c>
      <c r="D591" s="5">
        <v>9</v>
      </c>
      <c r="E591" s="7" t="str">
        <f>_xlfn.XLOOKUP(B591,Customers!A591:A1590,Customers!B591:B1590,"Customer Not Found",0)</f>
        <v>Customer Not Found</v>
      </c>
      <c r="F591" s="7" t="str">
        <f>_xlfn.XLOOKUP(Orders!B591,Customers!A591:A1590,Customers!C591:C1590,"Country not Found",0)</f>
        <v>Country not Found</v>
      </c>
      <c r="G591" s="7" t="str">
        <f>_xlfn.XLOOKUP(C591,Products!A591:A1090,Products!B591:B1090,"Product Missing",0)</f>
        <v>Product Missing</v>
      </c>
      <c r="H591" s="7" t="str">
        <f>_xlfn.XLOOKUP(C591,Products!A591:A1090,Products!C591:C1090,"Category Missing",0)</f>
        <v>Category Missing</v>
      </c>
      <c r="I591" s="11" t="str">
        <f>_xlfn.XLOOKUP(Orders!C591,Products!A591:A1090,Products!D591:D1090,"Price Missing",0)</f>
        <v>Price Missing</v>
      </c>
      <c r="J591" s="19">
        <f t="shared" si="9"/>
        <v>0</v>
      </c>
    </row>
    <row r="592" spans="1:10" x14ac:dyDescent="0.35">
      <c r="A592" s="4" t="s">
        <v>4612</v>
      </c>
      <c r="B592" s="7" t="s">
        <v>2111</v>
      </c>
      <c r="C592" s="7" t="s">
        <v>3642</v>
      </c>
      <c r="D592" s="5">
        <v>5</v>
      </c>
      <c r="E592" s="7" t="str">
        <f>_xlfn.XLOOKUP(B592,Customers!A592:A1591,Customers!B592:B1591,"Customer Not Found",0)</f>
        <v>Customer_701</v>
      </c>
      <c r="F592" s="7" t="str">
        <f>_xlfn.XLOOKUP(Orders!B592,Customers!A592:A1591,Customers!C592:C1591,"Country not Found",0)</f>
        <v>UK</v>
      </c>
      <c r="G592" s="7" t="str">
        <f>_xlfn.XLOOKUP(C592,Products!A592:A1091,Products!B592:B1091,"Product Missing",0)</f>
        <v>Product Missing</v>
      </c>
      <c r="H592" s="7" t="str">
        <f>_xlfn.XLOOKUP(C592,Products!A592:A1091,Products!C592:C1091,"Category Missing",0)</f>
        <v>Category Missing</v>
      </c>
      <c r="I592" s="11" t="str">
        <f>_xlfn.XLOOKUP(Orders!C592,Products!A592:A1091,Products!D592:D1091,"Price Missing",0)</f>
        <v>Price Missing</v>
      </c>
      <c r="J592" s="19">
        <f t="shared" si="9"/>
        <v>0</v>
      </c>
    </row>
    <row r="593" spans="1:10" x14ac:dyDescent="0.35">
      <c r="A593" s="4" t="s">
        <v>4613</v>
      </c>
      <c r="B593" s="7" t="s">
        <v>2237</v>
      </c>
      <c r="C593" s="7" t="s">
        <v>3798</v>
      </c>
      <c r="D593" s="5">
        <v>7</v>
      </c>
      <c r="E593" s="7" t="str">
        <f>_xlfn.XLOOKUP(B593,Customers!A593:A1592,Customers!B593:B1592,"Customer Not Found",0)</f>
        <v>Customer_743</v>
      </c>
      <c r="F593" s="7" t="str">
        <f>_xlfn.XLOOKUP(Orders!B593,Customers!A593:A1592,Customers!C593:C1592,"Country not Found",0)</f>
        <v>USA</v>
      </c>
      <c r="G593" s="7" t="str">
        <f>_xlfn.XLOOKUP(C593,Products!A593:A1092,Products!B593:B1092,"Product Missing",0)</f>
        <v>Product Missing</v>
      </c>
      <c r="H593" s="7" t="str">
        <f>_xlfn.XLOOKUP(C593,Products!A593:A1092,Products!C593:C1092,"Category Missing",0)</f>
        <v>Category Missing</v>
      </c>
      <c r="I593" s="11" t="str">
        <f>_xlfn.XLOOKUP(Orders!C593,Products!A593:A1092,Products!D593:D1092,"Price Missing",0)</f>
        <v>Price Missing</v>
      </c>
      <c r="J593" s="19">
        <f t="shared" si="9"/>
        <v>0</v>
      </c>
    </row>
    <row r="594" spans="1:10" x14ac:dyDescent="0.35">
      <c r="A594" s="4" t="s">
        <v>4614</v>
      </c>
      <c r="B594" s="7" t="s">
        <v>2519</v>
      </c>
      <c r="C594" s="7" t="s">
        <v>3746</v>
      </c>
      <c r="D594" s="5">
        <v>3</v>
      </c>
      <c r="E594" s="7" t="str">
        <f>_xlfn.XLOOKUP(B594,Customers!A594:A1593,Customers!B594:B1593,"Customer Not Found",0)</f>
        <v>Customer_837</v>
      </c>
      <c r="F594" s="7" t="str">
        <f>_xlfn.XLOOKUP(Orders!B594,Customers!A594:A1593,Customers!C594:C1593,"Country not Found",0)</f>
        <v>USA</v>
      </c>
      <c r="G594" s="7" t="str">
        <f>_xlfn.XLOOKUP(C594,Products!A594:A1093,Products!B594:B1093,"Product Missing",0)</f>
        <v>Product Missing</v>
      </c>
      <c r="H594" s="7" t="str">
        <f>_xlfn.XLOOKUP(C594,Products!A594:A1093,Products!C594:C1093,"Category Missing",0)</f>
        <v>Category Missing</v>
      </c>
      <c r="I594" s="11" t="str">
        <f>_xlfn.XLOOKUP(Orders!C594,Products!A594:A1093,Products!D594:D1093,"Price Missing",0)</f>
        <v>Price Missing</v>
      </c>
      <c r="J594" s="19">
        <f t="shared" si="9"/>
        <v>0</v>
      </c>
    </row>
    <row r="595" spans="1:10" x14ac:dyDescent="0.35">
      <c r="A595" s="4" t="s">
        <v>4615</v>
      </c>
      <c r="B595" s="7" t="s">
        <v>1811</v>
      </c>
      <c r="C595" s="7" t="s">
        <v>3300</v>
      </c>
      <c r="D595" s="5">
        <v>2</v>
      </c>
      <c r="E595" s="7" t="str">
        <f>_xlfn.XLOOKUP(B595,Customers!A595:A1594,Customers!B595:B1594,"Customer Not Found",0)</f>
        <v>Customer_601</v>
      </c>
      <c r="F595" s="7" t="str">
        <f>_xlfn.XLOOKUP(Orders!B595,Customers!A595:A1594,Customers!C595:C1594,"Country not Found",0)</f>
        <v>Nigeria</v>
      </c>
      <c r="G595" s="7" t="str">
        <f>_xlfn.XLOOKUP(C595,Products!A595:A1094,Products!B595:B1094,"Product Missing",0)</f>
        <v>Product Missing</v>
      </c>
      <c r="H595" s="7" t="str">
        <f>_xlfn.XLOOKUP(C595,Products!A595:A1094,Products!C595:C1094,"Category Missing",0)</f>
        <v>Category Missing</v>
      </c>
      <c r="I595" s="11" t="str">
        <f>_xlfn.XLOOKUP(Orders!C595,Products!A595:A1094,Products!D595:D1094,"Price Missing",0)</f>
        <v>Price Missing</v>
      </c>
      <c r="J595" s="19">
        <f t="shared" si="9"/>
        <v>0</v>
      </c>
    </row>
    <row r="596" spans="1:10" x14ac:dyDescent="0.35">
      <c r="A596" s="4" t="s">
        <v>4616</v>
      </c>
      <c r="B596" s="7" t="s">
        <v>52</v>
      </c>
      <c r="C596" s="7" t="s">
        <v>3358</v>
      </c>
      <c r="D596" s="5">
        <v>2</v>
      </c>
      <c r="E596" s="7" t="str">
        <f>_xlfn.XLOOKUP(B596,Customers!A596:A1595,Customers!B596:B1595,"Customer Not Found",0)</f>
        <v>Customer Not Found</v>
      </c>
      <c r="F596" s="7" t="str">
        <f>_xlfn.XLOOKUP(Orders!B596,Customers!A596:A1595,Customers!C596:C1595,"Country not Found",0)</f>
        <v>Country not Found</v>
      </c>
      <c r="G596" s="7" t="str">
        <f>_xlfn.XLOOKUP(C596,Products!A596:A1095,Products!B596:B1095,"Product Missing",0)</f>
        <v>Product Missing</v>
      </c>
      <c r="H596" s="7" t="str">
        <f>_xlfn.XLOOKUP(C596,Products!A596:A1095,Products!C596:C1095,"Category Missing",0)</f>
        <v>Category Missing</v>
      </c>
      <c r="I596" s="11" t="str">
        <f>_xlfn.XLOOKUP(Orders!C596,Products!A596:A1095,Products!D596:D1095,"Price Missing",0)</f>
        <v>Price Missing</v>
      </c>
      <c r="J596" s="19">
        <f t="shared" si="9"/>
        <v>0</v>
      </c>
    </row>
    <row r="597" spans="1:10" x14ac:dyDescent="0.35">
      <c r="A597" s="4" t="s">
        <v>4617</v>
      </c>
      <c r="B597" s="7" t="s">
        <v>16</v>
      </c>
      <c r="C597" s="7" t="s">
        <v>3364</v>
      </c>
      <c r="D597" s="5">
        <v>1</v>
      </c>
      <c r="E597" s="7" t="str">
        <f>_xlfn.XLOOKUP(B597,Customers!A597:A1596,Customers!B597:B1596,"Customer Not Found",0)</f>
        <v>Customer Not Found</v>
      </c>
      <c r="F597" s="7" t="str">
        <f>_xlfn.XLOOKUP(Orders!B597,Customers!A597:A1596,Customers!C597:C1596,"Country not Found",0)</f>
        <v>Country not Found</v>
      </c>
      <c r="G597" s="7" t="str">
        <f>_xlfn.XLOOKUP(C597,Products!A597:A1096,Products!B597:B1096,"Product Missing",0)</f>
        <v>Product Missing</v>
      </c>
      <c r="H597" s="7" t="str">
        <f>_xlfn.XLOOKUP(C597,Products!A597:A1096,Products!C597:C1096,"Category Missing",0)</f>
        <v>Category Missing</v>
      </c>
      <c r="I597" s="11" t="str">
        <f>_xlfn.XLOOKUP(Orders!C597,Products!A597:A1096,Products!D597:D1096,"Price Missing",0)</f>
        <v>Price Missing</v>
      </c>
      <c r="J597" s="19">
        <f t="shared" si="9"/>
        <v>0</v>
      </c>
    </row>
    <row r="598" spans="1:10" x14ac:dyDescent="0.35">
      <c r="A598" s="4" t="s">
        <v>4618</v>
      </c>
      <c r="B598" s="7" t="s">
        <v>1619</v>
      </c>
      <c r="C598" s="7" t="s">
        <v>3764</v>
      </c>
      <c r="D598" s="5">
        <v>6</v>
      </c>
      <c r="E598" s="7" t="str">
        <f>_xlfn.XLOOKUP(B598,Customers!A598:A1597,Customers!B598:B1597,"Customer Not Found",0)</f>
        <v>Customer Not Found</v>
      </c>
      <c r="F598" s="7" t="str">
        <f>_xlfn.XLOOKUP(Orders!B598,Customers!A598:A1597,Customers!C598:C1597,"Country not Found",0)</f>
        <v>Country not Found</v>
      </c>
      <c r="G598" s="7" t="str">
        <f>_xlfn.XLOOKUP(C598,Products!A598:A1097,Products!B598:B1097,"Product Missing",0)</f>
        <v>Product Missing</v>
      </c>
      <c r="H598" s="7" t="str">
        <f>_xlfn.XLOOKUP(C598,Products!A598:A1097,Products!C598:C1097,"Category Missing",0)</f>
        <v>Category Missing</v>
      </c>
      <c r="I598" s="11" t="str">
        <f>_xlfn.XLOOKUP(Orders!C598,Products!A598:A1097,Products!D598:D1097,"Price Missing",0)</f>
        <v>Price Missing</v>
      </c>
      <c r="J598" s="19">
        <f t="shared" si="9"/>
        <v>0</v>
      </c>
    </row>
    <row r="599" spans="1:10" x14ac:dyDescent="0.35">
      <c r="A599" s="4" t="s">
        <v>4619</v>
      </c>
      <c r="B599" s="7" t="s">
        <v>611</v>
      </c>
      <c r="C599" s="7" t="s">
        <v>3710</v>
      </c>
      <c r="D599" s="5">
        <v>6</v>
      </c>
      <c r="E599" s="7" t="str">
        <f>_xlfn.XLOOKUP(B599,Customers!A599:A1598,Customers!B599:B1598,"Customer Not Found",0)</f>
        <v>Customer Not Found</v>
      </c>
      <c r="F599" s="7" t="str">
        <f>_xlfn.XLOOKUP(Orders!B599,Customers!A599:A1598,Customers!C599:C1598,"Country not Found",0)</f>
        <v>Country not Found</v>
      </c>
      <c r="G599" s="7" t="str">
        <f>_xlfn.XLOOKUP(C599,Products!A599:A1098,Products!B599:B1098,"Product Missing",0)</f>
        <v>Product Missing</v>
      </c>
      <c r="H599" s="7" t="str">
        <f>_xlfn.XLOOKUP(C599,Products!A599:A1098,Products!C599:C1098,"Category Missing",0)</f>
        <v>Category Missing</v>
      </c>
      <c r="I599" s="11" t="str">
        <f>_xlfn.XLOOKUP(Orders!C599,Products!A599:A1098,Products!D599:D1098,"Price Missing",0)</f>
        <v>Price Missing</v>
      </c>
      <c r="J599" s="19">
        <f t="shared" si="9"/>
        <v>0</v>
      </c>
    </row>
    <row r="600" spans="1:10" x14ac:dyDescent="0.35">
      <c r="A600" s="4" t="s">
        <v>4620</v>
      </c>
      <c r="B600" s="7" t="s">
        <v>881</v>
      </c>
      <c r="C600" s="7" t="s">
        <v>3220</v>
      </c>
      <c r="D600" s="5">
        <v>2</v>
      </c>
      <c r="E600" s="7" t="str">
        <f>_xlfn.XLOOKUP(B600,Customers!A600:A1599,Customers!B600:B1599,"Customer Not Found",0)</f>
        <v>Customer Not Found</v>
      </c>
      <c r="F600" s="7" t="str">
        <f>_xlfn.XLOOKUP(Orders!B600,Customers!A600:A1599,Customers!C600:C1599,"Country not Found",0)</f>
        <v>Country not Found</v>
      </c>
      <c r="G600" s="7" t="str">
        <f>_xlfn.XLOOKUP(C600,Products!A600:A1099,Products!B600:B1099,"Product Missing",0)</f>
        <v>Product Missing</v>
      </c>
      <c r="H600" s="7" t="str">
        <f>_xlfn.XLOOKUP(C600,Products!A600:A1099,Products!C600:C1099,"Category Missing",0)</f>
        <v>Category Missing</v>
      </c>
      <c r="I600" s="11" t="str">
        <f>_xlfn.XLOOKUP(Orders!C600,Products!A600:A1099,Products!D600:D1099,"Price Missing",0)</f>
        <v>Price Missing</v>
      </c>
      <c r="J600" s="19">
        <f t="shared" si="9"/>
        <v>0</v>
      </c>
    </row>
    <row r="601" spans="1:10" x14ac:dyDescent="0.35">
      <c r="A601" s="4" t="s">
        <v>4621</v>
      </c>
      <c r="B601" s="7" t="s">
        <v>55</v>
      </c>
      <c r="C601" s="7" t="s">
        <v>3248</v>
      </c>
      <c r="D601" s="5">
        <v>9</v>
      </c>
      <c r="E601" s="7" t="str">
        <f>_xlfn.XLOOKUP(B601,Customers!A601:A1600,Customers!B601:B1600,"Customer Not Found",0)</f>
        <v>Customer Not Found</v>
      </c>
      <c r="F601" s="7" t="str">
        <f>_xlfn.XLOOKUP(Orders!B601,Customers!A601:A1600,Customers!C601:C1600,"Country not Found",0)</f>
        <v>Country not Found</v>
      </c>
      <c r="G601" s="7" t="str">
        <f>_xlfn.XLOOKUP(C601,Products!A601:A1100,Products!B601:B1100,"Product Missing",0)</f>
        <v>Product Missing</v>
      </c>
      <c r="H601" s="7" t="str">
        <f>_xlfn.XLOOKUP(C601,Products!A601:A1100,Products!C601:C1100,"Category Missing",0)</f>
        <v>Category Missing</v>
      </c>
      <c r="I601" s="11" t="str">
        <f>_xlfn.XLOOKUP(Orders!C601,Products!A601:A1100,Products!D601:D1100,"Price Missing",0)</f>
        <v>Price Missing</v>
      </c>
      <c r="J601" s="19">
        <f t="shared" si="9"/>
        <v>0</v>
      </c>
    </row>
    <row r="602" spans="1:10" x14ac:dyDescent="0.35">
      <c r="A602" s="4" t="s">
        <v>4622</v>
      </c>
      <c r="B602" s="7" t="s">
        <v>2213</v>
      </c>
      <c r="C602" s="7" t="s">
        <v>3588</v>
      </c>
      <c r="D602" s="5">
        <v>8</v>
      </c>
      <c r="E602" s="7" t="str">
        <f>_xlfn.XLOOKUP(B602,Customers!A602:A1601,Customers!B602:B1601,"Customer Not Found",0)</f>
        <v>Customer_735</v>
      </c>
      <c r="F602" s="7" t="str">
        <f>_xlfn.XLOOKUP(Orders!B602,Customers!A602:A1601,Customers!C602:C1601,"Country not Found",0)</f>
        <v>Nigeria</v>
      </c>
      <c r="G602" s="7" t="str">
        <f>_xlfn.XLOOKUP(C602,Products!A602:A1101,Products!B602:B1101,"Product Missing",0)</f>
        <v>Product Missing</v>
      </c>
      <c r="H602" s="7" t="str">
        <f>_xlfn.XLOOKUP(C602,Products!A602:A1101,Products!C602:C1101,"Category Missing",0)</f>
        <v>Category Missing</v>
      </c>
      <c r="I602" s="11" t="str">
        <f>_xlfn.XLOOKUP(Orders!C602,Products!A602:A1101,Products!D602:D1101,"Price Missing",0)</f>
        <v>Price Missing</v>
      </c>
      <c r="J602" s="19">
        <f t="shared" si="9"/>
        <v>0</v>
      </c>
    </row>
    <row r="603" spans="1:10" x14ac:dyDescent="0.35">
      <c r="A603" s="4" t="s">
        <v>4623</v>
      </c>
      <c r="B603" s="7" t="s">
        <v>1358</v>
      </c>
      <c r="C603" s="7" t="s">
        <v>3860</v>
      </c>
      <c r="D603" s="5">
        <v>1</v>
      </c>
      <c r="E603" s="7" t="str">
        <f>_xlfn.XLOOKUP(B603,Customers!A603:A1602,Customers!B603:B1602,"Customer Not Found",0)</f>
        <v>Customer Not Found</v>
      </c>
      <c r="F603" s="7" t="str">
        <f>_xlfn.XLOOKUP(Orders!B603,Customers!A603:A1602,Customers!C603:C1602,"Country not Found",0)</f>
        <v>Country not Found</v>
      </c>
      <c r="G603" s="7" t="str">
        <f>_xlfn.XLOOKUP(C603,Products!A603:A1102,Products!B603:B1102,"Product Missing",0)</f>
        <v>Product Missing</v>
      </c>
      <c r="H603" s="7" t="str">
        <f>_xlfn.XLOOKUP(C603,Products!A603:A1102,Products!C603:C1102,"Category Missing",0)</f>
        <v>Category Missing</v>
      </c>
      <c r="I603" s="11" t="str">
        <f>_xlfn.XLOOKUP(Orders!C603,Products!A603:A1102,Products!D603:D1102,"Price Missing",0)</f>
        <v>Price Missing</v>
      </c>
      <c r="J603" s="19">
        <f t="shared" si="9"/>
        <v>0</v>
      </c>
    </row>
    <row r="604" spans="1:10" x14ac:dyDescent="0.35">
      <c r="A604" s="4" t="s">
        <v>4624</v>
      </c>
      <c r="B604" s="7" t="s">
        <v>452</v>
      </c>
      <c r="C604" s="7" t="s">
        <v>3032</v>
      </c>
      <c r="D604" s="5">
        <v>9</v>
      </c>
      <c r="E604" s="7" t="str">
        <f>_xlfn.XLOOKUP(B604,Customers!A604:A1603,Customers!B604:B1603,"Customer Not Found",0)</f>
        <v>Customer Not Found</v>
      </c>
      <c r="F604" s="7" t="str">
        <f>_xlfn.XLOOKUP(Orders!B604,Customers!A604:A1603,Customers!C604:C1603,"Country not Found",0)</f>
        <v>Country not Found</v>
      </c>
      <c r="G604" s="7" t="str">
        <f>_xlfn.XLOOKUP(C604,Products!A604:A1103,Products!B604:B1103,"Product Missing",0)</f>
        <v>Product Missing</v>
      </c>
      <c r="H604" s="7" t="str">
        <f>_xlfn.XLOOKUP(C604,Products!A604:A1103,Products!C604:C1103,"Category Missing",0)</f>
        <v>Category Missing</v>
      </c>
      <c r="I604" s="11" t="str">
        <f>_xlfn.XLOOKUP(Orders!C604,Products!A604:A1103,Products!D604:D1103,"Price Missing",0)</f>
        <v>Price Missing</v>
      </c>
      <c r="J604" s="19">
        <f t="shared" si="9"/>
        <v>0</v>
      </c>
    </row>
    <row r="605" spans="1:10" x14ac:dyDescent="0.35">
      <c r="A605" s="4" t="s">
        <v>4625</v>
      </c>
      <c r="B605" s="7" t="s">
        <v>2822</v>
      </c>
      <c r="C605" s="7" t="s">
        <v>3242</v>
      </c>
      <c r="D605" s="5">
        <v>10</v>
      </c>
      <c r="E605" s="7" t="str">
        <f>_xlfn.XLOOKUP(B605,Customers!A605:A1604,Customers!B605:B1604,"Customer Not Found",0)</f>
        <v>Customer_938</v>
      </c>
      <c r="F605" s="7" t="str">
        <f>_xlfn.XLOOKUP(Orders!B605,Customers!A605:A1604,Customers!C605:C1604,"Country not Found",0)</f>
        <v>USA</v>
      </c>
      <c r="G605" s="7" t="str">
        <f>_xlfn.XLOOKUP(C605,Products!A605:A1104,Products!B605:B1104,"Product Missing",0)</f>
        <v>Product Missing</v>
      </c>
      <c r="H605" s="7" t="str">
        <f>_xlfn.XLOOKUP(C605,Products!A605:A1104,Products!C605:C1104,"Category Missing",0)</f>
        <v>Category Missing</v>
      </c>
      <c r="I605" s="11" t="str">
        <f>_xlfn.XLOOKUP(Orders!C605,Products!A605:A1104,Products!D605:D1104,"Price Missing",0)</f>
        <v>Price Missing</v>
      </c>
      <c r="J605" s="19">
        <f t="shared" si="9"/>
        <v>0</v>
      </c>
    </row>
    <row r="606" spans="1:10" x14ac:dyDescent="0.35">
      <c r="A606" s="4" t="s">
        <v>4626</v>
      </c>
      <c r="B606" s="7" t="s">
        <v>1142</v>
      </c>
      <c r="C606" s="7" t="s">
        <v>3936</v>
      </c>
      <c r="D606" s="5">
        <v>7</v>
      </c>
      <c r="E606" s="7" t="str">
        <f>_xlfn.XLOOKUP(B606,Customers!A606:A1605,Customers!B606:B1605,"Customer Not Found",0)</f>
        <v>Customer Not Found</v>
      </c>
      <c r="F606" s="7" t="str">
        <f>_xlfn.XLOOKUP(Orders!B606,Customers!A606:A1605,Customers!C606:C1605,"Country not Found",0)</f>
        <v>Country not Found</v>
      </c>
      <c r="G606" s="7" t="str">
        <f>_xlfn.XLOOKUP(C606,Products!A606:A1105,Products!B606:B1105,"Product Missing",0)</f>
        <v>Product Missing</v>
      </c>
      <c r="H606" s="7" t="str">
        <f>_xlfn.XLOOKUP(C606,Products!A606:A1105,Products!C606:C1105,"Category Missing",0)</f>
        <v>Category Missing</v>
      </c>
      <c r="I606" s="11" t="str">
        <f>_xlfn.XLOOKUP(Orders!C606,Products!A606:A1105,Products!D606:D1105,"Price Missing",0)</f>
        <v>Price Missing</v>
      </c>
      <c r="J606" s="19">
        <f t="shared" si="9"/>
        <v>0</v>
      </c>
    </row>
    <row r="607" spans="1:10" x14ac:dyDescent="0.35">
      <c r="A607" s="4" t="s">
        <v>4627</v>
      </c>
      <c r="B607" s="7" t="s">
        <v>170</v>
      </c>
      <c r="C607" s="7" t="s">
        <v>3808</v>
      </c>
      <c r="D607" s="5">
        <v>2</v>
      </c>
      <c r="E607" s="7" t="str">
        <f>_xlfn.XLOOKUP(B607,Customers!A607:A1606,Customers!B607:B1606,"Customer Not Found",0)</f>
        <v>Customer Not Found</v>
      </c>
      <c r="F607" s="7" t="str">
        <f>_xlfn.XLOOKUP(Orders!B607,Customers!A607:A1606,Customers!C607:C1606,"Country not Found",0)</f>
        <v>Country not Found</v>
      </c>
      <c r="G607" s="7" t="str">
        <f>_xlfn.XLOOKUP(C607,Products!A607:A1106,Products!B607:B1106,"Product Missing",0)</f>
        <v>Product Missing</v>
      </c>
      <c r="H607" s="7" t="str">
        <f>_xlfn.XLOOKUP(C607,Products!A607:A1106,Products!C607:C1106,"Category Missing",0)</f>
        <v>Category Missing</v>
      </c>
      <c r="I607" s="11" t="str">
        <f>_xlfn.XLOOKUP(Orders!C607,Products!A607:A1106,Products!D607:D1106,"Price Missing",0)</f>
        <v>Price Missing</v>
      </c>
      <c r="J607" s="19">
        <f t="shared" si="9"/>
        <v>0</v>
      </c>
    </row>
    <row r="608" spans="1:10" x14ac:dyDescent="0.35">
      <c r="A608" s="4" t="s">
        <v>4628</v>
      </c>
      <c r="B608" s="7" t="s">
        <v>1211</v>
      </c>
      <c r="C608" s="7" t="s">
        <v>3794</v>
      </c>
      <c r="D608" s="5">
        <v>5</v>
      </c>
      <c r="E608" s="7" t="str">
        <f>_xlfn.XLOOKUP(B608,Customers!A608:A1607,Customers!B608:B1607,"Customer Not Found",0)</f>
        <v>Customer Not Found</v>
      </c>
      <c r="F608" s="7" t="str">
        <f>_xlfn.XLOOKUP(Orders!B608,Customers!A608:A1607,Customers!C608:C1607,"Country not Found",0)</f>
        <v>Country not Found</v>
      </c>
      <c r="G608" s="7" t="str">
        <f>_xlfn.XLOOKUP(C608,Products!A608:A1107,Products!B608:B1107,"Product Missing",0)</f>
        <v>Product Missing</v>
      </c>
      <c r="H608" s="7" t="str">
        <f>_xlfn.XLOOKUP(C608,Products!A608:A1107,Products!C608:C1107,"Category Missing",0)</f>
        <v>Category Missing</v>
      </c>
      <c r="I608" s="11" t="str">
        <f>_xlfn.XLOOKUP(Orders!C608,Products!A608:A1107,Products!D608:D1107,"Price Missing",0)</f>
        <v>Price Missing</v>
      </c>
      <c r="J608" s="19">
        <f t="shared" si="9"/>
        <v>0</v>
      </c>
    </row>
    <row r="609" spans="1:10" x14ac:dyDescent="0.35">
      <c r="A609" s="4" t="s">
        <v>4629</v>
      </c>
      <c r="B609" s="7" t="s">
        <v>308</v>
      </c>
      <c r="C609" s="7" t="s">
        <v>3470</v>
      </c>
      <c r="D609" s="5">
        <v>10</v>
      </c>
      <c r="E609" s="7" t="str">
        <f>_xlfn.XLOOKUP(B609,Customers!A609:A1608,Customers!B609:B1608,"Customer Not Found",0)</f>
        <v>Customer Not Found</v>
      </c>
      <c r="F609" s="7" t="str">
        <f>_xlfn.XLOOKUP(Orders!B609,Customers!A609:A1608,Customers!C609:C1608,"Country not Found",0)</f>
        <v>Country not Found</v>
      </c>
      <c r="G609" s="7" t="str">
        <f>_xlfn.XLOOKUP(C609,Products!A609:A1108,Products!B609:B1108,"Product Missing",0)</f>
        <v>Product Missing</v>
      </c>
      <c r="H609" s="7" t="str">
        <f>_xlfn.XLOOKUP(C609,Products!A609:A1108,Products!C609:C1108,"Category Missing",0)</f>
        <v>Category Missing</v>
      </c>
      <c r="I609" s="11" t="str">
        <f>_xlfn.XLOOKUP(Orders!C609,Products!A609:A1108,Products!D609:D1108,"Price Missing",0)</f>
        <v>Price Missing</v>
      </c>
      <c r="J609" s="19">
        <f t="shared" si="9"/>
        <v>0</v>
      </c>
    </row>
    <row r="610" spans="1:10" x14ac:dyDescent="0.35">
      <c r="A610" s="4" t="s">
        <v>4630</v>
      </c>
      <c r="B610" s="7" t="s">
        <v>929</v>
      </c>
      <c r="C610" s="7" t="s">
        <v>3294</v>
      </c>
      <c r="D610" s="5">
        <v>10</v>
      </c>
      <c r="E610" s="7" t="str">
        <f>_xlfn.XLOOKUP(B610,Customers!A610:A1609,Customers!B610:B1609,"Customer Not Found",0)</f>
        <v>Customer Not Found</v>
      </c>
      <c r="F610" s="7" t="str">
        <f>_xlfn.XLOOKUP(Orders!B610,Customers!A610:A1609,Customers!C610:C1609,"Country not Found",0)</f>
        <v>Country not Found</v>
      </c>
      <c r="G610" s="7" t="str">
        <f>_xlfn.XLOOKUP(C610,Products!A610:A1109,Products!B610:B1109,"Product Missing",0)</f>
        <v>Product Missing</v>
      </c>
      <c r="H610" s="7" t="str">
        <f>_xlfn.XLOOKUP(C610,Products!A610:A1109,Products!C610:C1109,"Category Missing",0)</f>
        <v>Category Missing</v>
      </c>
      <c r="I610" s="11" t="str">
        <f>_xlfn.XLOOKUP(Orders!C610,Products!A610:A1109,Products!D610:D1109,"Price Missing",0)</f>
        <v>Price Missing</v>
      </c>
      <c r="J610" s="19">
        <f t="shared" si="9"/>
        <v>0</v>
      </c>
    </row>
    <row r="611" spans="1:10" x14ac:dyDescent="0.35">
      <c r="A611" s="4" t="s">
        <v>4631</v>
      </c>
      <c r="B611" s="7" t="s">
        <v>2786</v>
      </c>
      <c r="C611" s="7" t="s">
        <v>3804</v>
      </c>
      <c r="D611" s="5">
        <v>4</v>
      </c>
      <c r="E611" s="7" t="str">
        <f>_xlfn.XLOOKUP(B611,Customers!A611:A1610,Customers!B611:B1610,"Customer Not Found",0)</f>
        <v>Customer_926</v>
      </c>
      <c r="F611" s="7" t="str">
        <f>_xlfn.XLOOKUP(Orders!B611,Customers!A611:A1610,Customers!C611:C1610,"Country not Found",0)</f>
        <v>UK</v>
      </c>
      <c r="G611" s="7" t="str">
        <f>_xlfn.XLOOKUP(C611,Products!A611:A1110,Products!B611:B1110,"Product Missing",0)</f>
        <v>Product Missing</v>
      </c>
      <c r="H611" s="7" t="str">
        <f>_xlfn.XLOOKUP(C611,Products!A611:A1110,Products!C611:C1110,"Category Missing",0)</f>
        <v>Category Missing</v>
      </c>
      <c r="I611" s="11" t="str">
        <f>_xlfn.XLOOKUP(Orders!C611,Products!A611:A1110,Products!D611:D1110,"Price Missing",0)</f>
        <v>Price Missing</v>
      </c>
      <c r="J611" s="19">
        <f t="shared" si="9"/>
        <v>0</v>
      </c>
    </row>
    <row r="612" spans="1:10" x14ac:dyDescent="0.35">
      <c r="A612" s="4" t="s">
        <v>4632</v>
      </c>
      <c r="B612" s="7" t="s">
        <v>1793</v>
      </c>
      <c r="C612" s="7" t="s">
        <v>3814</v>
      </c>
      <c r="D612" s="5">
        <v>8</v>
      </c>
      <c r="E612" s="7" t="str">
        <f>_xlfn.XLOOKUP(B612,Customers!A612:A1611,Customers!B612:B1611,"Customer Not Found",0)</f>
        <v>Customer Not Found</v>
      </c>
      <c r="F612" s="7" t="str">
        <f>_xlfn.XLOOKUP(Orders!B612,Customers!A612:A1611,Customers!C612:C1611,"Country not Found",0)</f>
        <v>Country not Found</v>
      </c>
      <c r="G612" s="7" t="str">
        <f>_xlfn.XLOOKUP(C612,Products!A612:A1111,Products!B612:B1111,"Product Missing",0)</f>
        <v>Product Missing</v>
      </c>
      <c r="H612" s="7" t="str">
        <f>_xlfn.XLOOKUP(C612,Products!A612:A1111,Products!C612:C1111,"Category Missing",0)</f>
        <v>Category Missing</v>
      </c>
      <c r="I612" s="11" t="str">
        <f>_xlfn.XLOOKUP(Orders!C612,Products!A612:A1111,Products!D612:D1111,"Price Missing",0)</f>
        <v>Price Missing</v>
      </c>
      <c r="J612" s="19">
        <f t="shared" si="9"/>
        <v>0</v>
      </c>
    </row>
    <row r="613" spans="1:10" x14ac:dyDescent="0.35">
      <c r="A613" s="4" t="s">
        <v>4633</v>
      </c>
      <c r="B613" s="7" t="s">
        <v>1352</v>
      </c>
      <c r="C613" s="7" t="s">
        <v>3202</v>
      </c>
      <c r="D613" s="5">
        <v>4</v>
      </c>
      <c r="E613" s="7" t="str">
        <f>_xlfn.XLOOKUP(B613,Customers!A613:A1612,Customers!B613:B1612,"Customer Not Found",0)</f>
        <v>Customer Not Found</v>
      </c>
      <c r="F613" s="7" t="str">
        <f>_xlfn.XLOOKUP(Orders!B613,Customers!A613:A1612,Customers!C613:C1612,"Country not Found",0)</f>
        <v>Country not Found</v>
      </c>
      <c r="G613" s="7" t="str">
        <f>_xlfn.XLOOKUP(C613,Products!A613:A1112,Products!B613:B1112,"Product Missing",0)</f>
        <v>Product Missing</v>
      </c>
      <c r="H613" s="7" t="str">
        <f>_xlfn.XLOOKUP(C613,Products!A613:A1112,Products!C613:C1112,"Category Missing",0)</f>
        <v>Category Missing</v>
      </c>
      <c r="I613" s="11" t="str">
        <f>_xlfn.XLOOKUP(Orders!C613,Products!A613:A1112,Products!D613:D1112,"Price Missing",0)</f>
        <v>Price Missing</v>
      </c>
      <c r="J613" s="19">
        <f t="shared" si="9"/>
        <v>0</v>
      </c>
    </row>
    <row r="614" spans="1:10" x14ac:dyDescent="0.35">
      <c r="A614" s="4" t="s">
        <v>4634</v>
      </c>
      <c r="B614" s="7" t="s">
        <v>1568</v>
      </c>
      <c r="C614" s="7" t="s">
        <v>3600</v>
      </c>
      <c r="D614" s="5">
        <v>2</v>
      </c>
      <c r="E614" s="7" t="str">
        <f>_xlfn.XLOOKUP(B614,Customers!A614:A1613,Customers!B614:B1613,"Customer Not Found",0)</f>
        <v>Customer Not Found</v>
      </c>
      <c r="F614" s="7" t="str">
        <f>_xlfn.XLOOKUP(Orders!B614,Customers!A614:A1613,Customers!C614:C1613,"Country not Found",0)</f>
        <v>Country not Found</v>
      </c>
      <c r="G614" s="7" t="str">
        <f>_xlfn.XLOOKUP(C614,Products!A614:A1113,Products!B614:B1113,"Product Missing",0)</f>
        <v>Product Missing</v>
      </c>
      <c r="H614" s="7" t="str">
        <f>_xlfn.XLOOKUP(C614,Products!A614:A1113,Products!C614:C1113,"Category Missing",0)</f>
        <v>Category Missing</v>
      </c>
      <c r="I614" s="11" t="str">
        <f>_xlfn.XLOOKUP(Orders!C614,Products!A614:A1113,Products!D614:D1113,"Price Missing",0)</f>
        <v>Price Missing</v>
      </c>
      <c r="J614" s="19">
        <f t="shared" si="9"/>
        <v>0</v>
      </c>
    </row>
    <row r="615" spans="1:10" x14ac:dyDescent="0.35">
      <c r="A615" s="4" t="s">
        <v>4635</v>
      </c>
      <c r="B615" s="7" t="s">
        <v>311</v>
      </c>
      <c r="C615" s="7" t="s">
        <v>3744</v>
      </c>
      <c r="D615" s="5">
        <v>3</v>
      </c>
      <c r="E615" s="7" t="str">
        <f>_xlfn.XLOOKUP(B615,Customers!A615:A1614,Customers!B615:B1614,"Customer Not Found",0)</f>
        <v>Customer Not Found</v>
      </c>
      <c r="F615" s="7" t="str">
        <f>_xlfn.XLOOKUP(Orders!B615,Customers!A615:A1614,Customers!C615:C1614,"Country not Found",0)</f>
        <v>Country not Found</v>
      </c>
      <c r="G615" s="7" t="str">
        <f>_xlfn.XLOOKUP(C615,Products!A615:A1114,Products!B615:B1114,"Product Missing",0)</f>
        <v>Product Missing</v>
      </c>
      <c r="H615" s="7" t="str">
        <f>_xlfn.XLOOKUP(C615,Products!A615:A1114,Products!C615:C1114,"Category Missing",0)</f>
        <v>Category Missing</v>
      </c>
      <c r="I615" s="11" t="str">
        <f>_xlfn.XLOOKUP(Orders!C615,Products!A615:A1114,Products!D615:D1114,"Price Missing",0)</f>
        <v>Price Missing</v>
      </c>
      <c r="J615" s="19">
        <f t="shared" si="9"/>
        <v>0</v>
      </c>
    </row>
    <row r="616" spans="1:10" x14ac:dyDescent="0.35">
      <c r="A616" s="4" t="s">
        <v>4636</v>
      </c>
      <c r="B616" s="7" t="s">
        <v>1400</v>
      </c>
      <c r="C616" s="7" t="s">
        <v>3978</v>
      </c>
      <c r="D616" s="5">
        <v>10</v>
      </c>
      <c r="E616" s="7" t="str">
        <f>_xlfn.XLOOKUP(B616,Customers!A616:A1615,Customers!B616:B1615,"Customer Not Found",0)</f>
        <v>Customer Not Found</v>
      </c>
      <c r="F616" s="7" t="str">
        <f>_xlfn.XLOOKUP(Orders!B616,Customers!A616:A1615,Customers!C616:C1615,"Country not Found",0)</f>
        <v>Country not Found</v>
      </c>
      <c r="G616" s="7" t="str">
        <f>_xlfn.XLOOKUP(C616,Products!A616:A1115,Products!B616:B1115,"Product Missing",0)</f>
        <v>Product Missing</v>
      </c>
      <c r="H616" s="7" t="str">
        <f>_xlfn.XLOOKUP(C616,Products!A616:A1115,Products!C616:C1115,"Category Missing",0)</f>
        <v>Category Missing</v>
      </c>
      <c r="I616" s="11" t="str">
        <f>_xlfn.XLOOKUP(Orders!C616,Products!A616:A1115,Products!D616:D1115,"Price Missing",0)</f>
        <v>Price Missing</v>
      </c>
      <c r="J616" s="19">
        <f t="shared" si="9"/>
        <v>0</v>
      </c>
    </row>
    <row r="617" spans="1:10" x14ac:dyDescent="0.35">
      <c r="A617" s="4" t="s">
        <v>4637</v>
      </c>
      <c r="B617" s="7" t="s">
        <v>584</v>
      </c>
      <c r="C617" s="7" t="s">
        <v>3836</v>
      </c>
      <c r="D617" s="5">
        <v>5</v>
      </c>
      <c r="E617" s="7" t="str">
        <f>_xlfn.XLOOKUP(B617,Customers!A617:A1616,Customers!B617:B1616,"Customer Not Found",0)</f>
        <v>Customer Not Found</v>
      </c>
      <c r="F617" s="7" t="str">
        <f>_xlfn.XLOOKUP(Orders!B617,Customers!A617:A1616,Customers!C617:C1616,"Country not Found",0)</f>
        <v>Country not Found</v>
      </c>
      <c r="G617" s="7" t="str">
        <f>_xlfn.XLOOKUP(C617,Products!A617:A1116,Products!B617:B1116,"Product Missing",0)</f>
        <v>Product Missing</v>
      </c>
      <c r="H617" s="7" t="str">
        <f>_xlfn.XLOOKUP(C617,Products!A617:A1116,Products!C617:C1116,"Category Missing",0)</f>
        <v>Category Missing</v>
      </c>
      <c r="I617" s="11" t="str">
        <f>_xlfn.XLOOKUP(Orders!C617,Products!A617:A1116,Products!D617:D1116,"Price Missing",0)</f>
        <v>Price Missing</v>
      </c>
      <c r="J617" s="19">
        <f t="shared" si="9"/>
        <v>0</v>
      </c>
    </row>
    <row r="618" spans="1:10" x14ac:dyDescent="0.35">
      <c r="A618" s="4" t="s">
        <v>4638</v>
      </c>
      <c r="B618" s="7" t="s">
        <v>812</v>
      </c>
      <c r="C618" s="7" t="s">
        <v>3468</v>
      </c>
      <c r="D618" s="5">
        <v>7</v>
      </c>
      <c r="E618" s="7" t="str">
        <f>_xlfn.XLOOKUP(B618,Customers!A618:A1617,Customers!B618:B1617,"Customer Not Found",0)</f>
        <v>Customer Not Found</v>
      </c>
      <c r="F618" s="7" t="str">
        <f>_xlfn.XLOOKUP(Orders!B618,Customers!A618:A1617,Customers!C618:C1617,"Country not Found",0)</f>
        <v>Country not Found</v>
      </c>
      <c r="G618" s="7" t="str">
        <f>_xlfn.XLOOKUP(C618,Products!A618:A1117,Products!B618:B1117,"Product Missing",0)</f>
        <v>Product Missing</v>
      </c>
      <c r="H618" s="7" t="str">
        <f>_xlfn.XLOOKUP(C618,Products!A618:A1117,Products!C618:C1117,"Category Missing",0)</f>
        <v>Category Missing</v>
      </c>
      <c r="I618" s="11" t="str">
        <f>_xlfn.XLOOKUP(Orders!C618,Products!A618:A1117,Products!D618:D1117,"Price Missing",0)</f>
        <v>Price Missing</v>
      </c>
      <c r="J618" s="19">
        <f t="shared" si="9"/>
        <v>0</v>
      </c>
    </row>
    <row r="619" spans="1:10" x14ac:dyDescent="0.35">
      <c r="A619" s="4" t="s">
        <v>4639</v>
      </c>
      <c r="B619" s="7" t="s">
        <v>575</v>
      </c>
      <c r="C619" s="7" t="s">
        <v>3974</v>
      </c>
      <c r="D619" s="5">
        <v>8</v>
      </c>
      <c r="E619" s="7" t="str">
        <f>_xlfn.XLOOKUP(B619,Customers!A619:A1618,Customers!B619:B1618,"Customer Not Found",0)</f>
        <v>Customer Not Found</v>
      </c>
      <c r="F619" s="7" t="str">
        <f>_xlfn.XLOOKUP(Orders!B619,Customers!A619:A1618,Customers!C619:C1618,"Country not Found",0)</f>
        <v>Country not Found</v>
      </c>
      <c r="G619" s="7" t="str">
        <f>_xlfn.XLOOKUP(C619,Products!A619:A1118,Products!B619:B1118,"Product Missing",0)</f>
        <v>Product Missing</v>
      </c>
      <c r="H619" s="7" t="str">
        <f>_xlfn.XLOOKUP(C619,Products!A619:A1118,Products!C619:C1118,"Category Missing",0)</f>
        <v>Category Missing</v>
      </c>
      <c r="I619" s="11" t="str">
        <f>_xlfn.XLOOKUP(Orders!C619,Products!A619:A1118,Products!D619:D1118,"Price Missing",0)</f>
        <v>Price Missing</v>
      </c>
      <c r="J619" s="19">
        <f t="shared" si="9"/>
        <v>0</v>
      </c>
    </row>
    <row r="620" spans="1:10" x14ac:dyDescent="0.35">
      <c r="A620" s="4" t="s">
        <v>4640</v>
      </c>
      <c r="B620" s="7" t="s">
        <v>2711</v>
      </c>
      <c r="C620" s="7" t="s">
        <v>3292</v>
      </c>
      <c r="D620" s="5">
        <v>4</v>
      </c>
      <c r="E620" s="7" t="str">
        <f>_xlfn.XLOOKUP(B620,Customers!A620:A1619,Customers!B620:B1619,"Customer Not Found",0)</f>
        <v>Customer_901</v>
      </c>
      <c r="F620" s="7" t="str">
        <f>_xlfn.XLOOKUP(Orders!B620,Customers!A620:A1619,Customers!C620:C1619,"Country not Found",0)</f>
        <v>USA</v>
      </c>
      <c r="G620" s="7" t="str">
        <f>_xlfn.XLOOKUP(C620,Products!A620:A1119,Products!B620:B1119,"Product Missing",0)</f>
        <v>Product Missing</v>
      </c>
      <c r="H620" s="7" t="str">
        <f>_xlfn.XLOOKUP(C620,Products!A620:A1119,Products!C620:C1119,"Category Missing",0)</f>
        <v>Category Missing</v>
      </c>
      <c r="I620" s="11" t="str">
        <f>_xlfn.XLOOKUP(Orders!C620,Products!A620:A1119,Products!D620:D1119,"Price Missing",0)</f>
        <v>Price Missing</v>
      </c>
      <c r="J620" s="19">
        <f t="shared" si="9"/>
        <v>0</v>
      </c>
    </row>
    <row r="621" spans="1:10" x14ac:dyDescent="0.35">
      <c r="A621" s="4" t="s">
        <v>4641</v>
      </c>
      <c r="B621" s="7" t="s">
        <v>446</v>
      </c>
      <c r="C621" s="7" t="s">
        <v>3034</v>
      </c>
      <c r="D621" s="5">
        <v>1</v>
      </c>
      <c r="E621" s="7" t="str">
        <f>_xlfn.XLOOKUP(B621,Customers!A621:A1620,Customers!B621:B1620,"Customer Not Found",0)</f>
        <v>Customer Not Found</v>
      </c>
      <c r="F621" s="7" t="str">
        <f>_xlfn.XLOOKUP(Orders!B621,Customers!A621:A1620,Customers!C621:C1620,"Country not Found",0)</f>
        <v>Country not Found</v>
      </c>
      <c r="G621" s="7" t="str">
        <f>_xlfn.XLOOKUP(C621,Products!A621:A1120,Products!B621:B1120,"Product Missing",0)</f>
        <v>Product Missing</v>
      </c>
      <c r="H621" s="7" t="str">
        <f>_xlfn.XLOOKUP(C621,Products!A621:A1120,Products!C621:C1120,"Category Missing",0)</f>
        <v>Category Missing</v>
      </c>
      <c r="I621" s="11" t="str">
        <f>_xlfn.XLOOKUP(Orders!C621,Products!A621:A1120,Products!D621:D1120,"Price Missing",0)</f>
        <v>Price Missing</v>
      </c>
      <c r="J621" s="19">
        <f t="shared" si="9"/>
        <v>0</v>
      </c>
    </row>
    <row r="622" spans="1:10" x14ac:dyDescent="0.35">
      <c r="A622" s="4" t="s">
        <v>4642</v>
      </c>
      <c r="B622" s="7" t="s">
        <v>1556</v>
      </c>
      <c r="C622" s="7" t="s">
        <v>3640</v>
      </c>
      <c r="D622" s="5">
        <v>3</v>
      </c>
      <c r="E622" s="7" t="str">
        <f>_xlfn.XLOOKUP(B622,Customers!A622:A1621,Customers!B622:B1621,"Customer Not Found",0)</f>
        <v>Customer Not Found</v>
      </c>
      <c r="F622" s="7" t="str">
        <f>_xlfn.XLOOKUP(Orders!B622,Customers!A622:A1621,Customers!C622:C1621,"Country not Found",0)</f>
        <v>Country not Found</v>
      </c>
      <c r="G622" s="7" t="str">
        <f>_xlfn.XLOOKUP(C622,Products!A622:A1121,Products!B622:B1121,"Product Missing",0)</f>
        <v>Product Missing</v>
      </c>
      <c r="H622" s="7" t="str">
        <f>_xlfn.XLOOKUP(C622,Products!A622:A1121,Products!C622:C1121,"Category Missing",0)</f>
        <v>Category Missing</v>
      </c>
      <c r="I622" s="11" t="str">
        <f>_xlfn.XLOOKUP(Orders!C622,Products!A622:A1121,Products!D622:D1121,"Price Missing",0)</f>
        <v>Price Missing</v>
      </c>
      <c r="J622" s="19">
        <f t="shared" si="9"/>
        <v>0</v>
      </c>
    </row>
    <row r="623" spans="1:10" x14ac:dyDescent="0.35">
      <c r="A623" s="4" t="s">
        <v>4643</v>
      </c>
      <c r="B623" s="7" t="s">
        <v>1181</v>
      </c>
      <c r="C623" s="7" t="s">
        <v>3740</v>
      </c>
      <c r="D623" s="5">
        <v>3</v>
      </c>
      <c r="E623" s="7" t="str">
        <f>_xlfn.XLOOKUP(B623,Customers!A623:A1622,Customers!B623:B1622,"Customer Not Found",0)</f>
        <v>Customer Not Found</v>
      </c>
      <c r="F623" s="7" t="str">
        <f>_xlfn.XLOOKUP(Orders!B623,Customers!A623:A1622,Customers!C623:C1622,"Country not Found",0)</f>
        <v>Country not Found</v>
      </c>
      <c r="G623" s="7" t="str">
        <f>_xlfn.XLOOKUP(C623,Products!A623:A1122,Products!B623:B1122,"Product Missing",0)</f>
        <v>Product Missing</v>
      </c>
      <c r="H623" s="7" t="str">
        <f>_xlfn.XLOOKUP(C623,Products!A623:A1122,Products!C623:C1122,"Category Missing",0)</f>
        <v>Category Missing</v>
      </c>
      <c r="I623" s="11" t="str">
        <f>_xlfn.XLOOKUP(Orders!C623,Products!A623:A1122,Products!D623:D1122,"Price Missing",0)</f>
        <v>Price Missing</v>
      </c>
      <c r="J623" s="19">
        <f t="shared" si="9"/>
        <v>0</v>
      </c>
    </row>
    <row r="624" spans="1:10" x14ac:dyDescent="0.35">
      <c r="A624" s="4" t="s">
        <v>4644</v>
      </c>
      <c r="B624" s="7" t="s">
        <v>470</v>
      </c>
      <c r="C624" s="7" t="s">
        <v>3540</v>
      </c>
      <c r="D624" s="5">
        <v>1</v>
      </c>
      <c r="E624" s="7" t="str">
        <f>_xlfn.XLOOKUP(B624,Customers!A624:A1623,Customers!B624:B1623,"Customer Not Found",0)</f>
        <v>Customer Not Found</v>
      </c>
      <c r="F624" s="7" t="str">
        <f>_xlfn.XLOOKUP(Orders!B624,Customers!A624:A1623,Customers!C624:C1623,"Country not Found",0)</f>
        <v>Country not Found</v>
      </c>
      <c r="G624" s="7" t="str">
        <f>_xlfn.XLOOKUP(C624,Products!A624:A1123,Products!B624:B1123,"Product Missing",0)</f>
        <v>Product Missing</v>
      </c>
      <c r="H624" s="7" t="str">
        <f>_xlfn.XLOOKUP(C624,Products!A624:A1123,Products!C624:C1123,"Category Missing",0)</f>
        <v>Category Missing</v>
      </c>
      <c r="I624" s="11" t="str">
        <f>_xlfn.XLOOKUP(Orders!C624,Products!A624:A1123,Products!D624:D1123,"Price Missing",0)</f>
        <v>Price Missing</v>
      </c>
      <c r="J624" s="19">
        <f t="shared" si="9"/>
        <v>0</v>
      </c>
    </row>
    <row r="625" spans="1:10" x14ac:dyDescent="0.35">
      <c r="A625" s="4" t="s">
        <v>4645</v>
      </c>
      <c r="B625" s="7" t="s">
        <v>2921</v>
      </c>
      <c r="C625" s="7" t="s">
        <v>3800</v>
      </c>
      <c r="D625" s="5">
        <v>8</v>
      </c>
      <c r="E625" s="7" t="str">
        <f>_xlfn.XLOOKUP(B625,Customers!A625:A1624,Customers!B625:B1624,"Customer Not Found",0)</f>
        <v>Customer_971</v>
      </c>
      <c r="F625" s="7" t="str">
        <f>_xlfn.XLOOKUP(Orders!B625,Customers!A625:A1624,Customers!C625:C1624,"Country not Found",0)</f>
        <v>Canada</v>
      </c>
      <c r="G625" s="7" t="str">
        <f>_xlfn.XLOOKUP(C625,Products!A625:A1124,Products!B625:B1124,"Product Missing",0)</f>
        <v>Product Missing</v>
      </c>
      <c r="H625" s="7" t="str">
        <f>_xlfn.XLOOKUP(C625,Products!A625:A1124,Products!C625:C1124,"Category Missing",0)</f>
        <v>Category Missing</v>
      </c>
      <c r="I625" s="11" t="str">
        <f>_xlfn.XLOOKUP(Orders!C625,Products!A625:A1124,Products!D625:D1124,"Price Missing",0)</f>
        <v>Price Missing</v>
      </c>
      <c r="J625" s="19">
        <f t="shared" si="9"/>
        <v>0</v>
      </c>
    </row>
    <row r="626" spans="1:10" x14ac:dyDescent="0.35">
      <c r="A626" s="4" t="s">
        <v>4646</v>
      </c>
      <c r="B626" s="7" t="s">
        <v>2294</v>
      </c>
      <c r="C626" s="7" t="s">
        <v>3168</v>
      </c>
      <c r="D626" s="5">
        <v>3</v>
      </c>
      <c r="E626" s="7" t="str">
        <f>_xlfn.XLOOKUP(B626,Customers!A626:A1625,Customers!B626:B1625,"Customer Not Found",0)</f>
        <v>Customer_762</v>
      </c>
      <c r="F626" s="7" t="str">
        <f>_xlfn.XLOOKUP(Orders!B626,Customers!A626:A1625,Customers!C626:C1625,"Country not Found",0)</f>
        <v>Nigeria</v>
      </c>
      <c r="G626" s="7" t="str">
        <f>_xlfn.XLOOKUP(C626,Products!A626:A1125,Products!B626:B1125,"Product Missing",0)</f>
        <v>Product Missing</v>
      </c>
      <c r="H626" s="7" t="str">
        <f>_xlfn.XLOOKUP(C626,Products!A626:A1125,Products!C626:C1125,"Category Missing",0)</f>
        <v>Category Missing</v>
      </c>
      <c r="I626" s="11" t="str">
        <f>_xlfn.XLOOKUP(Orders!C626,Products!A626:A1125,Products!D626:D1125,"Price Missing",0)</f>
        <v>Price Missing</v>
      </c>
      <c r="J626" s="19">
        <f t="shared" si="9"/>
        <v>0</v>
      </c>
    </row>
    <row r="627" spans="1:10" x14ac:dyDescent="0.35">
      <c r="A627" s="4" t="s">
        <v>4647</v>
      </c>
      <c r="B627" s="7" t="s">
        <v>515</v>
      </c>
      <c r="C627" s="7" t="s">
        <v>3874</v>
      </c>
      <c r="D627" s="5">
        <v>3</v>
      </c>
      <c r="E627" s="7" t="str">
        <f>_xlfn.XLOOKUP(B627,Customers!A627:A1626,Customers!B627:B1626,"Customer Not Found",0)</f>
        <v>Customer Not Found</v>
      </c>
      <c r="F627" s="7" t="str">
        <f>_xlfn.XLOOKUP(Orders!B627,Customers!A627:A1626,Customers!C627:C1626,"Country not Found",0)</f>
        <v>Country not Found</v>
      </c>
      <c r="G627" s="7" t="str">
        <f>_xlfn.XLOOKUP(C627,Products!A627:A1126,Products!B627:B1126,"Product Missing",0)</f>
        <v>Product Missing</v>
      </c>
      <c r="H627" s="7" t="str">
        <f>_xlfn.XLOOKUP(C627,Products!A627:A1126,Products!C627:C1126,"Category Missing",0)</f>
        <v>Category Missing</v>
      </c>
      <c r="I627" s="11" t="str">
        <f>_xlfn.XLOOKUP(Orders!C627,Products!A627:A1126,Products!D627:D1126,"Price Missing",0)</f>
        <v>Price Missing</v>
      </c>
      <c r="J627" s="19">
        <f t="shared" si="9"/>
        <v>0</v>
      </c>
    </row>
    <row r="628" spans="1:10" x14ac:dyDescent="0.35">
      <c r="A628" s="4" t="s">
        <v>4648</v>
      </c>
      <c r="B628" s="7" t="s">
        <v>701</v>
      </c>
      <c r="C628" s="7" t="s">
        <v>3230</v>
      </c>
      <c r="D628" s="5">
        <v>1</v>
      </c>
      <c r="E628" s="7" t="str">
        <f>_xlfn.XLOOKUP(B628,Customers!A628:A1627,Customers!B628:B1627,"Customer Not Found",0)</f>
        <v>Customer Not Found</v>
      </c>
      <c r="F628" s="7" t="str">
        <f>_xlfn.XLOOKUP(Orders!B628,Customers!A628:A1627,Customers!C628:C1627,"Country not Found",0)</f>
        <v>Country not Found</v>
      </c>
      <c r="G628" s="7" t="str">
        <f>_xlfn.XLOOKUP(C628,Products!A628:A1127,Products!B628:B1127,"Product Missing",0)</f>
        <v>Product Missing</v>
      </c>
      <c r="H628" s="7" t="str">
        <f>_xlfn.XLOOKUP(C628,Products!A628:A1127,Products!C628:C1127,"Category Missing",0)</f>
        <v>Category Missing</v>
      </c>
      <c r="I628" s="11" t="str">
        <f>_xlfn.XLOOKUP(Orders!C628,Products!A628:A1127,Products!D628:D1127,"Price Missing",0)</f>
        <v>Price Missing</v>
      </c>
      <c r="J628" s="19">
        <f t="shared" si="9"/>
        <v>0</v>
      </c>
    </row>
    <row r="629" spans="1:10" x14ac:dyDescent="0.35">
      <c r="A629" s="4" t="s">
        <v>4649</v>
      </c>
      <c r="B629" s="7" t="s">
        <v>2264</v>
      </c>
      <c r="C629" s="7" t="s">
        <v>3872</v>
      </c>
      <c r="D629" s="5">
        <v>2</v>
      </c>
      <c r="E629" s="7" t="str">
        <f>_xlfn.XLOOKUP(B629,Customers!A629:A1628,Customers!B629:B1628,"Customer Not Found",0)</f>
        <v>Customer_752</v>
      </c>
      <c r="F629" s="7" t="str">
        <f>_xlfn.XLOOKUP(Orders!B629,Customers!A629:A1628,Customers!C629:C1628,"Country not Found",0)</f>
        <v>Ghana</v>
      </c>
      <c r="G629" s="7" t="str">
        <f>_xlfn.XLOOKUP(C629,Products!A629:A1128,Products!B629:B1128,"Product Missing",0)</f>
        <v>Product Missing</v>
      </c>
      <c r="H629" s="7" t="str">
        <f>_xlfn.XLOOKUP(C629,Products!A629:A1128,Products!C629:C1128,"Category Missing",0)</f>
        <v>Category Missing</v>
      </c>
      <c r="I629" s="11" t="str">
        <f>_xlfn.XLOOKUP(Orders!C629,Products!A629:A1128,Products!D629:D1128,"Price Missing",0)</f>
        <v>Price Missing</v>
      </c>
      <c r="J629" s="19">
        <f t="shared" si="9"/>
        <v>0</v>
      </c>
    </row>
    <row r="630" spans="1:10" x14ac:dyDescent="0.35">
      <c r="A630" s="4" t="s">
        <v>4650</v>
      </c>
      <c r="B630" s="7" t="s">
        <v>329</v>
      </c>
      <c r="C630" s="7" t="s">
        <v>3276</v>
      </c>
      <c r="D630" s="5">
        <v>2</v>
      </c>
      <c r="E630" s="7" t="str">
        <f>_xlfn.XLOOKUP(B630,Customers!A630:A1629,Customers!B630:B1629,"Customer Not Found",0)</f>
        <v>Customer Not Found</v>
      </c>
      <c r="F630" s="7" t="str">
        <f>_xlfn.XLOOKUP(Orders!B630,Customers!A630:A1629,Customers!C630:C1629,"Country not Found",0)</f>
        <v>Country not Found</v>
      </c>
      <c r="G630" s="7" t="str">
        <f>_xlfn.XLOOKUP(C630,Products!A630:A1129,Products!B630:B1129,"Product Missing",0)</f>
        <v>Product Missing</v>
      </c>
      <c r="H630" s="7" t="str">
        <f>_xlfn.XLOOKUP(C630,Products!A630:A1129,Products!C630:C1129,"Category Missing",0)</f>
        <v>Category Missing</v>
      </c>
      <c r="I630" s="11" t="str">
        <f>_xlfn.XLOOKUP(Orders!C630,Products!A630:A1129,Products!D630:D1129,"Price Missing",0)</f>
        <v>Price Missing</v>
      </c>
      <c r="J630" s="19">
        <f t="shared" si="9"/>
        <v>0</v>
      </c>
    </row>
    <row r="631" spans="1:10" x14ac:dyDescent="0.35">
      <c r="A631" s="4" t="s">
        <v>4651</v>
      </c>
      <c r="B631" s="7" t="s">
        <v>1046</v>
      </c>
      <c r="C631" s="7" t="s">
        <v>3542</v>
      </c>
      <c r="D631" s="5">
        <v>4</v>
      </c>
      <c r="E631" s="7" t="str">
        <f>_xlfn.XLOOKUP(B631,Customers!A631:A1630,Customers!B631:B1630,"Customer Not Found",0)</f>
        <v>Customer Not Found</v>
      </c>
      <c r="F631" s="7" t="str">
        <f>_xlfn.XLOOKUP(Orders!B631,Customers!A631:A1630,Customers!C631:C1630,"Country not Found",0)</f>
        <v>Country not Found</v>
      </c>
      <c r="G631" s="7" t="str">
        <f>_xlfn.XLOOKUP(C631,Products!A631:A1130,Products!B631:B1130,"Product Missing",0)</f>
        <v>Product Missing</v>
      </c>
      <c r="H631" s="7" t="str">
        <f>_xlfn.XLOOKUP(C631,Products!A631:A1130,Products!C631:C1130,"Category Missing",0)</f>
        <v>Category Missing</v>
      </c>
      <c r="I631" s="11" t="str">
        <f>_xlfn.XLOOKUP(Orders!C631,Products!A631:A1130,Products!D631:D1130,"Price Missing",0)</f>
        <v>Price Missing</v>
      </c>
      <c r="J631" s="19">
        <f t="shared" si="9"/>
        <v>0</v>
      </c>
    </row>
    <row r="632" spans="1:10" x14ac:dyDescent="0.35">
      <c r="A632" s="4" t="s">
        <v>4652</v>
      </c>
      <c r="B632" s="7" t="s">
        <v>776</v>
      </c>
      <c r="C632" s="7" t="s">
        <v>3828</v>
      </c>
      <c r="D632" s="5">
        <v>4</v>
      </c>
      <c r="E632" s="7" t="str">
        <f>_xlfn.XLOOKUP(B632,Customers!A632:A1631,Customers!B632:B1631,"Customer Not Found",0)</f>
        <v>Customer Not Found</v>
      </c>
      <c r="F632" s="7" t="str">
        <f>_xlfn.XLOOKUP(Orders!B632,Customers!A632:A1631,Customers!C632:C1631,"Country not Found",0)</f>
        <v>Country not Found</v>
      </c>
      <c r="G632" s="7" t="str">
        <f>_xlfn.XLOOKUP(C632,Products!A632:A1131,Products!B632:B1131,"Product Missing",0)</f>
        <v>Product Missing</v>
      </c>
      <c r="H632" s="7" t="str">
        <f>_xlfn.XLOOKUP(C632,Products!A632:A1131,Products!C632:C1131,"Category Missing",0)</f>
        <v>Category Missing</v>
      </c>
      <c r="I632" s="11" t="str">
        <f>_xlfn.XLOOKUP(Orders!C632,Products!A632:A1131,Products!D632:D1131,"Price Missing",0)</f>
        <v>Price Missing</v>
      </c>
      <c r="J632" s="19">
        <f t="shared" si="9"/>
        <v>0</v>
      </c>
    </row>
    <row r="633" spans="1:10" x14ac:dyDescent="0.35">
      <c r="A633" s="4" t="s">
        <v>4653</v>
      </c>
      <c r="B633" s="7" t="s">
        <v>2933</v>
      </c>
      <c r="C633" s="7" t="s">
        <v>3126</v>
      </c>
      <c r="D633" s="5">
        <v>7</v>
      </c>
      <c r="E633" s="7" t="str">
        <f>_xlfn.XLOOKUP(B633,Customers!A633:A1632,Customers!B633:B1632,"Customer Not Found",0)</f>
        <v>Customer_975</v>
      </c>
      <c r="F633" s="7" t="str">
        <f>_xlfn.XLOOKUP(Orders!B633,Customers!A633:A1632,Customers!C633:C1632,"Country not Found",0)</f>
        <v>Kenya</v>
      </c>
      <c r="G633" s="7" t="str">
        <f>_xlfn.XLOOKUP(C633,Products!A633:A1132,Products!B633:B1132,"Product Missing",0)</f>
        <v>Product Missing</v>
      </c>
      <c r="H633" s="7" t="str">
        <f>_xlfn.XLOOKUP(C633,Products!A633:A1132,Products!C633:C1132,"Category Missing",0)</f>
        <v>Category Missing</v>
      </c>
      <c r="I633" s="11" t="str">
        <f>_xlfn.XLOOKUP(Orders!C633,Products!A633:A1132,Products!D633:D1132,"Price Missing",0)</f>
        <v>Price Missing</v>
      </c>
      <c r="J633" s="19">
        <f t="shared" si="9"/>
        <v>0</v>
      </c>
    </row>
    <row r="634" spans="1:10" x14ac:dyDescent="0.35">
      <c r="A634" s="4" t="s">
        <v>4654</v>
      </c>
      <c r="B634" s="7" t="s">
        <v>2705</v>
      </c>
      <c r="C634" s="7" t="s">
        <v>3716</v>
      </c>
      <c r="D634" s="5">
        <v>9</v>
      </c>
      <c r="E634" s="7" t="str">
        <f>_xlfn.XLOOKUP(B634,Customers!A634:A1633,Customers!B634:B1633,"Customer Not Found",0)</f>
        <v>Customer_899</v>
      </c>
      <c r="F634" s="7" t="str">
        <f>_xlfn.XLOOKUP(Orders!B634,Customers!A634:A1633,Customers!C634:C1633,"Country not Found",0)</f>
        <v>UK</v>
      </c>
      <c r="G634" s="7" t="str">
        <f>_xlfn.XLOOKUP(C634,Products!A634:A1133,Products!B634:B1133,"Product Missing",0)</f>
        <v>Product Missing</v>
      </c>
      <c r="H634" s="7" t="str">
        <f>_xlfn.XLOOKUP(C634,Products!A634:A1133,Products!C634:C1133,"Category Missing",0)</f>
        <v>Category Missing</v>
      </c>
      <c r="I634" s="11" t="str">
        <f>_xlfn.XLOOKUP(Orders!C634,Products!A634:A1133,Products!D634:D1133,"Price Missing",0)</f>
        <v>Price Missing</v>
      </c>
      <c r="J634" s="19">
        <f t="shared" si="9"/>
        <v>0</v>
      </c>
    </row>
    <row r="635" spans="1:10" x14ac:dyDescent="0.35">
      <c r="A635" s="4" t="s">
        <v>4655</v>
      </c>
      <c r="B635" s="7" t="s">
        <v>2354</v>
      </c>
      <c r="C635" s="7" t="s">
        <v>3122</v>
      </c>
      <c r="D635" s="5">
        <v>3</v>
      </c>
      <c r="E635" s="7" t="str">
        <f>_xlfn.XLOOKUP(B635,Customers!A635:A1634,Customers!B635:B1634,"Customer Not Found",0)</f>
        <v>Customer_782</v>
      </c>
      <c r="F635" s="7" t="str">
        <f>_xlfn.XLOOKUP(Orders!B635,Customers!A635:A1634,Customers!C635:C1634,"Country not Found",0)</f>
        <v>USA</v>
      </c>
      <c r="G635" s="7" t="str">
        <f>_xlfn.XLOOKUP(C635,Products!A635:A1134,Products!B635:B1134,"Product Missing",0)</f>
        <v>Product Missing</v>
      </c>
      <c r="H635" s="7" t="str">
        <f>_xlfn.XLOOKUP(C635,Products!A635:A1134,Products!C635:C1134,"Category Missing",0)</f>
        <v>Category Missing</v>
      </c>
      <c r="I635" s="11" t="str">
        <f>_xlfn.XLOOKUP(Orders!C635,Products!A635:A1134,Products!D635:D1134,"Price Missing",0)</f>
        <v>Price Missing</v>
      </c>
      <c r="J635" s="19">
        <f t="shared" si="9"/>
        <v>0</v>
      </c>
    </row>
    <row r="636" spans="1:10" x14ac:dyDescent="0.35">
      <c r="A636" s="4" t="s">
        <v>4656</v>
      </c>
      <c r="B636" s="7" t="s">
        <v>1784</v>
      </c>
      <c r="C636" s="7" t="s">
        <v>3860</v>
      </c>
      <c r="D636" s="5">
        <v>3</v>
      </c>
      <c r="E636" s="7" t="str">
        <f>_xlfn.XLOOKUP(B636,Customers!A636:A1635,Customers!B636:B1635,"Customer Not Found",0)</f>
        <v>Customer Not Found</v>
      </c>
      <c r="F636" s="7" t="str">
        <f>_xlfn.XLOOKUP(Orders!B636,Customers!A636:A1635,Customers!C636:C1635,"Country not Found",0)</f>
        <v>Country not Found</v>
      </c>
      <c r="G636" s="7" t="str">
        <f>_xlfn.XLOOKUP(C636,Products!A636:A1135,Products!B636:B1135,"Product Missing",0)</f>
        <v>Product Missing</v>
      </c>
      <c r="H636" s="7" t="str">
        <f>_xlfn.XLOOKUP(C636,Products!A636:A1135,Products!C636:C1135,"Category Missing",0)</f>
        <v>Category Missing</v>
      </c>
      <c r="I636" s="11" t="str">
        <f>_xlfn.XLOOKUP(Orders!C636,Products!A636:A1135,Products!D636:D1135,"Price Missing",0)</f>
        <v>Price Missing</v>
      </c>
      <c r="J636" s="19">
        <f t="shared" si="9"/>
        <v>0</v>
      </c>
    </row>
    <row r="637" spans="1:10" x14ac:dyDescent="0.35">
      <c r="A637" s="4" t="s">
        <v>4657</v>
      </c>
      <c r="B637" s="7" t="s">
        <v>2279</v>
      </c>
      <c r="C637" s="7" t="s">
        <v>3984</v>
      </c>
      <c r="D637" s="5">
        <v>9</v>
      </c>
      <c r="E637" s="7" t="str">
        <f>_xlfn.XLOOKUP(B637,Customers!A637:A1636,Customers!B637:B1636,"Customer Not Found",0)</f>
        <v>Customer_757</v>
      </c>
      <c r="F637" s="7" t="str">
        <f>_xlfn.XLOOKUP(Orders!B637,Customers!A637:A1636,Customers!C637:C1636,"Country not Found",0)</f>
        <v>South Africa</v>
      </c>
      <c r="G637" s="7" t="str">
        <f>_xlfn.XLOOKUP(C637,Products!A637:A1136,Products!B637:B1136,"Product Missing",0)</f>
        <v>Product Missing</v>
      </c>
      <c r="H637" s="7" t="str">
        <f>_xlfn.XLOOKUP(C637,Products!A637:A1136,Products!C637:C1136,"Category Missing",0)</f>
        <v>Category Missing</v>
      </c>
      <c r="I637" s="11" t="str">
        <f>_xlfn.XLOOKUP(Orders!C637,Products!A637:A1136,Products!D637:D1136,"Price Missing",0)</f>
        <v>Price Missing</v>
      </c>
      <c r="J637" s="19">
        <f t="shared" si="9"/>
        <v>0</v>
      </c>
    </row>
    <row r="638" spans="1:10" x14ac:dyDescent="0.35">
      <c r="A638" s="4" t="s">
        <v>4658</v>
      </c>
      <c r="B638" s="7" t="s">
        <v>749</v>
      </c>
      <c r="C638" s="7" t="s">
        <v>3418</v>
      </c>
      <c r="D638" s="5">
        <v>3</v>
      </c>
      <c r="E638" s="7" t="str">
        <f>_xlfn.XLOOKUP(B638,Customers!A638:A1637,Customers!B638:B1637,"Customer Not Found",0)</f>
        <v>Customer Not Found</v>
      </c>
      <c r="F638" s="7" t="str">
        <f>_xlfn.XLOOKUP(Orders!B638,Customers!A638:A1637,Customers!C638:C1637,"Country not Found",0)</f>
        <v>Country not Found</v>
      </c>
      <c r="G638" s="7" t="str">
        <f>_xlfn.XLOOKUP(C638,Products!A638:A1137,Products!B638:B1137,"Product Missing",0)</f>
        <v>Product Missing</v>
      </c>
      <c r="H638" s="7" t="str">
        <f>_xlfn.XLOOKUP(C638,Products!A638:A1137,Products!C638:C1137,"Category Missing",0)</f>
        <v>Category Missing</v>
      </c>
      <c r="I638" s="11" t="str">
        <f>_xlfn.XLOOKUP(Orders!C638,Products!A638:A1137,Products!D638:D1137,"Price Missing",0)</f>
        <v>Price Missing</v>
      </c>
      <c r="J638" s="19">
        <f t="shared" si="9"/>
        <v>0</v>
      </c>
    </row>
    <row r="639" spans="1:10" x14ac:dyDescent="0.35">
      <c r="A639" s="4" t="s">
        <v>4659</v>
      </c>
      <c r="B639" s="7" t="s">
        <v>218</v>
      </c>
      <c r="C639" s="7" t="s">
        <v>3638</v>
      </c>
      <c r="D639" s="5">
        <v>9</v>
      </c>
      <c r="E639" s="7" t="str">
        <f>_xlfn.XLOOKUP(B639,Customers!A639:A1638,Customers!B639:B1638,"Customer Not Found",0)</f>
        <v>Customer Not Found</v>
      </c>
      <c r="F639" s="7" t="str">
        <f>_xlfn.XLOOKUP(Orders!B639,Customers!A639:A1638,Customers!C639:C1638,"Country not Found",0)</f>
        <v>Country not Found</v>
      </c>
      <c r="G639" s="7" t="str">
        <f>_xlfn.XLOOKUP(C639,Products!A639:A1138,Products!B639:B1138,"Product Missing",0)</f>
        <v>Product Missing</v>
      </c>
      <c r="H639" s="7" t="str">
        <f>_xlfn.XLOOKUP(C639,Products!A639:A1138,Products!C639:C1138,"Category Missing",0)</f>
        <v>Category Missing</v>
      </c>
      <c r="I639" s="11" t="str">
        <f>_xlfn.XLOOKUP(Orders!C639,Products!A639:A1138,Products!D639:D1138,"Price Missing",0)</f>
        <v>Price Missing</v>
      </c>
      <c r="J639" s="19">
        <f t="shared" si="9"/>
        <v>0</v>
      </c>
    </row>
    <row r="640" spans="1:10" x14ac:dyDescent="0.35">
      <c r="A640" s="4" t="s">
        <v>4660</v>
      </c>
      <c r="B640" s="7" t="s">
        <v>491</v>
      </c>
      <c r="C640" s="7" t="s">
        <v>3750</v>
      </c>
      <c r="D640" s="5">
        <v>8</v>
      </c>
      <c r="E640" s="7" t="str">
        <f>_xlfn.XLOOKUP(B640,Customers!A640:A1639,Customers!B640:B1639,"Customer Not Found",0)</f>
        <v>Customer Not Found</v>
      </c>
      <c r="F640" s="7" t="str">
        <f>_xlfn.XLOOKUP(Orders!B640,Customers!A640:A1639,Customers!C640:C1639,"Country not Found",0)</f>
        <v>Country not Found</v>
      </c>
      <c r="G640" s="7" t="str">
        <f>_xlfn.XLOOKUP(C640,Products!A640:A1139,Products!B640:B1139,"Product Missing",0)</f>
        <v>Product Missing</v>
      </c>
      <c r="H640" s="7" t="str">
        <f>_xlfn.XLOOKUP(C640,Products!A640:A1139,Products!C640:C1139,"Category Missing",0)</f>
        <v>Category Missing</v>
      </c>
      <c r="I640" s="11" t="str">
        <f>_xlfn.XLOOKUP(Orders!C640,Products!A640:A1139,Products!D640:D1139,"Price Missing",0)</f>
        <v>Price Missing</v>
      </c>
      <c r="J640" s="19">
        <f t="shared" si="9"/>
        <v>0</v>
      </c>
    </row>
    <row r="641" spans="1:10" x14ac:dyDescent="0.35">
      <c r="A641" s="4" t="s">
        <v>4661</v>
      </c>
      <c r="B641" s="7" t="s">
        <v>2372</v>
      </c>
      <c r="C641" s="7" t="s">
        <v>3318</v>
      </c>
      <c r="D641" s="5">
        <v>9</v>
      </c>
      <c r="E641" s="7" t="str">
        <f>_xlfn.XLOOKUP(B641,Customers!A641:A1640,Customers!B641:B1640,"Customer Not Found",0)</f>
        <v>Customer_788</v>
      </c>
      <c r="F641" s="7" t="str">
        <f>_xlfn.XLOOKUP(Orders!B641,Customers!A641:A1640,Customers!C641:C1640,"Country not Found",0)</f>
        <v>USA</v>
      </c>
      <c r="G641" s="7" t="str">
        <f>_xlfn.XLOOKUP(C641,Products!A641:A1140,Products!B641:B1140,"Product Missing",0)</f>
        <v>Product Missing</v>
      </c>
      <c r="H641" s="7" t="str">
        <f>_xlfn.XLOOKUP(C641,Products!A641:A1140,Products!C641:C1140,"Category Missing",0)</f>
        <v>Category Missing</v>
      </c>
      <c r="I641" s="11" t="str">
        <f>_xlfn.XLOOKUP(Orders!C641,Products!A641:A1140,Products!D641:D1140,"Price Missing",0)</f>
        <v>Price Missing</v>
      </c>
      <c r="J641" s="19">
        <f t="shared" si="9"/>
        <v>0</v>
      </c>
    </row>
    <row r="642" spans="1:10" x14ac:dyDescent="0.35">
      <c r="A642" s="4" t="s">
        <v>4662</v>
      </c>
      <c r="B642" s="7" t="s">
        <v>542</v>
      </c>
      <c r="C642" s="7" t="s">
        <v>3880</v>
      </c>
      <c r="D642" s="5">
        <v>3</v>
      </c>
      <c r="E642" s="7" t="str">
        <f>_xlfn.XLOOKUP(B642,Customers!A642:A1641,Customers!B642:B1641,"Customer Not Found",0)</f>
        <v>Customer Not Found</v>
      </c>
      <c r="F642" s="7" t="str">
        <f>_xlfn.XLOOKUP(Orders!B642,Customers!A642:A1641,Customers!C642:C1641,"Country not Found",0)</f>
        <v>Country not Found</v>
      </c>
      <c r="G642" s="7" t="str">
        <f>_xlfn.XLOOKUP(C642,Products!A642:A1141,Products!B642:B1141,"Product Missing",0)</f>
        <v>Product Missing</v>
      </c>
      <c r="H642" s="7" t="str">
        <f>_xlfn.XLOOKUP(C642,Products!A642:A1141,Products!C642:C1141,"Category Missing",0)</f>
        <v>Category Missing</v>
      </c>
      <c r="I642" s="11" t="str">
        <f>_xlfn.XLOOKUP(Orders!C642,Products!A642:A1141,Products!D642:D1141,"Price Missing",0)</f>
        <v>Price Missing</v>
      </c>
      <c r="J642" s="19">
        <f t="shared" si="9"/>
        <v>0</v>
      </c>
    </row>
    <row r="643" spans="1:10" x14ac:dyDescent="0.35">
      <c r="A643" s="4" t="s">
        <v>4663</v>
      </c>
      <c r="B643" s="7" t="s">
        <v>1343</v>
      </c>
      <c r="C643" s="7" t="s">
        <v>3934</v>
      </c>
      <c r="D643" s="5">
        <v>1</v>
      </c>
      <c r="E643" s="7" t="str">
        <f>_xlfn.XLOOKUP(B643,Customers!A643:A1642,Customers!B643:B1642,"Customer Not Found",0)</f>
        <v>Customer Not Found</v>
      </c>
      <c r="F643" s="7" t="str">
        <f>_xlfn.XLOOKUP(Orders!B643,Customers!A643:A1642,Customers!C643:C1642,"Country not Found",0)</f>
        <v>Country not Found</v>
      </c>
      <c r="G643" s="7" t="str">
        <f>_xlfn.XLOOKUP(C643,Products!A643:A1142,Products!B643:B1142,"Product Missing",0)</f>
        <v>Product Missing</v>
      </c>
      <c r="H643" s="7" t="str">
        <f>_xlfn.XLOOKUP(C643,Products!A643:A1142,Products!C643:C1142,"Category Missing",0)</f>
        <v>Category Missing</v>
      </c>
      <c r="I643" s="11" t="str">
        <f>_xlfn.XLOOKUP(Orders!C643,Products!A643:A1142,Products!D643:D1142,"Price Missing",0)</f>
        <v>Price Missing</v>
      </c>
      <c r="J643" s="19">
        <f t="shared" ref="J643:J706" si="10">IFERROR(I643*D643,0)</f>
        <v>0</v>
      </c>
    </row>
    <row r="644" spans="1:10" x14ac:dyDescent="0.35">
      <c r="A644" s="4" t="s">
        <v>4664</v>
      </c>
      <c r="B644" s="7" t="s">
        <v>503</v>
      </c>
      <c r="C644" s="7" t="s">
        <v>3480</v>
      </c>
      <c r="D644" s="5">
        <v>10</v>
      </c>
      <c r="E644" s="7" t="str">
        <f>_xlfn.XLOOKUP(B644,Customers!A644:A1643,Customers!B644:B1643,"Customer Not Found",0)</f>
        <v>Customer Not Found</v>
      </c>
      <c r="F644" s="7" t="str">
        <f>_xlfn.XLOOKUP(Orders!B644,Customers!A644:A1643,Customers!C644:C1643,"Country not Found",0)</f>
        <v>Country not Found</v>
      </c>
      <c r="G644" s="7" t="str">
        <f>_xlfn.XLOOKUP(C644,Products!A644:A1143,Products!B644:B1143,"Product Missing",0)</f>
        <v>Product Missing</v>
      </c>
      <c r="H644" s="7" t="str">
        <f>_xlfn.XLOOKUP(C644,Products!A644:A1143,Products!C644:C1143,"Category Missing",0)</f>
        <v>Category Missing</v>
      </c>
      <c r="I644" s="11" t="str">
        <f>_xlfn.XLOOKUP(Orders!C644,Products!A644:A1143,Products!D644:D1143,"Price Missing",0)</f>
        <v>Price Missing</v>
      </c>
      <c r="J644" s="19">
        <f t="shared" si="10"/>
        <v>0</v>
      </c>
    </row>
    <row r="645" spans="1:10" x14ac:dyDescent="0.35">
      <c r="A645" s="4" t="s">
        <v>4665</v>
      </c>
      <c r="B645" s="7" t="s">
        <v>2141</v>
      </c>
      <c r="C645" s="7" t="s">
        <v>3546</v>
      </c>
      <c r="D645" s="5">
        <v>5</v>
      </c>
      <c r="E645" s="7" t="str">
        <f>_xlfn.XLOOKUP(B645,Customers!A645:A1644,Customers!B645:B1644,"Customer Not Found",0)</f>
        <v>Customer_711</v>
      </c>
      <c r="F645" s="7" t="str">
        <f>_xlfn.XLOOKUP(Orders!B645,Customers!A645:A1644,Customers!C645:C1644,"Country not Found",0)</f>
        <v>Kenya</v>
      </c>
      <c r="G645" s="7" t="str">
        <f>_xlfn.XLOOKUP(C645,Products!A645:A1144,Products!B645:B1144,"Product Missing",0)</f>
        <v>Product Missing</v>
      </c>
      <c r="H645" s="7" t="str">
        <f>_xlfn.XLOOKUP(C645,Products!A645:A1144,Products!C645:C1144,"Category Missing",0)</f>
        <v>Category Missing</v>
      </c>
      <c r="I645" s="11" t="str">
        <f>_xlfn.XLOOKUP(Orders!C645,Products!A645:A1144,Products!D645:D1144,"Price Missing",0)</f>
        <v>Price Missing</v>
      </c>
      <c r="J645" s="19">
        <f t="shared" si="10"/>
        <v>0</v>
      </c>
    </row>
    <row r="646" spans="1:10" x14ac:dyDescent="0.35">
      <c r="A646" s="4" t="s">
        <v>4666</v>
      </c>
      <c r="B646" s="7" t="s">
        <v>2756</v>
      </c>
      <c r="C646" s="7" t="s">
        <v>3946</v>
      </c>
      <c r="D646" s="5">
        <v>6</v>
      </c>
      <c r="E646" s="7" t="str">
        <f>_xlfn.XLOOKUP(B646,Customers!A646:A1645,Customers!B646:B1645,"Customer Not Found",0)</f>
        <v>Customer_916</v>
      </c>
      <c r="F646" s="7" t="str">
        <f>_xlfn.XLOOKUP(Orders!B646,Customers!A646:A1645,Customers!C646:C1645,"Country not Found",0)</f>
        <v>Nigeria</v>
      </c>
      <c r="G646" s="7" t="str">
        <f>_xlfn.XLOOKUP(C646,Products!A646:A1145,Products!B646:B1145,"Product Missing",0)</f>
        <v>Product Missing</v>
      </c>
      <c r="H646" s="7" t="str">
        <f>_xlfn.XLOOKUP(C646,Products!A646:A1145,Products!C646:C1145,"Category Missing",0)</f>
        <v>Category Missing</v>
      </c>
      <c r="I646" s="11" t="str">
        <f>_xlfn.XLOOKUP(Orders!C646,Products!A646:A1145,Products!D646:D1145,"Price Missing",0)</f>
        <v>Price Missing</v>
      </c>
      <c r="J646" s="19">
        <f t="shared" si="10"/>
        <v>0</v>
      </c>
    </row>
    <row r="647" spans="1:10" x14ac:dyDescent="0.35">
      <c r="A647" s="4" t="s">
        <v>4667</v>
      </c>
      <c r="B647" s="7" t="s">
        <v>1337</v>
      </c>
      <c r="C647" s="7" t="s">
        <v>3922</v>
      </c>
      <c r="D647" s="5">
        <v>6</v>
      </c>
      <c r="E647" s="7" t="str">
        <f>_xlfn.XLOOKUP(B647,Customers!A647:A1646,Customers!B647:B1646,"Customer Not Found",0)</f>
        <v>Customer Not Found</v>
      </c>
      <c r="F647" s="7" t="str">
        <f>_xlfn.XLOOKUP(Orders!B647,Customers!A647:A1646,Customers!C647:C1646,"Country not Found",0)</f>
        <v>Country not Found</v>
      </c>
      <c r="G647" s="7" t="str">
        <f>_xlfn.XLOOKUP(C647,Products!A647:A1146,Products!B647:B1146,"Product Missing",0)</f>
        <v>Product Missing</v>
      </c>
      <c r="H647" s="7" t="str">
        <f>_xlfn.XLOOKUP(C647,Products!A647:A1146,Products!C647:C1146,"Category Missing",0)</f>
        <v>Category Missing</v>
      </c>
      <c r="I647" s="11" t="str">
        <f>_xlfn.XLOOKUP(Orders!C647,Products!A647:A1146,Products!D647:D1146,"Price Missing",0)</f>
        <v>Price Missing</v>
      </c>
      <c r="J647" s="19">
        <f t="shared" si="10"/>
        <v>0</v>
      </c>
    </row>
    <row r="648" spans="1:10" x14ac:dyDescent="0.35">
      <c r="A648" s="4" t="s">
        <v>4668</v>
      </c>
      <c r="B648" s="7" t="s">
        <v>1616</v>
      </c>
      <c r="C648" s="7" t="s">
        <v>3182</v>
      </c>
      <c r="D648" s="5">
        <v>7</v>
      </c>
      <c r="E648" s="7" t="str">
        <f>_xlfn.XLOOKUP(B648,Customers!A648:A1647,Customers!B648:B1647,"Customer Not Found",0)</f>
        <v>Customer Not Found</v>
      </c>
      <c r="F648" s="7" t="str">
        <f>_xlfn.XLOOKUP(Orders!B648,Customers!A648:A1647,Customers!C648:C1647,"Country not Found",0)</f>
        <v>Country not Found</v>
      </c>
      <c r="G648" s="7" t="str">
        <f>_xlfn.XLOOKUP(C648,Products!A648:A1147,Products!B648:B1147,"Product Missing",0)</f>
        <v>Product Missing</v>
      </c>
      <c r="H648" s="7" t="str">
        <f>_xlfn.XLOOKUP(C648,Products!A648:A1147,Products!C648:C1147,"Category Missing",0)</f>
        <v>Category Missing</v>
      </c>
      <c r="I648" s="11" t="str">
        <f>_xlfn.XLOOKUP(Orders!C648,Products!A648:A1147,Products!D648:D1147,"Price Missing",0)</f>
        <v>Price Missing</v>
      </c>
      <c r="J648" s="19">
        <f t="shared" si="10"/>
        <v>0</v>
      </c>
    </row>
    <row r="649" spans="1:10" x14ac:dyDescent="0.35">
      <c r="A649" s="4" t="s">
        <v>4669</v>
      </c>
      <c r="B649" s="7" t="s">
        <v>1340</v>
      </c>
      <c r="C649" s="7" t="s">
        <v>3906</v>
      </c>
      <c r="D649" s="5">
        <v>9</v>
      </c>
      <c r="E649" s="7" t="str">
        <f>_xlfn.XLOOKUP(B649,Customers!A649:A1648,Customers!B649:B1648,"Customer Not Found",0)</f>
        <v>Customer Not Found</v>
      </c>
      <c r="F649" s="7" t="str">
        <f>_xlfn.XLOOKUP(Orders!B649,Customers!A649:A1648,Customers!C649:C1648,"Country not Found",0)</f>
        <v>Country not Found</v>
      </c>
      <c r="G649" s="7" t="str">
        <f>_xlfn.XLOOKUP(C649,Products!A649:A1148,Products!B649:B1148,"Product Missing",0)</f>
        <v>Product Missing</v>
      </c>
      <c r="H649" s="7" t="str">
        <f>_xlfn.XLOOKUP(C649,Products!A649:A1148,Products!C649:C1148,"Category Missing",0)</f>
        <v>Category Missing</v>
      </c>
      <c r="I649" s="11" t="str">
        <f>_xlfn.XLOOKUP(Orders!C649,Products!A649:A1148,Products!D649:D1148,"Price Missing",0)</f>
        <v>Price Missing</v>
      </c>
      <c r="J649" s="19">
        <f t="shared" si="10"/>
        <v>0</v>
      </c>
    </row>
    <row r="650" spans="1:10" x14ac:dyDescent="0.35">
      <c r="A650" s="4" t="s">
        <v>4670</v>
      </c>
      <c r="B650" s="7" t="s">
        <v>1373</v>
      </c>
      <c r="C650" s="7" t="s">
        <v>3628</v>
      </c>
      <c r="D650" s="5">
        <v>5</v>
      </c>
      <c r="E650" s="7" t="str">
        <f>_xlfn.XLOOKUP(B650,Customers!A650:A1649,Customers!B650:B1649,"Customer Not Found",0)</f>
        <v>Customer Not Found</v>
      </c>
      <c r="F650" s="7" t="str">
        <f>_xlfn.XLOOKUP(Orders!B650,Customers!A650:A1649,Customers!C650:C1649,"Country not Found",0)</f>
        <v>Country not Found</v>
      </c>
      <c r="G650" s="7" t="str">
        <f>_xlfn.XLOOKUP(C650,Products!A650:A1149,Products!B650:B1149,"Product Missing",0)</f>
        <v>Product Missing</v>
      </c>
      <c r="H650" s="7" t="str">
        <f>_xlfn.XLOOKUP(C650,Products!A650:A1149,Products!C650:C1149,"Category Missing",0)</f>
        <v>Category Missing</v>
      </c>
      <c r="I650" s="11" t="str">
        <f>_xlfn.XLOOKUP(Orders!C650,Products!A650:A1149,Products!D650:D1149,"Price Missing",0)</f>
        <v>Price Missing</v>
      </c>
      <c r="J650" s="19">
        <f t="shared" si="10"/>
        <v>0</v>
      </c>
    </row>
    <row r="651" spans="1:10" x14ac:dyDescent="0.35">
      <c r="A651" s="4" t="s">
        <v>4671</v>
      </c>
      <c r="B651" s="7" t="s">
        <v>1580</v>
      </c>
      <c r="C651" s="7" t="s">
        <v>3108</v>
      </c>
      <c r="D651" s="5">
        <v>2</v>
      </c>
      <c r="E651" s="7" t="str">
        <f>_xlfn.XLOOKUP(B651,Customers!A651:A1650,Customers!B651:B1650,"Customer Not Found",0)</f>
        <v>Customer Not Found</v>
      </c>
      <c r="F651" s="7" t="str">
        <f>_xlfn.XLOOKUP(Orders!B651,Customers!A651:A1650,Customers!C651:C1650,"Country not Found",0)</f>
        <v>Country not Found</v>
      </c>
      <c r="G651" s="7" t="str">
        <f>_xlfn.XLOOKUP(C651,Products!A651:A1150,Products!B651:B1150,"Product Missing",0)</f>
        <v>Product Missing</v>
      </c>
      <c r="H651" s="7" t="str">
        <f>_xlfn.XLOOKUP(C651,Products!A651:A1150,Products!C651:C1150,"Category Missing",0)</f>
        <v>Category Missing</v>
      </c>
      <c r="I651" s="11" t="str">
        <f>_xlfn.XLOOKUP(Orders!C651,Products!A651:A1150,Products!D651:D1150,"Price Missing",0)</f>
        <v>Price Missing</v>
      </c>
      <c r="J651" s="19">
        <f t="shared" si="10"/>
        <v>0</v>
      </c>
    </row>
    <row r="652" spans="1:10" x14ac:dyDescent="0.35">
      <c r="A652" s="4" t="s">
        <v>4672</v>
      </c>
      <c r="B652" s="7" t="s">
        <v>1529</v>
      </c>
      <c r="C652" s="7" t="s">
        <v>3804</v>
      </c>
      <c r="D652" s="5">
        <v>4</v>
      </c>
      <c r="E652" s="7" t="str">
        <f>_xlfn.XLOOKUP(B652,Customers!A652:A1651,Customers!B652:B1651,"Customer Not Found",0)</f>
        <v>Customer Not Found</v>
      </c>
      <c r="F652" s="7" t="str">
        <f>_xlfn.XLOOKUP(Orders!B652,Customers!A652:A1651,Customers!C652:C1651,"Country not Found",0)</f>
        <v>Country not Found</v>
      </c>
      <c r="G652" s="7" t="str">
        <f>_xlfn.XLOOKUP(C652,Products!A652:A1151,Products!B652:B1151,"Product Missing",0)</f>
        <v>Product Missing</v>
      </c>
      <c r="H652" s="7" t="str">
        <f>_xlfn.XLOOKUP(C652,Products!A652:A1151,Products!C652:C1151,"Category Missing",0)</f>
        <v>Category Missing</v>
      </c>
      <c r="I652" s="11" t="str">
        <f>_xlfn.XLOOKUP(Orders!C652,Products!A652:A1151,Products!D652:D1151,"Price Missing",0)</f>
        <v>Price Missing</v>
      </c>
      <c r="J652" s="19">
        <f t="shared" si="10"/>
        <v>0</v>
      </c>
    </row>
    <row r="653" spans="1:10" x14ac:dyDescent="0.35">
      <c r="A653" s="4" t="s">
        <v>4673</v>
      </c>
      <c r="B653" s="7" t="s">
        <v>452</v>
      </c>
      <c r="C653" s="7" t="s">
        <v>3370</v>
      </c>
      <c r="D653" s="5">
        <v>1</v>
      </c>
      <c r="E653" s="7" t="str">
        <f>_xlfn.XLOOKUP(B653,Customers!A653:A1652,Customers!B653:B1652,"Customer Not Found",0)</f>
        <v>Customer Not Found</v>
      </c>
      <c r="F653" s="7" t="str">
        <f>_xlfn.XLOOKUP(Orders!B653,Customers!A653:A1652,Customers!C653:C1652,"Country not Found",0)</f>
        <v>Country not Found</v>
      </c>
      <c r="G653" s="7" t="str">
        <f>_xlfn.XLOOKUP(C653,Products!A653:A1152,Products!B653:B1152,"Product Missing",0)</f>
        <v>Product Missing</v>
      </c>
      <c r="H653" s="7" t="str">
        <f>_xlfn.XLOOKUP(C653,Products!A653:A1152,Products!C653:C1152,"Category Missing",0)</f>
        <v>Category Missing</v>
      </c>
      <c r="I653" s="11" t="str">
        <f>_xlfn.XLOOKUP(Orders!C653,Products!A653:A1152,Products!D653:D1152,"Price Missing",0)</f>
        <v>Price Missing</v>
      </c>
      <c r="J653" s="19">
        <f t="shared" si="10"/>
        <v>0</v>
      </c>
    </row>
    <row r="654" spans="1:10" x14ac:dyDescent="0.35">
      <c r="A654" s="4" t="s">
        <v>4674</v>
      </c>
      <c r="B654" s="7" t="s">
        <v>2078</v>
      </c>
      <c r="C654" s="7" t="s">
        <v>3992</v>
      </c>
      <c r="D654" s="5">
        <v>1</v>
      </c>
      <c r="E654" s="7" t="str">
        <f>_xlfn.XLOOKUP(B654,Customers!A654:A1653,Customers!B654:B1653,"Customer Not Found",0)</f>
        <v>Customer_690</v>
      </c>
      <c r="F654" s="7" t="str">
        <f>_xlfn.XLOOKUP(Orders!B654,Customers!A654:A1653,Customers!C654:C1653,"Country not Found",0)</f>
        <v>Nigeria</v>
      </c>
      <c r="G654" s="7" t="str">
        <f>_xlfn.XLOOKUP(C654,Products!A654:A1153,Products!B654:B1153,"Product Missing",0)</f>
        <v>Product Missing</v>
      </c>
      <c r="H654" s="7" t="str">
        <f>_xlfn.XLOOKUP(C654,Products!A654:A1153,Products!C654:C1153,"Category Missing",0)</f>
        <v>Category Missing</v>
      </c>
      <c r="I654" s="11" t="str">
        <f>_xlfn.XLOOKUP(Orders!C654,Products!A654:A1153,Products!D654:D1153,"Price Missing",0)</f>
        <v>Price Missing</v>
      </c>
      <c r="J654" s="19">
        <f t="shared" si="10"/>
        <v>0</v>
      </c>
    </row>
    <row r="655" spans="1:10" x14ac:dyDescent="0.35">
      <c r="A655" s="4" t="s">
        <v>4675</v>
      </c>
      <c r="B655" s="7" t="s">
        <v>221</v>
      </c>
      <c r="C655" s="7" t="s">
        <v>3774</v>
      </c>
      <c r="D655" s="5">
        <v>7</v>
      </c>
      <c r="E655" s="7" t="str">
        <f>_xlfn.XLOOKUP(B655,Customers!A655:A1654,Customers!B655:B1654,"Customer Not Found",0)</f>
        <v>Customer Not Found</v>
      </c>
      <c r="F655" s="7" t="str">
        <f>_xlfn.XLOOKUP(Orders!B655,Customers!A655:A1654,Customers!C655:C1654,"Country not Found",0)</f>
        <v>Country not Found</v>
      </c>
      <c r="G655" s="7" t="str">
        <f>_xlfn.XLOOKUP(C655,Products!A655:A1154,Products!B655:B1154,"Product Missing",0)</f>
        <v>Product Missing</v>
      </c>
      <c r="H655" s="7" t="str">
        <f>_xlfn.XLOOKUP(C655,Products!A655:A1154,Products!C655:C1154,"Category Missing",0)</f>
        <v>Category Missing</v>
      </c>
      <c r="I655" s="11" t="str">
        <f>_xlfn.XLOOKUP(Orders!C655,Products!A655:A1154,Products!D655:D1154,"Price Missing",0)</f>
        <v>Price Missing</v>
      </c>
      <c r="J655" s="19">
        <f t="shared" si="10"/>
        <v>0</v>
      </c>
    </row>
    <row r="656" spans="1:10" x14ac:dyDescent="0.35">
      <c r="A656" s="4" t="s">
        <v>4676</v>
      </c>
      <c r="B656" s="7" t="s">
        <v>1628</v>
      </c>
      <c r="C656" s="7" t="s">
        <v>3628</v>
      </c>
      <c r="D656" s="5">
        <v>6</v>
      </c>
      <c r="E656" s="7" t="str">
        <f>_xlfn.XLOOKUP(B656,Customers!A656:A1655,Customers!B656:B1655,"Customer Not Found",0)</f>
        <v>Customer Not Found</v>
      </c>
      <c r="F656" s="7" t="str">
        <f>_xlfn.XLOOKUP(Orders!B656,Customers!A656:A1655,Customers!C656:C1655,"Country not Found",0)</f>
        <v>Country not Found</v>
      </c>
      <c r="G656" s="7" t="str">
        <f>_xlfn.XLOOKUP(C656,Products!A656:A1155,Products!B656:B1155,"Product Missing",0)</f>
        <v>Product Missing</v>
      </c>
      <c r="H656" s="7" t="str">
        <f>_xlfn.XLOOKUP(C656,Products!A656:A1155,Products!C656:C1155,"Category Missing",0)</f>
        <v>Category Missing</v>
      </c>
      <c r="I656" s="11" t="str">
        <f>_xlfn.XLOOKUP(Orders!C656,Products!A656:A1155,Products!D656:D1155,"Price Missing",0)</f>
        <v>Price Missing</v>
      </c>
      <c r="J656" s="19">
        <f t="shared" si="10"/>
        <v>0</v>
      </c>
    </row>
    <row r="657" spans="1:10" x14ac:dyDescent="0.35">
      <c r="A657" s="4" t="s">
        <v>4677</v>
      </c>
      <c r="B657" s="7" t="s">
        <v>770</v>
      </c>
      <c r="C657" s="7" t="s">
        <v>3634</v>
      </c>
      <c r="D657" s="5">
        <v>5</v>
      </c>
      <c r="E657" s="7" t="str">
        <f>_xlfn.XLOOKUP(B657,Customers!A657:A1656,Customers!B657:B1656,"Customer Not Found",0)</f>
        <v>Customer Not Found</v>
      </c>
      <c r="F657" s="7" t="str">
        <f>_xlfn.XLOOKUP(Orders!B657,Customers!A657:A1656,Customers!C657:C1656,"Country not Found",0)</f>
        <v>Country not Found</v>
      </c>
      <c r="G657" s="7" t="str">
        <f>_xlfn.XLOOKUP(C657,Products!A657:A1156,Products!B657:B1156,"Product Missing",0)</f>
        <v>Product Missing</v>
      </c>
      <c r="H657" s="7" t="str">
        <f>_xlfn.XLOOKUP(C657,Products!A657:A1156,Products!C657:C1156,"Category Missing",0)</f>
        <v>Category Missing</v>
      </c>
      <c r="I657" s="11" t="str">
        <f>_xlfn.XLOOKUP(Orders!C657,Products!A657:A1156,Products!D657:D1156,"Price Missing",0)</f>
        <v>Price Missing</v>
      </c>
      <c r="J657" s="19">
        <f t="shared" si="10"/>
        <v>0</v>
      </c>
    </row>
    <row r="658" spans="1:10" x14ac:dyDescent="0.35">
      <c r="A658" s="4" t="s">
        <v>4678</v>
      </c>
      <c r="B658" s="7" t="s">
        <v>2081</v>
      </c>
      <c r="C658" s="7" t="s">
        <v>3958</v>
      </c>
      <c r="D658" s="5">
        <v>10</v>
      </c>
      <c r="E658" s="7" t="str">
        <f>_xlfn.XLOOKUP(B658,Customers!A658:A1657,Customers!B658:B1657,"Customer Not Found",0)</f>
        <v>Customer_691</v>
      </c>
      <c r="F658" s="7" t="str">
        <f>_xlfn.XLOOKUP(Orders!B658,Customers!A658:A1657,Customers!C658:C1657,"Country not Found",0)</f>
        <v>Kenya</v>
      </c>
      <c r="G658" s="7" t="str">
        <f>_xlfn.XLOOKUP(C658,Products!A658:A1157,Products!B658:B1157,"Product Missing",0)</f>
        <v>Product Missing</v>
      </c>
      <c r="H658" s="7" t="str">
        <f>_xlfn.XLOOKUP(C658,Products!A658:A1157,Products!C658:C1157,"Category Missing",0)</f>
        <v>Category Missing</v>
      </c>
      <c r="I658" s="11" t="str">
        <f>_xlfn.XLOOKUP(Orders!C658,Products!A658:A1157,Products!D658:D1157,"Price Missing",0)</f>
        <v>Price Missing</v>
      </c>
      <c r="J658" s="19">
        <f t="shared" si="10"/>
        <v>0</v>
      </c>
    </row>
    <row r="659" spans="1:10" x14ac:dyDescent="0.35">
      <c r="A659" s="4" t="s">
        <v>4679</v>
      </c>
      <c r="B659" s="7" t="s">
        <v>1859</v>
      </c>
      <c r="C659" s="7" t="s">
        <v>3282</v>
      </c>
      <c r="D659" s="5">
        <v>7</v>
      </c>
      <c r="E659" s="7" t="str">
        <f>_xlfn.XLOOKUP(B659,Customers!A659:A1658,Customers!B659:B1658,"Customer Not Found",0)</f>
        <v>Customer Not Found</v>
      </c>
      <c r="F659" s="7" t="str">
        <f>_xlfn.XLOOKUP(Orders!B659,Customers!A659:A1658,Customers!C659:C1658,"Country not Found",0)</f>
        <v>Country not Found</v>
      </c>
      <c r="G659" s="7" t="str">
        <f>_xlfn.XLOOKUP(C659,Products!A659:A1158,Products!B659:B1158,"Product Missing",0)</f>
        <v>Product Missing</v>
      </c>
      <c r="H659" s="7" t="str">
        <f>_xlfn.XLOOKUP(C659,Products!A659:A1158,Products!C659:C1158,"Category Missing",0)</f>
        <v>Category Missing</v>
      </c>
      <c r="I659" s="11" t="str">
        <f>_xlfn.XLOOKUP(Orders!C659,Products!A659:A1158,Products!D659:D1158,"Price Missing",0)</f>
        <v>Price Missing</v>
      </c>
      <c r="J659" s="19">
        <f t="shared" si="10"/>
        <v>0</v>
      </c>
    </row>
    <row r="660" spans="1:10" x14ac:dyDescent="0.35">
      <c r="A660" s="4" t="s">
        <v>4680</v>
      </c>
      <c r="B660" s="7" t="s">
        <v>2876</v>
      </c>
      <c r="C660" s="7" t="s">
        <v>3268</v>
      </c>
      <c r="D660" s="5">
        <v>10</v>
      </c>
      <c r="E660" s="7" t="str">
        <f>_xlfn.XLOOKUP(B660,Customers!A660:A1659,Customers!B660:B1659,"Customer Not Found",0)</f>
        <v>Customer_956</v>
      </c>
      <c r="F660" s="7" t="str">
        <f>_xlfn.XLOOKUP(Orders!B660,Customers!A660:A1659,Customers!C660:C1659,"Country not Found",0)</f>
        <v>South Africa</v>
      </c>
      <c r="G660" s="7" t="str">
        <f>_xlfn.XLOOKUP(C660,Products!A660:A1159,Products!B660:B1159,"Product Missing",0)</f>
        <v>Product Missing</v>
      </c>
      <c r="H660" s="7" t="str">
        <f>_xlfn.XLOOKUP(C660,Products!A660:A1159,Products!C660:C1159,"Category Missing",0)</f>
        <v>Category Missing</v>
      </c>
      <c r="I660" s="11" t="str">
        <f>_xlfn.XLOOKUP(Orders!C660,Products!A660:A1159,Products!D660:D1159,"Price Missing",0)</f>
        <v>Price Missing</v>
      </c>
      <c r="J660" s="19">
        <f t="shared" si="10"/>
        <v>0</v>
      </c>
    </row>
    <row r="661" spans="1:10" x14ac:dyDescent="0.35">
      <c r="A661" s="4" t="s">
        <v>4681</v>
      </c>
      <c r="B661" s="7" t="s">
        <v>1991</v>
      </c>
      <c r="C661" s="7" t="s">
        <v>3822</v>
      </c>
      <c r="D661" s="5">
        <v>6</v>
      </c>
      <c r="E661" s="7" t="str">
        <f>_xlfn.XLOOKUP(B661,Customers!A661:A1660,Customers!B661:B1660,"Customer Not Found",0)</f>
        <v>Customer_661</v>
      </c>
      <c r="F661" s="7" t="str">
        <f>_xlfn.XLOOKUP(Orders!B661,Customers!A661:A1660,Customers!C661:C1660,"Country not Found",0)</f>
        <v>UK</v>
      </c>
      <c r="G661" s="7" t="str">
        <f>_xlfn.XLOOKUP(C661,Products!A661:A1160,Products!B661:B1160,"Product Missing",0)</f>
        <v>Product Missing</v>
      </c>
      <c r="H661" s="7" t="str">
        <f>_xlfn.XLOOKUP(C661,Products!A661:A1160,Products!C661:C1160,"Category Missing",0)</f>
        <v>Category Missing</v>
      </c>
      <c r="I661" s="11" t="str">
        <f>_xlfn.XLOOKUP(Orders!C661,Products!A661:A1160,Products!D661:D1160,"Price Missing",0)</f>
        <v>Price Missing</v>
      </c>
      <c r="J661" s="19">
        <f t="shared" si="10"/>
        <v>0</v>
      </c>
    </row>
    <row r="662" spans="1:10" x14ac:dyDescent="0.35">
      <c r="A662" s="4" t="s">
        <v>4682</v>
      </c>
      <c r="B662" s="7" t="s">
        <v>725</v>
      </c>
      <c r="C662" s="7" t="s">
        <v>3710</v>
      </c>
      <c r="D662" s="5">
        <v>7</v>
      </c>
      <c r="E662" s="7" t="str">
        <f>_xlfn.XLOOKUP(B662,Customers!A662:A1661,Customers!B662:B1661,"Customer Not Found",0)</f>
        <v>Customer Not Found</v>
      </c>
      <c r="F662" s="7" t="str">
        <f>_xlfn.XLOOKUP(Orders!B662,Customers!A662:A1661,Customers!C662:C1661,"Country not Found",0)</f>
        <v>Country not Found</v>
      </c>
      <c r="G662" s="7" t="str">
        <f>_xlfn.XLOOKUP(C662,Products!A662:A1161,Products!B662:B1161,"Product Missing",0)</f>
        <v>Product Missing</v>
      </c>
      <c r="H662" s="7" t="str">
        <f>_xlfn.XLOOKUP(C662,Products!A662:A1161,Products!C662:C1161,"Category Missing",0)</f>
        <v>Category Missing</v>
      </c>
      <c r="I662" s="11" t="str">
        <f>_xlfn.XLOOKUP(Orders!C662,Products!A662:A1161,Products!D662:D1161,"Price Missing",0)</f>
        <v>Price Missing</v>
      </c>
      <c r="J662" s="19">
        <f t="shared" si="10"/>
        <v>0</v>
      </c>
    </row>
    <row r="663" spans="1:10" x14ac:dyDescent="0.35">
      <c r="A663" s="4" t="s">
        <v>4683</v>
      </c>
      <c r="B663" s="7" t="s">
        <v>392</v>
      </c>
      <c r="C663" s="7" t="s">
        <v>3920</v>
      </c>
      <c r="D663" s="5">
        <v>7</v>
      </c>
      <c r="E663" s="7" t="str">
        <f>_xlfn.XLOOKUP(B663,Customers!A663:A1662,Customers!B663:B1662,"Customer Not Found",0)</f>
        <v>Customer Not Found</v>
      </c>
      <c r="F663" s="7" t="str">
        <f>_xlfn.XLOOKUP(Orders!B663,Customers!A663:A1662,Customers!C663:C1662,"Country not Found",0)</f>
        <v>Country not Found</v>
      </c>
      <c r="G663" s="7" t="str">
        <f>_xlfn.XLOOKUP(C663,Products!A663:A1162,Products!B663:B1162,"Product Missing",0)</f>
        <v>Product Missing</v>
      </c>
      <c r="H663" s="7" t="str">
        <f>_xlfn.XLOOKUP(C663,Products!A663:A1162,Products!C663:C1162,"Category Missing",0)</f>
        <v>Category Missing</v>
      </c>
      <c r="I663" s="11" t="str">
        <f>_xlfn.XLOOKUP(Orders!C663,Products!A663:A1162,Products!D663:D1162,"Price Missing",0)</f>
        <v>Price Missing</v>
      </c>
      <c r="J663" s="19">
        <f t="shared" si="10"/>
        <v>0</v>
      </c>
    </row>
    <row r="664" spans="1:10" x14ac:dyDescent="0.35">
      <c r="A664" s="4" t="s">
        <v>4684</v>
      </c>
      <c r="B664" s="7" t="s">
        <v>2282</v>
      </c>
      <c r="C664" s="7" t="s">
        <v>3652</v>
      </c>
      <c r="D664" s="5">
        <v>7</v>
      </c>
      <c r="E664" s="7" t="str">
        <f>_xlfn.XLOOKUP(B664,Customers!A664:A1663,Customers!B664:B1663,"Customer Not Found",0)</f>
        <v>Customer_758</v>
      </c>
      <c r="F664" s="7" t="str">
        <f>_xlfn.XLOOKUP(Orders!B664,Customers!A664:A1663,Customers!C664:C1663,"Country not Found",0)</f>
        <v>UK</v>
      </c>
      <c r="G664" s="7" t="str">
        <f>_xlfn.XLOOKUP(C664,Products!A664:A1163,Products!B664:B1163,"Product Missing",0)</f>
        <v>Product Missing</v>
      </c>
      <c r="H664" s="7" t="str">
        <f>_xlfn.XLOOKUP(C664,Products!A664:A1163,Products!C664:C1163,"Category Missing",0)</f>
        <v>Category Missing</v>
      </c>
      <c r="I664" s="11" t="str">
        <f>_xlfn.XLOOKUP(Orders!C664,Products!A664:A1163,Products!D664:D1163,"Price Missing",0)</f>
        <v>Price Missing</v>
      </c>
      <c r="J664" s="19">
        <f t="shared" si="10"/>
        <v>0</v>
      </c>
    </row>
    <row r="665" spans="1:10" x14ac:dyDescent="0.35">
      <c r="A665" s="4" t="s">
        <v>4685</v>
      </c>
      <c r="B665" s="7" t="s">
        <v>55</v>
      </c>
      <c r="C665" s="7" t="s">
        <v>3230</v>
      </c>
      <c r="D665" s="5">
        <v>2</v>
      </c>
      <c r="E665" s="7" t="str">
        <f>_xlfn.XLOOKUP(B665,Customers!A665:A1664,Customers!B665:B1664,"Customer Not Found",0)</f>
        <v>Customer Not Found</v>
      </c>
      <c r="F665" s="7" t="str">
        <f>_xlfn.XLOOKUP(Orders!B665,Customers!A665:A1664,Customers!C665:C1664,"Country not Found",0)</f>
        <v>Country not Found</v>
      </c>
      <c r="G665" s="7" t="str">
        <f>_xlfn.XLOOKUP(C665,Products!A665:A1164,Products!B665:B1164,"Product Missing",0)</f>
        <v>Product Missing</v>
      </c>
      <c r="H665" s="7" t="str">
        <f>_xlfn.XLOOKUP(C665,Products!A665:A1164,Products!C665:C1164,"Category Missing",0)</f>
        <v>Category Missing</v>
      </c>
      <c r="I665" s="11" t="str">
        <f>_xlfn.XLOOKUP(Orders!C665,Products!A665:A1164,Products!D665:D1164,"Price Missing",0)</f>
        <v>Price Missing</v>
      </c>
      <c r="J665" s="19">
        <f t="shared" si="10"/>
        <v>0</v>
      </c>
    </row>
    <row r="666" spans="1:10" x14ac:dyDescent="0.35">
      <c r="A666" s="4" t="s">
        <v>4686</v>
      </c>
      <c r="B666" s="7" t="s">
        <v>419</v>
      </c>
      <c r="C666" s="7" t="s">
        <v>3318</v>
      </c>
      <c r="D666" s="5">
        <v>4</v>
      </c>
      <c r="E666" s="7" t="str">
        <f>_xlfn.XLOOKUP(B666,Customers!A666:A1665,Customers!B666:B1665,"Customer Not Found",0)</f>
        <v>Customer Not Found</v>
      </c>
      <c r="F666" s="7" t="str">
        <f>_xlfn.XLOOKUP(Orders!B666,Customers!A666:A1665,Customers!C666:C1665,"Country not Found",0)</f>
        <v>Country not Found</v>
      </c>
      <c r="G666" s="7" t="str">
        <f>_xlfn.XLOOKUP(C666,Products!A666:A1165,Products!B666:B1165,"Product Missing",0)</f>
        <v>Product Missing</v>
      </c>
      <c r="H666" s="7" t="str">
        <f>_xlfn.XLOOKUP(C666,Products!A666:A1165,Products!C666:C1165,"Category Missing",0)</f>
        <v>Category Missing</v>
      </c>
      <c r="I666" s="11" t="str">
        <f>_xlfn.XLOOKUP(Orders!C666,Products!A666:A1165,Products!D666:D1165,"Price Missing",0)</f>
        <v>Price Missing</v>
      </c>
      <c r="J666" s="19">
        <f t="shared" si="10"/>
        <v>0</v>
      </c>
    </row>
    <row r="667" spans="1:10" x14ac:dyDescent="0.35">
      <c r="A667" s="4" t="s">
        <v>4687</v>
      </c>
      <c r="B667" s="7" t="s">
        <v>1115</v>
      </c>
      <c r="C667" s="7" t="s">
        <v>3386</v>
      </c>
      <c r="D667" s="5">
        <v>1</v>
      </c>
      <c r="E667" s="7" t="str">
        <f>_xlfn.XLOOKUP(B667,Customers!A667:A1666,Customers!B667:B1666,"Customer Not Found",0)</f>
        <v>Customer Not Found</v>
      </c>
      <c r="F667" s="7" t="str">
        <f>_xlfn.XLOOKUP(Orders!B667,Customers!A667:A1666,Customers!C667:C1666,"Country not Found",0)</f>
        <v>Country not Found</v>
      </c>
      <c r="G667" s="7" t="str">
        <f>_xlfn.XLOOKUP(C667,Products!A667:A1166,Products!B667:B1166,"Product Missing",0)</f>
        <v>Product Missing</v>
      </c>
      <c r="H667" s="7" t="str">
        <f>_xlfn.XLOOKUP(C667,Products!A667:A1166,Products!C667:C1166,"Category Missing",0)</f>
        <v>Category Missing</v>
      </c>
      <c r="I667" s="11" t="str">
        <f>_xlfn.XLOOKUP(Orders!C667,Products!A667:A1166,Products!D667:D1166,"Price Missing",0)</f>
        <v>Price Missing</v>
      </c>
      <c r="J667" s="19">
        <f t="shared" si="10"/>
        <v>0</v>
      </c>
    </row>
    <row r="668" spans="1:10" x14ac:dyDescent="0.35">
      <c r="A668" s="4" t="s">
        <v>4688</v>
      </c>
      <c r="B668" s="7" t="s">
        <v>146</v>
      </c>
      <c r="C668" s="7" t="s">
        <v>3184</v>
      </c>
      <c r="D668" s="5">
        <v>4</v>
      </c>
      <c r="E668" s="7" t="str">
        <f>_xlfn.XLOOKUP(B668,Customers!A668:A1667,Customers!B668:B1667,"Customer Not Found",0)</f>
        <v>Customer Not Found</v>
      </c>
      <c r="F668" s="7" t="str">
        <f>_xlfn.XLOOKUP(Orders!B668,Customers!A668:A1667,Customers!C668:C1667,"Country not Found",0)</f>
        <v>Country not Found</v>
      </c>
      <c r="G668" s="7" t="str">
        <f>_xlfn.XLOOKUP(C668,Products!A668:A1167,Products!B668:B1167,"Product Missing",0)</f>
        <v>Product Missing</v>
      </c>
      <c r="H668" s="7" t="str">
        <f>_xlfn.XLOOKUP(C668,Products!A668:A1167,Products!C668:C1167,"Category Missing",0)</f>
        <v>Category Missing</v>
      </c>
      <c r="I668" s="11" t="str">
        <f>_xlfn.XLOOKUP(Orders!C668,Products!A668:A1167,Products!D668:D1167,"Price Missing",0)</f>
        <v>Price Missing</v>
      </c>
      <c r="J668" s="19">
        <f t="shared" si="10"/>
        <v>0</v>
      </c>
    </row>
    <row r="669" spans="1:10" x14ac:dyDescent="0.35">
      <c r="A669" s="4" t="s">
        <v>4689</v>
      </c>
      <c r="B669" s="7" t="s">
        <v>2729</v>
      </c>
      <c r="C669" s="7" t="s">
        <v>3296</v>
      </c>
      <c r="D669" s="5">
        <v>5</v>
      </c>
      <c r="E669" s="7" t="str">
        <f>_xlfn.XLOOKUP(B669,Customers!A669:A1668,Customers!B669:B1668,"Customer Not Found",0)</f>
        <v>Customer_907</v>
      </c>
      <c r="F669" s="7" t="str">
        <f>_xlfn.XLOOKUP(Orders!B669,Customers!A669:A1668,Customers!C669:C1668,"Country not Found",0)</f>
        <v>USA</v>
      </c>
      <c r="G669" s="7" t="str">
        <f>_xlfn.XLOOKUP(C669,Products!A669:A1168,Products!B669:B1168,"Product Missing",0)</f>
        <v>Product Missing</v>
      </c>
      <c r="H669" s="7" t="str">
        <f>_xlfn.XLOOKUP(C669,Products!A669:A1168,Products!C669:C1168,"Category Missing",0)</f>
        <v>Category Missing</v>
      </c>
      <c r="I669" s="11" t="str">
        <f>_xlfn.XLOOKUP(Orders!C669,Products!A669:A1168,Products!D669:D1168,"Price Missing",0)</f>
        <v>Price Missing</v>
      </c>
      <c r="J669" s="19">
        <f t="shared" si="10"/>
        <v>0</v>
      </c>
    </row>
    <row r="670" spans="1:10" x14ac:dyDescent="0.35">
      <c r="A670" s="4" t="s">
        <v>4690</v>
      </c>
      <c r="B670" s="7" t="s">
        <v>362</v>
      </c>
      <c r="C670" s="7" t="s">
        <v>3692</v>
      </c>
      <c r="D670" s="5">
        <v>1</v>
      </c>
      <c r="E670" s="7" t="str">
        <f>_xlfn.XLOOKUP(B670,Customers!A670:A1669,Customers!B670:B1669,"Customer Not Found",0)</f>
        <v>Customer Not Found</v>
      </c>
      <c r="F670" s="7" t="str">
        <f>_xlfn.XLOOKUP(Orders!B670,Customers!A670:A1669,Customers!C670:C1669,"Country not Found",0)</f>
        <v>Country not Found</v>
      </c>
      <c r="G670" s="7" t="str">
        <f>_xlfn.XLOOKUP(C670,Products!A670:A1169,Products!B670:B1169,"Product Missing",0)</f>
        <v>Product Missing</v>
      </c>
      <c r="H670" s="7" t="str">
        <f>_xlfn.XLOOKUP(C670,Products!A670:A1169,Products!C670:C1169,"Category Missing",0)</f>
        <v>Category Missing</v>
      </c>
      <c r="I670" s="11" t="str">
        <f>_xlfn.XLOOKUP(Orders!C670,Products!A670:A1169,Products!D670:D1169,"Price Missing",0)</f>
        <v>Price Missing</v>
      </c>
      <c r="J670" s="19">
        <f t="shared" si="10"/>
        <v>0</v>
      </c>
    </row>
    <row r="671" spans="1:10" x14ac:dyDescent="0.35">
      <c r="A671" s="4" t="s">
        <v>4691</v>
      </c>
      <c r="B671" s="7" t="s">
        <v>434</v>
      </c>
      <c r="C671" s="7" t="s">
        <v>3556</v>
      </c>
      <c r="D671" s="5">
        <v>1</v>
      </c>
      <c r="E671" s="7" t="str">
        <f>_xlfn.XLOOKUP(B671,Customers!A671:A1670,Customers!B671:B1670,"Customer Not Found",0)</f>
        <v>Customer Not Found</v>
      </c>
      <c r="F671" s="7" t="str">
        <f>_xlfn.XLOOKUP(Orders!B671,Customers!A671:A1670,Customers!C671:C1670,"Country not Found",0)</f>
        <v>Country not Found</v>
      </c>
      <c r="G671" s="7" t="str">
        <f>_xlfn.XLOOKUP(C671,Products!A671:A1170,Products!B671:B1170,"Product Missing",0)</f>
        <v>Product Missing</v>
      </c>
      <c r="H671" s="7" t="str">
        <f>_xlfn.XLOOKUP(C671,Products!A671:A1170,Products!C671:C1170,"Category Missing",0)</f>
        <v>Category Missing</v>
      </c>
      <c r="I671" s="11" t="str">
        <f>_xlfn.XLOOKUP(Orders!C671,Products!A671:A1170,Products!D671:D1170,"Price Missing",0)</f>
        <v>Price Missing</v>
      </c>
      <c r="J671" s="19">
        <f t="shared" si="10"/>
        <v>0</v>
      </c>
    </row>
    <row r="672" spans="1:10" x14ac:dyDescent="0.35">
      <c r="A672" s="4" t="s">
        <v>4692</v>
      </c>
      <c r="B672" s="7" t="s">
        <v>1313</v>
      </c>
      <c r="C672" s="7" t="s">
        <v>3966</v>
      </c>
      <c r="D672" s="5">
        <v>1</v>
      </c>
      <c r="E672" s="7" t="str">
        <f>_xlfn.XLOOKUP(B672,Customers!A672:A1671,Customers!B672:B1671,"Customer Not Found",0)</f>
        <v>Customer Not Found</v>
      </c>
      <c r="F672" s="7" t="str">
        <f>_xlfn.XLOOKUP(Orders!B672,Customers!A672:A1671,Customers!C672:C1671,"Country not Found",0)</f>
        <v>Country not Found</v>
      </c>
      <c r="G672" s="7" t="str">
        <f>_xlfn.XLOOKUP(C672,Products!A672:A1171,Products!B672:B1171,"Product Missing",0)</f>
        <v>Product Missing</v>
      </c>
      <c r="H672" s="7" t="str">
        <f>_xlfn.XLOOKUP(C672,Products!A672:A1171,Products!C672:C1171,"Category Missing",0)</f>
        <v>Category Missing</v>
      </c>
      <c r="I672" s="11" t="str">
        <f>_xlfn.XLOOKUP(Orders!C672,Products!A672:A1171,Products!D672:D1171,"Price Missing",0)</f>
        <v>Price Missing</v>
      </c>
      <c r="J672" s="19">
        <f t="shared" si="10"/>
        <v>0</v>
      </c>
    </row>
    <row r="673" spans="1:10" x14ac:dyDescent="0.35">
      <c r="A673" s="4" t="s">
        <v>4693</v>
      </c>
      <c r="B673" s="7" t="s">
        <v>992</v>
      </c>
      <c r="C673" s="7" t="s">
        <v>3276</v>
      </c>
      <c r="D673" s="5">
        <v>2</v>
      </c>
      <c r="E673" s="7" t="str">
        <f>_xlfn.XLOOKUP(B673,Customers!A673:A1672,Customers!B673:B1672,"Customer Not Found",0)</f>
        <v>Customer Not Found</v>
      </c>
      <c r="F673" s="7" t="str">
        <f>_xlfn.XLOOKUP(Orders!B673,Customers!A673:A1672,Customers!C673:C1672,"Country not Found",0)</f>
        <v>Country not Found</v>
      </c>
      <c r="G673" s="7" t="str">
        <f>_xlfn.XLOOKUP(C673,Products!A673:A1172,Products!B673:B1172,"Product Missing",0)</f>
        <v>Product Missing</v>
      </c>
      <c r="H673" s="7" t="str">
        <f>_xlfn.XLOOKUP(C673,Products!A673:A1172,Products!C673:C1172,"Category Missing",0)</f>
        <v>Category Missing</v>
      </c>
      <c r="I673" s="11" t="str">
        <f>_xlfn.XLOOKUP(Orders!C673,Products!A673:A1172,Products!D673:D1172,"Price Missing",0)</f>
        <v>Price Missing</v>
      </c>
      <c r="J673" s="19">
        <f t="shared" si="10"/>
        <v>0</v>
      </c>
    </row>
    <row r="674" spans="1:10" x14ac:dyDescent="0.35">
      <c r="A674" s="4" t="s">
        <v>4694</v>
      </c>
      <c r="B674" s="7" t="s">
        <v>2699</v>
      </c>
      <c r="C674" s="7" t="s">
        <v>3344</v>
      </c>
      <c r="D674" s="5">
        <v>8</v>
      </c>
      <c r="E674" s="7" t="str">
        <f>_xlfn.XLOOKUP(B674,Customers!A674:A1673,Customers!B674:B1673,"Customer Not Found",0)</f>
        <v>Customer_897</v>
      </c>
      <c r="F674" s="7" t="str">
        <f>_xlfn.XLOOKUP(Orders!B674,Customers!A674:A1673,Customers!C674:C1673,"Country not Found",0)</f>
        <v>USA</v>
      </c>
      <c r="G674" s="7" t="str">
        <f>_xlfn.XLOOKUP(C674,Products!A674:A1173,Products!B674:B1173,"Product Missing",0)</f>
        <v>Product Missing</v>
      </c>
      <c r="H674" s="7" t="str">
        <f>_xlfn.XLOOKUP(C674,Products!A674:A1173,Products!C674:C1173,"Category Missing",0)</f>
        <v>Category Missing</v>
      </c>
      <c r="I674" s="11" t="str">
        <f>_xlfn.XLOOKUP(Orders!C674,Products!A674:A1173,Products!D674:D1173,"Price Missing",0)</f>
        <v>Price Missing</v>
      </c>
      <c r="J674" s="19">
        <f t="shared" si="10"/>
        <v>0</v>
      </c>
    </row>
    <row r="675" spans="1:10" x14ac:dyDescent="0.35">
      <c r="A675" s="4" t="s">
        <v>4695</v>
      </c>
      <c r="B675" s="7" t="s">
        <v>64</v>
      </c>
      <c r="C675" s="7" t="s">
        <v>3274</v>
      </c>
      <c r="D675" s="5">
        <v>3</v>
      </c>
      <c r="E675" s="7" t="str">
        <f>_xlfn.XLOOKUP(B675,Customers!A675:A1674,Customers!B675:B1674,"Customer Not Found",0)</f>
        <v>Customer Not Found</v>
      </c>
      <c r="F675" s="7" t="str">
        <f>_xlfn.XLOOKUP(Orders!B675,Customers!A675:A1674,Customers!C675:C1674,"Country not Found",0)</f>
        <v>Country not Found</v>
      </c>
      <c r="G675" s="7" t="str">
        <f>_xlfn.XLOOKUP(C675,Products!A675:A1174,Products!B675:B1174,"Product Missing",0)</f>
        <v>Product Missing</v>
      </c>
      <c r="H675" s="7" t="str">
        <f>_xlfn.XLOOKUP(C675,Products!A675:A1174,Products!C675:C1174,"Category Missing",0)</f>
        <v>Category Missing</v>
      </c>
      <c r="I675" s="11" t="str">
        <f>_xlfn.XLOOKUP(Orders!C675,Products!A675:A1174,Products!D675:D1174,"Price Missing",0)</f>
        <v>Price Missing</v>
      </c>
      <c r="J675" s="19">
        <f t="shared" si="10"/>
        <v>0</v>
      </c>
    </row>
    <row r="676" spans="1:10" x14ac:dyDescent="0.35">
      <c r="A676" s="4" t="s">
        <v>4696</v>
      </c>
      <c r="B676" s="7" t="s">
        <v>752</v>
      </c>
      <c r="C676" s="7" t="s">
        <v>3206</v>
      </c>
      <c r="D676" s="5">
        <v>9</v>
      </c>
      <c r="E676" s="7" t="str">
        <f>_xlfn.XLOOKUP(B676,Customers!A676:A1675,Customers!B676:B1675,"Customer Not Found",0)</f>
        <v>Customer Not Found</v>
      </c>
      <c r="F676" s="7" t="str">
        <f>_xlfn.XLOOKUP(Orders!B676,Customers!A676:A1675,Customers!C676:C1675,"Country not Found",0)</f>
        <v>Country not Found</v>
      </c>
      <c r="G676" s="7" t="str">
        <f>_xlfn.XLOOKUP(C676,Products!A676:A1175,Products!B676:B1175,"Product Missing",0)</f>
        <v>Product Missing</v>
      </c>
      <c r="H676" s="7" t="str">
        <f>_xlfn.XLOOKUP(C676,Products!A676:A1175,Products!C676:C1175,"Category Missing",0)</f>
        <v>Category Missing</v>
      </c>
      <c r="I676" s="11" t="str">
        <f>_xlfn.XLOOKUP(Orders!C676,Products!A676:A1175,Products!D676:D1175,"Price Missing",0)</f>
        <v>Price Missing</v>
      </c>
      <c r="J676" s="19">
        <f t="shared" si="10"/>
        <v>0</v>
      </c>
    </row>
    <row r="677" spans="1:10" x14ac:dyDescent="0.35">
      <c r="A677" s="4" t="s">
        <v>4697</v>
      </c>
      <c r="B677" s="7" t="s">
        <v>1562</v>
      </c>
      <c r="C677" s="7" t="s">
        <v>3614</v>
      </c>
      <c r="D677" s="5">
        <v>10</v>
      </c>
      <c r="E677" s="7" t="str">
        <f>_xlfn.XLOOKUP(B677,Customers!A677:A1676,Customers!B677:B1676,"Customer Not Found",0)</f>
        <v>Customer Not Found</v>
      </c>
      <c r="F677" s="7" t="str">
        <f>_xlfn.XLOOKUP(Orders!B677,Customers!A677:A1676,Customers!C677:C1676,"Country not Found",0)</f>
        <v>Country not Found</v>
      </c>
      <c r="G677" s="7" t="str">
        <f>_xlfn.XLOOKUP(C677,Products!A677:A1176,Products!B677:B1176,"Product Missing",0)</f>
        <v>Product Missing</v>
      </c>
      <c r="H677" s="7" t="str">
        <f>_xlfn.XLOOKUP(C677,Products!A677:A1176,Products!C677:C1176,"Category Missing",0)</f>
        <v>Category Missing</v>
      </c>
      <c r="I677" s="11" t="str">
        <f>_xlfn.XLOOKUP(Orders!C677,Products!A677:A1176,Products!D677:D1176,"Price Missing",0)</f>
        <v>Price Missing</v>
      </c>
      <c r="J677" s="19">
        <f t="shared" si="10"/>
        <v>0</v>
      </c>
    </row>
    <row r="678" spans="1:10" x14ac:dyDescent="0.35">
      <c r="A678" s="4" t="s">
        <v>4698</v>
      </c>
      <c r="B678" s="7" t="s">
        <v>788</v>
      </c>
      <c r="C678" s="7" t="s">
        <v>3274</v>
      </c>
      <c r="D678" s="5">
        <v>5</v>
      </c>
      <c r="E678" s="7" t="str">
        <f>_xlfn.XLOOKUP(B678,Customers!A678:A1677,Customers!B678:B1677,"Customer Not Found",0)</f>
        <v>Customer Not Found</v>
      </c>
      <c r="F678" s="7" t="str">
        <f>_xlfn.XLOOKUP(Orders!B678,Customers!A678:A1677,Customers!C678:C1677,"Country not Found",0)</f>
        <v>Country not Found</v>
      </c>
      <c r="G678" s="7" t="str">
        <f>_xlfn.XLOOKUP(C678,Products!A678:A1177,Products!B678:B1177,"Product Missing",0)</f>
        <v>Product Missing</v>
      </c>
      <c r="H678" s="7" t="str">
        <f>_xlfn.XLOOKUP(C678,Products!A678:A1177,Products!C678:C1177,"Category Missing",0)</f>
        <v>Category Missing</v>
      </c>
      <c r="I678" s="11" t="str">
        <f>_xlfn.XLOOKUP(Orders!C678,Products!A678:A1177,Products!D678:D1177,"Price Missing",0)</f>
        <v>Price Missing</v>
      </c>
      <c r="J678" s="19">
        <f t="shared" si="10"/>
        <v>0</v>
      </c>
    </row>
    <row r="679" spans="1:10" x14ac:dyDescent="0.35">
      <c r="A679" s="4" t="s">
        <v>4699</v>
      </c>
      <c r="B679" s="7" t="s">
        <v>1019</v>
      </c>
      <c r="C679" s="7" t="s">
        <v>3292</v>
      </c>
      <c r="D679" s="5">
        <v>2</v>
      </c>
      <c r="E679" s="7" t="str">
        <f>_xlfn.XLOOKUP(B679,Customers!A679:A1678,Customers!B679:B1678,"Customer Not Found",0)</f>
        <v>Customer Not Found</v>
      </c>
      <c r="F679" s="7" t="str">
        <f>_xlfn.XLOOKUP(Orders!B679,Customers!A679:A1678,Customers!C679:C1678,"Country not Found",0)</f>
        <v>Country not Found</v>
      </c>
      <c r="G679" s="7" t="str">
        <f>_xlfn.XLOOKUP(C679,Products!A679:A1178,Products!B679:B1178,"Product Missing",0)</f>
        <v>Product Missing</v>
      </c>
      <c r="H679" s="7" t="str">
        <f>_xlfn.XLOOKUP(C679,Products!A679:A1178,Products!C679:C1178,"Category Missing",0)</f>
        <v>Category Missing</v>
      </c>
      <c r="I679" s="11" t="str">
        <f>_xlfn.XLOOKUP(Orders!C679,Products!A679:A1178,Products!D679:D1178,"Price Missing",0)</f>
        <v>Price Missing</v>
      </c>
      <c r="J679" s="19">
        <f t="shared" si="10"/>
        <v>0</v>
      </c>
    </row>
    <row r="680" spans="1:10" x14ac:dyDescent="0.35">
      <c r="A680" s="4" t="s">
        <v>4700</v>
      </c>
      <c r="B680" s="7" t="s">
        <v>1253</v>
      </c>
      <c r="C680" s="7" t="s">
        <v>3188</v>
      </c>
      <c r="D680" s="5">
        <v>5</v>
      </c>
      <c r="E680" s="7" t="str">
        <f>_xlfn.XLOOKUP(B680,Customers!A680:A1679,Customers!B680:B1679,"Customer Not Found",0)</f>
        <v>Customer Not Found</v>
      </c>
      <c r="F680" s="7" t="str">
        <f>_xlfn.XLOOKUP(Orders!B680,Customers!A680:A1679,Customers!C680:C1679,"Country not Found",0)</f>
        <v>Country not Found</v>
      </c>
      <c r="G680" s="7" t="str">
        <f>_xlfn.XLOOKUP(C680,Products!A680:A1179,Products!B680:B1179,"Product Missing",0)</f>
        <v>Product Missing</v>
      </c>
      <c r="H680" s="7" t="str">
        <f>_xlfn.XLOOKUP(C680,Products!A680:A1179,Products!C680:C1179,"Category Missing",0)</f>
        <v>Category Missing</v>
      </c>
      <c r="I680" s="11" t="str">
        <f>_xlfn.XLOOKUP(Orders!C680,Products!A680:A1179,Products!D680:D1179,"Price Missing",0)</f>
        <v>Price Missing</v>
      </c>
      <c r="J680" s="19">
        <f t="shared" si="10"/>
        <v>0</v>
      </c>
    </row>
    <row r="681" spans="1:10" x14ac:dyDescent="0.35">
      <c r="A681" s="4" t="s">
        <v>4701</v>
      </c>
      <c r="B681" s="7" t="s">
        <v>845</v>
      </c>
      <c r="C681" s="7" t="s">
        <v>3780</v>
      </c>
      <c r="D681" s="5">
        <v>1</v>
      </c>
      <c r="E681" s="7" t="str">
        <f>_xlfn.XLOOKUP(B681,Customers!A681:A1680,Customers!B681:B1680,"Customer Not Found",0)</f>
        <v>Customer Not Found</v>
      </c>
      <c r="F681" s="7" t="str">
        <f>_xlfn.XLOOKUP(Orders!B681,Customers!A681:A1680,Customers!C681:C1680,"Country not Found",0)</f>
        <v>Country not Found</v>
      </c>
      <c r="G681" s="7" t="str">
        <f>_xlfn.XLOOKUP(C681,Products!A681:A1180,Products!B681:B1180,"Product Missing",0)</f>
        <v>Product Missing</v>
      </c>
      <c r="H681" s="7" t="str">
        <f>_xlfn.XLOOKUP(C681,Products!A681:A1180,Products!C681:C1180,"Category Missing",0)</f>
        <v>Category Missing</v>
      </c>
      <c r="I681" s="11" t="str">
        <f>_xlfn.XLOOKUP(Orders!C681,Products!A681:A1180,Products!D681:D1180,"Price Missing",0)</f>
        <v>Price Missing</v>
      </c>
      <c r="J681" s="19">
        <f t="shared" si="10"/>
        <v>0</v>
      </c>
    </row>
    <row r="682" spans="1:10" x14ac:dyDescent="0.35">
      <c r="A682" s="4" t="s">
        <v>4702</v>
      </c>
      <c r="B682" s="7" t="s">
        <v>641</v>
      </c>
      <c r="C682" s="7" t="s">
        <v>3532</v>
      </c>
      <c r="D682" s="5">
        <v>1</v>
      </c>
      <c r="E682" s="7" t="str">
        <f>_xlfn.XLOOKUP(B682,Customers!A682:A1681,Customers!B682:B1681,"Customer Not Found",0)</f>
        <v>Customer Not Found</v>
      </c>
      <c r="F682" s="7" t="str">
        <f>_xlfn.XLOOKUP(Orders!B682,Customers!A682:A1681,Customers!C682:C1681,"Country not Found",0)</f>
        <v>Country not Found</v>
      </c>
      <c r="G682" s="7" t="str">
        <f>_xlfn.XLOOKUP(C682,Products!A682:A1181,Products!B682:B1181,"Product Missing",0)</f>
        <v>Product Missing</v>
      </c>
      <c r="H682" s="7" t="str">
        <f>_xlfn.XLOOKUP(C682,Products!A682:A1181,Products!C682:C1181,"Category Missing",0)</f>
        <v>Category Missing</v>
      </c>
      <c r="I682" s="11" t="str">
        <f>_xlfn.XLOOKUP(Orders!C682,Products!A682:A1181,Products!D682:D1181,"Price Missing",0)</f>
        <v>Price Missing</v>
      </c>
      <c r="J682" s="19">
        <f t="shared" si="10"/>
        <v>0</v>
      </c>
    </row>
    <row r="683" spans="1:10" x14ac:dyDescent="0.35">
      <c r="A683" s="4" t="s">
        <v>4703</v>
      </c>
      <c r="B683" s="7" t="s">
        <v>2444</v>
      </c>
      <c r="C683" s="7" t="s">
        <v>3538</v>
      </c>
      <c r="D683" s="5">
        <v>4</v>
      </c>
      <c r="E683" s="7" t="str">
        <f>_xlfn.XLOOKUP(B683,Customers!A683:A1682,Customers!B683:B1682,"Customer Not Found",0)</f>
        <v>Customer_812</v>
      </c>
      <c r="F683" s="7" t="str">
        <f>_xlfn.XLOOKUP(Orders!B683,Customers!A683:A1682,Customers!C683:C1682,"Country not Found",0)</f>
        <v>Kenya</v>
      </c>
      <c r="G683" s="7" t="str">
        <f>_xlfn.XLOOKUP(C683,Products!A683:A1182,Products!B683:B1182,"Product Missing",0)</f>
        <v>Product Missing</v>
      </c>
      <c r="H683" s="7" t="str">
        <f>_xlfn.XLOOKUP(C683,Products!A683:A1182,Products!C683:C1182,"Category Missing",0)</f>
        <v>Category Missing</v>
      </c>
      <c r="I683" s="11" t="str">
        <f>_xlfn.XLOOKUP(Orders!C683,Products!A683:A1182,Products!D683:D1182,"Price Missing",0)</f>
        <v>Price Missing</v>
      </c>
      <c r="J683" s="19">
        <f t="shared" si="10"/>
        <v>0</v>
      </c>
    </row>
    <row r="684" spans="1:10" x14ac:dyDescent="0.35">
      <c r="A684" s="4" t="s">
        <v>4704</v>
      </c>
      <c r="B684" s="7" t="s">
        <v>1868</v>
      </c>
      <c r="C684" s="7" t="s">
        <v>3054</v>
      </c>
      <c r="D684" s="5">
        <v>1</v>
      </c>
      <c r="E684" s="7" t="str">
        <f>_xlfn.XLOOKUP(B684,Customers!A684:A1683,Customers!B684:B1683,"Customer Not Found",0)</f>
        <v>Customer Not Found</v>
      </c>
      <c r="F684" s="7" t="str">
        <f>_xlfn.XLOOKUP(Orders!B684,Customers!A684:A1683,Customers!C684:C1683,"Country not Found",0)</f>
        <v>Country not Found</v>
      </c>
      <c r="G684" s="7" t="str">
        <f>_xlfn.XLOOKUP(C684,Products!A684:A1183,Products!B684:B1183,"Product Missing",0)</f>
        <v>Product Missing</v>
      </c>
      <c r="H684" s="7" t="str">
        <f>_xlfn.XLOOKUP(C684,Products!A684:A1183,Products!C684:C1183,"Category Missing",0)</f>
        <v>Category Missing</v>
      </c>
      <c r="I684" s="11" t="str">
        <f>_xlfn.XLOOKUP(Orders!C684,Products!A684:A1183,Products!D684:D1183,"Price Missing",0)</f>
        <v>Price Missing</v>
      </c>
      <c r="J684" s="19">
        <f t="shared" si="10"/>
        <v>0</v>
      </c>
    </row>
    <row r="685" spans="1:10" x14ac:dyDescent="0.35">
      <c r="A685" s="4" t="s">
        <v>4705</v>
      </c>
      <c r="B685" s="7" t="s">
        <v>359</v>
      </c>
      <c r="C685" s="7" t="s">
        <v>3352</v>
      </c>
      <c r="D685" s="5">
        <v>9</v>
      </c>
      <c r="E685" s="7" t="str">
        <f>_xlfn.XLOOKUP(B685,Customers!A685:A1684,Customers!B685:B1684,"Customer Not Found",0)</f>
        <v>Customer Not Found</v>
      </c>
      <c r="F685" s="7" t="str">
        <f>_xlfn.XLOOKUP(Orders!B685,Customers!A685:A1684,Customers!C685:C1684,"Country not Found",0)</f>
        <v>Country not Found</v>
      </c>
      <c r="G685" s="7" t="str">
        <f>_xlfn.XLOOKUP(C685,Products!A685:A1184,Products!B685:B1184,"Product Missing",0)</f>
        <v>Product Missing</v>
      </c>
      <c r="H685" s="7" t="str">
        <f>_xlfn.XLOOKUP(C685,Products!A685:A1184,Products!C685:C1184,"Category Missing",0)</f>
        <v>Category Missing</v>
      </c>
      <c r="I685" s="11" t="str">
        <f>_xlfn.XLOOKUP(Orders!C685,Products!A685:A1184,Products!D685:D1184,"Price Missing",0)</f>
        <v>Price Missing</v>
      </c>
      <c r="J685" s="19">
        <f t="shared" si="10"/>
        <v>0</v>
      </c>
    </row>
    <row r="686" spans="1:10" x14ac:dyDescent="0.35">
      <c r="A686" s="4" t="s">
        <v>4706</v>
      </c>
      <c r="B686" s="7" t="s">
        <v>1994</v>
      </c>
      <c r="C686" s="7" t="s">
        <v>3188</v>
      </c>
      <c r="D686" s="5">
        <v>8</v>
      </c>
      <c r="E686" s="7" t="str">
        <f>_xlfn.XLOOKUP(B686,Customers!A686:A1685,Customers!B686:B1685,"Customer Not Found",0)</f>
        <v>Customer Not Found</v>
      </c>
      <c r="F686" s="7" t="str">
        <f>_xlfn.XLOOKUP(Orders!B686,Customers!A686:A1685,Customers!C686:C1685,"Country not Found",0)</f>
        <v>Country not Found</v>
      </c>
      <c r="G686" s="7" t="str">
        <f>_xlfn.XLOOKUP(C686,Products!A686:A1185,Products!B686:B1185,"Product Missing",0)</f>
        <v>Product Missing</v>
      </c>
      <c r="H686" s="7" t="str">
        <f>_xlfn.XLOOKUP(C686,Products!A686:A1185,Products!C686:C1185,"Category Missing",0)</f>
        <v>Category Missing</v>
      </c>
      <c r="I686" s="11" t="str">
        <f>_xlfn.XLOOKUP(Orders!C686,Products!A686:A1185,Products!D686:D1185,"Price Missing",0)</f>
        <v>Price Missing</v>
      </c>
      <c r="J686" s="19">
        <f t="shared" si="10"/>
        <v>0</v>
      </c>
    </row>
    <row r="687" spans="1:10" x14ac:dyDescent="0.35">
      <c r="A687" s="4" t="s">
        <v>4707</v>
      </c>
      <c r="B687" s="7" t="s">
        <v>2897</v>
      </c>
      <c r="C687" s="7" t="s">
        <v>3176</v>
      </c>
      <c r="D687" s="5">
        <v>2</v>
      </c>
      <c r="E687" s="7" t="str">
        <f>_xlfn.XLOOKUP(B687,Customers!A687:A1686,Customers!B687:B1686,"Customer Not Found",0)</f>
        <v>Customer_963</v>
      </c>
      <c r="F687" s="7" t="str">
        <f>_xlfn.XLOOKUP(Orders!B687,Customers!A687:A1686,Customers!C687:C1686,"Country not Found",0)</f>
        <v>Canada</v>
      </c>
      <c r="G687" s="7" t="str">
        <f>_xlfn.XLOOKUP(C687,Products!A687:A1186,Products!B687:B1186,"Product Missing",0)</f>
        <v>Product Missing</v>
      </c>
      <c r="H687" s="7" t="str">
        <f>_xlfn.XLOOKUP(C687,Products!A687:A1186,Products!C687:C1186,"Category Missing",0)</f>
        <v>Category Missing</v>
      </c>
      <c r="I687" s="11" t="str">
        <f>_xlfn.XLOOKUP(Orders!C687,Products!A687:A1186,Products!D687:D1186,"Price Missing",0)</f>
        <v>Price Missing</v>
      </c>
      <c r="J687" s="19">
        <f t="shared" si="10"/>
        <v>0</v>
      </c>
    </row>
    <row r="688" spans="1:10" x14ac:dyDescent="0.35">
      <c r="A688" s="4" t="s">
        <v>4708</v>
      </c>
      <c r="B688" s="7" t="s">
        <v>2882</v>
      </c>
      <c r="C688" s="7" t="s">
        <v>3506</v>
      </c>
      <c r="D688" s="5">
        <v>3</v>
      </c>
      <c r="E688" s="7" t="str">
        <f>_xlfn.XLOOKUP(B688,Customers!A688:A1687,Customers!B688:B1687,"Customer Not Found",0)</f>
        <v>Customer_958</v>
      </c>
      <c r="F688" s="7" t="str">
        <f>_xlfn.XLOOKUP(Orders!B688,Customers!A688:A1687,Customers!C688:C1687,"Country not Found",0)</f>
        <v>UK</v>
      </c>
      <c r="G688" s="7" t="str">
        <f>_xlfn.XLOOKUP(C688,Products!A688:A1187,Products!B688:B1187,"Product Missing",0)</f>
        <v>Product Missing</v>
      </c>
      <c r="H688" s="7" t="str">
        <f>_xlfn.XLOOKUP(C688,Products!A688:A1187,Products!C688:C1187,"Category Missing",0)</f>
        <v>Category Missing</v>
      </c>
      <c r="I688" s="11" t="str">
        <f>_xlfn.XLOOKUP(Orders!C688,Products!A688:A1187,Products!D688:D1187,"Price Missing",0)</f>
        <v>Price Missing</v>
      </c>
      <c r="J688" s="19">
        <f t="shared" si="10"/>
        <v>0</v>
      </c>
    </row>
    <row r="689" spans="1:10" x14ac:dyDescent="0.35">
      <c r="A689" s="4" t="s">
        <v>4709</v>
      </c>
      <c r="B689" s="7" t="s">
        <v>1331</v>
      </c>
      <c r="C689" s="7" t="s">
        <v>3730</v>
      </c>
      <c r="D689" s="5">
        <v>7</v>
      </c>
      <c r="E689" s="7" t="str">
        <f>_xlfn.XLOOKUP(B689,Customers!A689:A1688,Customers!B689:B1688,"Customer Not Found",0)</f>
        <v>Customer Not Found</v>
      </c>
      <c r="F689" s="7" t="str">
        <f>_xlfn.XLOOKUP(Orders!B689,Customers!A689:A1688,Customers!C689:C1688,"Country not Found",0)</f>
        <v>Country not Found</v>
      </c>
      <c r="G689" s="7" t="str">
        <f>_xlfn.XLOOKUP(C689,Products!A689:A1188,Products!B689:B1188,"Product Missing",0)</f>
        <v>Product Missing</v>
      </c>
      <c r="H689" s="7" t="str">
        <f>_xlfn.XLOOKUP(C689,Products!A689:A1188,Products!C689:C1188,"Category Missing",0)</f>
        <v>Category Missing</v>
      </c>
      <c r="I689" s="11" t="str">
        <f>_xlfn.XLOOKUP(Orders!C689,Products!A689:A1188,Products!D689:D1188,"Price Missing",0)</f>
        <v>Price Missing</v>
      </c>
      <c r="J689" s="19">
        <f t="shared" si="10"/>
        <v>0</v>
      </c>
    </row>
    <row r="690" spans="1:10" x14ac:dyDescent="0.35">
      <c r="A690" s="4" t="s">
        <v>4710</v>
      </c>
      <c r="B690" s="7" t="s">
        <v>1037</v>
      </c>
      <c r="C690" s="7" t="s">
        <v>3706</v>
      </c>
      <c r="D690" s="5">
        <v>6</v>
      </c>
      <c r="E690" s="7" t="str">
        <f>_xlfn.XLOOKUP(B690,Customers!A690:A1689,Customers!B690:B1689,"Customer Not Found",0)</f>
        <v>Customer Not Found</v>
      </c>
      <c r="F690" s="7" t="str">
        <f>_xlfn.XLOOKUP(Orders!B690,Customers!A690:A1689,Customers!C690:C1689,"Country not Found",0)</f>
        <v>Country not Found</v>
      </c>
      <c r="G690" s="7" t="str">
        <f>_xlfn.XLOOKUP(C690,Products!A690:A1189,Products!B690:B1189,"Product Missing",0)</f>
        <v>Product Missing</v>
      </c>
      <c r="H690" s="7" t="str">
        <f>_xlfn.XLOOKUP(C690,Products!A690:A1189,Products!C690:C1189,"Category Missing",0)</f>
        <v>Category Missing</v>
      </c>
      <c r="I690" s="11" t="str">
        <f>_xlfn.XLOOKUP(Orders!C690,Products!A690:A1189,Products!D690:D1189,"Price Missing",0)</f>
        <v>Price Missing</v>
      </c>
      <c r="J690" s="19">
        <f t="shared" si="10"/>
        <v>0</v>
      </c>
    </row>
    <row r="691" spans="1:10" x14ac:dyDescent="0.35">
      <c r="A691" s="4" t="s">
        <v>4711</v>
      </c>
      <c r="B691" s="7" t="s">
        <v>2657</v>
      </c>
      <c r="C691" s="7" t="s">
        <v>3534</v>
      </c>
      <c r="D691" s="5">
        <v>6</v>
      </c>
      <c r="E691" s="7" t="str">
        <f>_xlfn.XLOOKUP(B691,Customers!A691:A1690,Customers!B691:B1690,"Customer Not Found",0)</f>
        <v>Customer_883</v>
      </c>
      <c r="F691" s="7" t="str">
        <f>_xlfn.XLOOKUP(Orders!B691,Customers!A691:A1690,Customers!C691:C1690,"Country not Found",0)</f>
        <v>South Africa</v>
      </c>
      <c r="G691" s="7" t="str">
        <f>_xlfn.XLOOKUP(C691,Products!A691:A1190,Products!B691:B1190,"Product Missing",0)</f>
        <v>Product Missing</v>
      </c>
      <c r="H691" s="7" t="str">
        <f>_xlfn.XLOOKUP(C691,Products!A691:A1190,Products!C691:C1190,"Category Missing",0)</f>
        <v>Category Missing</v>
      </c>
      <c r="I691" s="11" t="str">
        <f>_xlfn.XLOOKUP(Orders!C691,Products!A691:A1190,Products!D691:D1190,"Price Missing",0)</f>
        <v>Price Missing</v>
      </c>
      <c r="J691" s="19">
        <f t="shared" si="10"/>
        <v>0</v>
      </c>
    </row>
    <row r="692" spans="1:10" x14ac:dyDescent="0.35">
      <c r="A692" s="4" t="s">
        <v>4712</v>
      </c>
      <c r="B692" s="7" t="s">
        <v>2165</v>
      </c>
      <c r="C692" s="7" t="s">
        <v>3074</v>
      </c>
      <c r="D692" s="5">
        <v>1</v>
      </c>
      <c r="E692" s="7" t="str">
        <f>_xlfn.XLOOKUP(B692,Customers!A692:A1691,Customers!B692:B1691,"Customer Not Found",0)</f>
        <v>Customer_719</v>
      </c>
      <c r="F692" s="7" t="str">
        <f>_xlfn.XLOOKUP(Orders!B692,Customers!A692:A1691,Customers!C692:C1691,"Country not Found",0)</f>
        <v>South Africa</v>
      </c>
      <c r="G692" s="7" t="str">
        <f>_xlfn.XLOOKUP(C692,Products!A692:A1191,Products!B692:B1191,"Product Missing",0)</f>
        <v>Product Missing</v>
      </c>
      <c r="H692" s="7" t="str">
        <f>_xlfn.XLOOKUP(C692,Products!A692:A1191,Products!C692:C1191,"Category Missing",0)</f>
        <v>Category Missing</v>
      </c>
      <c r="I692" s="11" t="str">
        <f>_xlfn.XLOOKUP(Orders!C692,Products!A692:A1191,Products!D692:D1191,"Price Missing",0)</f>
        <v>Price Missing</v>
      </c>
      <c r="J692" s="19">
        <f t="shared" si="10"/>
        <v>0</v>
      </c>
    </row>
    <row r="693" spans="1:10" x14ac:dyDescent="0.35">
      <c r="A693" s="4" t="s">
        <v>4713</v>
      </c>
      <c r="B693" s="7" t="s">
        <v>587</v>
      </c>
      <c r="C693" s="7" t="s">
        <v>3216</v>
      </c>
      <c r="D693" s="5">
        <v>8</v>
      </c>
      <c r="E693" s="7" t="str">
        <f>_xlfn.XLOOKUP(B693,Customers!A693:A1692,Customers!B693:B1692,"Customer Not Found",0)</f>
        <v>Customer Not Found</v>
      </c>
      <c r="F693" s="7" t="str">
        <f>_xlfn.XLOOKUP(Orders!B693,Customers!A693:A1692,Customers!C693:C1692,"Country not Found",0)</f>
        <v>Country not Found</v>
      </c>
      <c r="G693" s="7" t="str">
        <f>_xlfn.XLOOKUP(C693,Products!A693:A1192,Products!B693:B1192,"Product Missing",0)</f>
        <v>Product Missing</v>
      </c>
      <c r="H693" s="7" t="str">
        <f>_xlfn.XLOOKUP(C693,Products!A693:A1192,Products!C693:C1192,"Category Missing",0)</f>
        <v>Category Missing</v>
      </c>
      <c r="I693" s="11" t="str">
        <f>_xlfn.XLOOKUP(Orders!C693,Products!A693:A1192,Products!D693:D1192,"Price Missing",0)</f>
        <v>Price Missing</v>
      </c>
      <c r="J693" s="19">
        <f t="shared" si="10"/>
        <v>0</v>
      </c>
    </row>
    <row r="694" spans="1:10" x14ac:dyDescent="0.35">
      <c r="A694" s="4" t="s">
        <v>4714</v>
      </c>
      <c r="B694" s="7" t="s">
        <v>1610</v>
      </c>
      <c r="C694" s="7" t="s">
        <v>3744</v>
      </c>
      <c r="D694" s="5">
        <v>4</v>
      </c>
      <c r="E694" s="7" t="str">
        <f>_xlfn.XLOOKUP(B694,Customers!A694:A1693,Customers!B694:B1693,"Customer Not Found",0)</f>
        <v>Customer Not Found</v>
      </c>
      <c r="F694" s="7" t="str">
        <f>_xlfn.XLOOKUP(Orders!B694,Customers!A694:A1693,Customers!C694:C1693,"Country not Found",0)</f>
        <v>Country not Found</v>
      </c>
      <c r="G694" s="7" t="str">
        <f>_xlfn.XLOOKUP(C694,Products!A694:A1193,Products!B694:B1193,"Product Missing",0)</f>
        <v>Product Missing</v>
      </c>
      <c r="H694" s="7" t="str">
        <f>_xlfn.XLOOKUP(C694,Products!A694:A1193,Products!C694:C1193,"Category Missing",0)</f>
        <v>Category Missing</v>
      </c>
      <c r="I694" s="11" t="str">
        <f>_xlfn.XLOOKUP(Orders!C694,Products!A694:A1193,Products!D694:D1193,"Price Missing",0)</f>
        <v>Price Missing</v>
      </c>
      <c r="J694" s="19">
        <f t="shared" si="10"/>
        <v>0</v>
      </c>
    </row>
    <row r="695" spans="1:10" x14ac:dyDescent="0.35">
      <c r="A695" s="4" t="s">
        <v>4715</v>
      </c>
      <c r="B695" s="7" t="s">
        <v>812</v>
      </c>
      <c r="C695" s="7" t="s">
        <v>3428</v>
      </c>
      <c r="D695" s="5">
        <v>1</v>
      </c>
      <c r="E695" s="7" t="str">
        <f>_xlfn.XLOOKUP(B695,Customers!A695:A1694,Customers!B695:B1694,"Customer Not Found",0)</f>
        <v>Customer Not Found</v>
      </c>
      <c r="F695" s="7" t="str">
        <f>_xlfn.XLOOKUP(Orders!B695,Customers!A695:A1694,Customers!C695:C1694,"Country not Found",0)</f>
        <v>Country not Found</v>
      </c>
      <c r="G695" s="7" t="str">
        <f>_xlfn.XLOOKUP(C695,Products!A695:A1194,Products!B695:B1194,"Product Missing",0)</f>
        <v>Product Missing</v>
      </c>
      <c r="H695" s="7" t="str">
        <f>_xlfn.XLOOKUP(C695,Products!A695:A1194,Products!C695:C1194,"Category Missing",0)</f>
        <v>Category Missing</v>
      </c>
      <c r="I695" s="11" t="str">
        <f>_xlfn.XLOOKUP(Orders!C695,Products!A695:A1194,Products!D695:D1194,"Price Missing",0)</f>
        <v>Price Missing</v>
      </c>
      <c r="J695" s="19">
        <f t="shared" si="10"/>
        <v>0</v>
      </c>
    </row>
    <row r="696" spans="1:10" x14ac:dyDescent="0.35">
      <c r="A696" s="4" t="s">
        <v>4716</v>
      </c>
      <c r="B696" s="7" t="s">
        <v>2480</v>
      </c>
      <c r="C696" s="7" t="s">
        <v>3276</v>
      </c>
      <c r="D696" s="5">
        <v>1</v>
      </c>
      <c r="E696" s="7" t="str">
        <f>_xlfn.XLOOKUP(B696,Customers!A696:A1695,Customers!B696:B1695,"Customer Not Found",0)</f>
        <v>Customer_824</v>
      </c>
      <c r="F696" s="7" t="str">
        <f>_xlfn.XLOOKUP(Orders!B696,Customers!A696:A1695,Customers!C696:C1695,"Country not Found",0)</f>
        <v>UK</v>
      </c>
      <c r="G696" s="7" t="str">
        <f>_xlfn.XLOOKUP(C696,Products!A696:A1195,Products!B696:B1195,"Product Missing",0)</f>
        <v>Product Missing</v>
      </c>
      <c r="H696" s="7" t="str">
        <f>_xlfn.XLOOKUP(C696,Products!A696:A1195,Products!C696:C1195,"Category Missing",0)</f>
        <v>Category Missing</v>
      </c>
      <c r="I696" s="11" t="str">
        <f>_xlfn.XLOOKUP(Orders!C696,Products!A696:A1195,Products!D696:D1195,"Price Missing",0)</f>
        <v>Price Missing</v>
      </c>
      <c r="J696" s="19">
        <f t="shared" si="10"/>
        <v>0</v>
      </c>
    </row>
    <row r="697" spans="1:10" x14ac:dyDescent="0.35">
      <c r="A697" s="4" t="s">
        <v>4717</v>
      </c>
      <c r="B697" s="7" t="s">
        <v>1187</v>
      </c>
      <c r="C697" s="7" t="s">
        <v>3156</v>
      </c>
      <c r="D697" s="5">
        <v>2</v>
      </c>
      <c r="E697" s="7" t="str">
        <f>_xlfn.XLOOKUP(B697,Customers!A697:A1696,Customers!B697:B1696,"Customer Not Found",0)</f>
        <v>Customer Not Found</v>
      </c>
      <c r="F697" s="7" t="str">
        <f>_xlfn.XLOOKUP(Orders!B697,Customers!A697:A1696,Customers!C697:C1696,"Country not Found",0)</f>
        <v>Country not Found</v>
      </c>
      <c r="G697" s="7" t="str">
        <f>_xlfn.XLOOKUP(C697,Products!A697:A1196,Products!B697:B1196,"Product Missing",0)</f>
        <v>Product Missing</v>
      </c>
      <c r="H697" s="7" t="str">
        <f>_xlfn.XLOOKUP(C697,Products!A697:A1196,Products!C697:C1196,"Category Missing",0)</f>
        <v>Category Missing</v>
      </c>
      <c r="I697" s="11" t="str">
        <f>_xlfn.XLOOKUP(Orders!C697,Products!A697:A1196,Products!D697:D1196,"Price Missing",0)</f>
        <v>Price Missing</v>
      </c>
      <c r="J697" s="19">
        <f t="shared" si="10"/>
        <v>0</v>
      </c>
    </row>
    <row r="698" spans="1:10" x14ac:dyDescent="0.35">
      <c r="A698" s="4" t="s">
        <v>4718</v>
      </c>
      <c r="B698" s="7" t="s">
        <v>650</v>
      </c>
      <c r="C698" s="7" t="s">
        <v>3546</v>
      </c>
      <c r="D698" s="5">
        <v>1</v>
      </c>
      <c r="E698" s="7" t="str">
        <f>_xlfn.XLOOKUP(B698,Customers!A698:A1697,Customers!B698:B1697,"Customer Not Found",0)</f>
        <v>Customer Not Found</v>
      </c>
      <c r="F698" s="7" t="str">
        <f>_xlfn.XLOOKUP(Orders!B698,Customers!A698:A1697,Customers!C698:C1697,"Country not Found",0)</f>
        <v>Country not Found</v>
      </c>
      <c r="G698" s="7" t="str">
        <f>_xlfn.XLOOKUP(C698,Products!A698:A1197,Products!B698:B1197,"Product Missing",0)</f>
        <v>Product Missing</v>
      </c>
      <c r="H698" s="7" t="str">
        <f>_xlfn.XLOOKUP(C698,Products!A698:A1197,Products!C698:C1197,"Category Missing",0)</f>
        <v>Category Missing</v>
      </c>
      <c r="I698" s="11" t="str">
        <f>_xlfn.XLOOKUP(Orders!C698,Products!A698:A1197,Products!D698:D1197,"Price Missing",0)</f>
        <v>Price Missing</v>
      </c>
      <c r="J698" s="19">
        <f t="shared" si="10"/>
        <v>0</v>
      </c>
    </row>
    <row r="699" spans="1:10" x14ac:dyDescent="0.35">
      <c r="A699" s="4" t="s">
        <v>4719</v>
      </c>
      <c r="B699" s="7" t="s">
        <v>1442</v>
      </c>
      <c r="C699" s="7" t="s">
        <v>3984</v>
      </c>
      <c r="D699" s="5">
        <v>6</v>
      </c>
      <c r="E699" s="7" t="str">
        <f>_xlfn.XLOOKUP(B699,Customers!A699:A1698,Customers!B699:B1698,"Customer Not Found",0)</f>
        <v>Customer Not Found</v>
      </c>
      <c r="F699" s="7" t="str">
        <f>_xlfn.XLOOKUP(Orders!B699,Customers!A699:A1698,Customers!C699:C1698,"Country not Found",0)</f>
        <v>Country not Found</v>
      </c>
      <c r="G699" s="7" t="str">
        <f>_xlfn.XLOOKUP(C699,Products!A699:A1198,Products!B699:B1198,"Product Missing",0)</f>
        <v>Product Missing</v>
      </c>
      <c r="H699" s="7" t="str">
        <f>_xlfn.XLOOKUP(C699,Products!A699:A1198,Products!C699:C1198,"Category Missing",0)</f>
        <v>Category Missing</v>
      </c>
      <c r="I699" s="11" t="str">
        <f>_xlfn.XLOOKUP(Orders!C699,Products!A699:A1198,Products!D699:D1198,"Price Missing",0)</f>
        <v>Price Missing</v>
      </c>
      <c r="J699" s="19">
        <f t="shared" si="10"/>
        <v>0</v>
      </c>
    </row>
    <row r="700" spans="1:10" x14ac:dyDescent="0.35">
      <c r="A700" s="4" t="s">
        <v>4720</v>
      </c>
      <c r="B700" s="7" t="s">
        <v>2255</v>
      </c>
      <c r="C700" s="7" t="s">
        <v>3632</v>
      </c>
      <c r="D700" s="5">
        <v>3</v>
      </c>
      <c r="E700" s="7" t="str">
        <f>_xlfn.XLOOKUP(B700,Customers!A700:A1699,Customers!B700:B1699,"Customer Not Found",0)</f>
        <v>Customer_749</v>
      </c>
      <c r="F700" s="7" t="str">
        <f>_xlfn.XLOOKUP(Orders!B700,Customers!A700:A1699,Customers!C700:C1699,"Country not Found",0)</f>
        <v>Kenya</v>
      </c>
      <c r="G700" s="7" t="str">
        <f>_xlfn.XLOOKUP(C700,Products!A700:A1199,Products!B700:B1199,"Product Missing",0)</f>
        <v>Product Missing</v>
      </c>
      <c r="H700" s="7" t="str">
        <f>_xlfn.XLOOKUP(C700,Products!A700:A1199,Products!C700:C1199,"Category Missing",0)</f>
        <v>Category Missing</v>
      </c>
      <c r="I700" s="11" t="str">
        <f>_xlfn.XLOOKUP(Orders!C700,Products!A700:A1199,Products!D700:D1199,"Price Missing",0)</f>
        <v>Price Missing</v>
      </c>
      <c r="J700" s="19">
        <f t="shared" si="10"/>
        <v>0</v>
      </c>
    </row>
    <row r="701" spans="1:10" x14ac:dyDescent="0.35">
      <c r="A701" s="4" t="s">
        <v>4721</v>
      </c>
      <c r="B701" s="7" t="s">
        <v>22</v>
      </c>
      <c r="C701" s="7" t="s">
        <v>3122</v>
      </c>
      <c r="D701" s="5">
        <v>8</v>
      </c>
      <c r="E701" s="7" t="str">
        <f>_xlfn.XLOOKUP(B701,Customers!A701:A1700,Customers!B701:B1700,"Customer Not Found",0)</f>
        <v>Customer Not Found</v>
      </c>
      <c r="F701" s="7" t="str">
        <f>_xlfn.XLOOKUP(Orders!B701,Customers!A701:A1700,Customers!C701:C1700,"Country not Found",0)</f>
        <v>Country not Found</v>
      </c>
      <c r="G701" s="7" t="str">
        <f>_xlfn.XLOOKUP(C701,Products!A701:A1200,Products!B701:B1200,"Product Missing",0)</f>
        <v>Product Missing</v>
      </c>
      <c r="H701" s="7" t="str">
        <f>_xlfn.XLOOKUP(C701,Products!A701:A1200,Products!C701:C1200,"Category Missing",0)</f>
        <v>Category Missing</v>
      </c>
      <c r="I701" s="11" t="str">
        <f>_xlfn.XLOOKUP(Orders!C701,Products!A701:A1200,Products!D701:D1200,"Price Missing",0)</f>
        <v>Price Missing</v>
      </c>
      <c r="J701" s="19">
        <f t="shared" si="10"/>
        <v>0</v>
      </c>
    </row>
    <row r="702" spans="1:10" x14ac:dyDescent="0.35">
      <c r="A702" s="4" t="s">
        <v>4722</v>
      </c>
      <c r="B702" s="7" t="s">
        <v>1655</v>
      </c>
      <c r="C702" s="7" t="s">
        <v>3410</v>
      </c>
      <c r="D702" s="5">
        <v>6</v>
      </c>
      <c r="E702" s="7" t="str">
        <f>_xlfn.XLOOKUP(B702,Customers!A702:A1701,Customers!B702:B1701,"Customer Not Found",0)</f>
        <v>Customer Not Found</v>
      </c>
      <c r="F702" s="7" t="str">
        <f>_xlfn.XLOOKUP(Orders!B702,Customers!A702:A1701,Customers!C702:C1701,"Country not Found",0)</f>
        <v>Country not Found</v>
      </c>
      <c r="G702" s="7" t="str">
        <f>_xlfn.XLOOKUP(C702,Products!A702:A1201,Products!B702:B1201,"Product Missing",0)</f>
        <v>Product Missing</v>
      </c>
      <c r="H702" s="7" t="str">
        <f>_xlfn.XLOOKUP(C702,Products!A702:A1201,Products!C702:C1201,"Category Missing",0)</f>
        <v>Category Missing</v>
      </c>
      <c r="I702" s="11" t="str">
        <f>_xlfn.XLOOKUP(Orders!C702,Products!A702:A1201,Products!D702:D1201,"Price Missing",0)</f>
        <v>Price Missing</v>
      </c>
      <c r="J702" s="19">
        <f t="shared" si="10"/>
        <v>0</v>
      </c>
    </row>
    <row r="703" spans="1:10" x14ac:dyDescent="0.35">
      <c r="A703" s="4" t="s">
        <v>4723</v>
      </c>
      <c r="B703" s="7" t="s">
        <v>2297</v>
      </c>
      <c r="C703" s="7" t="s">
        <v>3780</v>
      </c>
      <c r="D703" s="5">
        <v>7</v>
      </c>
      <c r="E703" s="7" t="str">
        <f>_xlfn.XLOOKUP(B703,Customers!A703:A1702,Customers!B703:B1702,"Customer Not Found",0)</f>
        <v>Customer_763</v>
      </c>
      <c r="F703" s="7" t="str">
        <f>_xlfn.XLOOKUP(Orders!B703,Customers!A703:A1702,Customers!C703:C1702,"Country not Found",0)</f>
        <v>Nigeria</v>
      </c>
      <c r="G703" s="7" t="str">
        <f>_xlfn.XLOOKUP(C703,Products!A703:A1202,Products!B703:B1202,"Product Missing",0)</f>
        <v>Product Missing</v>
      </c>
      <c r="H703" s="7" t="str">
        <f>_xlfn.XLOOKUP(C703,Products!A703:A1202,Products!C703:C1202,"Category Missing",0)</f>
        <v>Category Missing</v>
      </c>
      <c r="I703" s="11" t="str">
        <f>_xlfn.XLOOKUP(Orders!C703,Products!A703:A1202,Products!D703:D1202,"Price Missing",0)</f>
        <v>Price Missing</v>
      </c>
      <c r="J703" s="19">
        <f t="shared" si="10"/>
        <v>0</v>
      </c>
    </row>
    <row r="704" spans="1:10" x14ac:dyDescent="0.35">
      <c r="A704" s="4" t="s">
        <v>4724</v>
      </c>
      <c r="B704" s="7" t="s">
        <v>1973</v>
      </c>
      <c r="C704" s="7" t="s">
        <v>3306</v>
      </c>
      <c r="D704" s="5">
        <v>1</v>
      </c>
      <c r="E704" s="7" t="str">
        <f>_xlfn.XLOOKUP(B704,Customers!A704:A1703,Customers!B704:B1703,"Customer Not Found",0)</f>
        <v>Customer Not Found</v>
      </c>
      <c r="F704" s="7" t="str">
        <f>_xlfn.XLOOKUP(Orders!B704,Customers!A704:A1703,Customers!C704:C1703,"Country not Found",0)</f>
        <v>Country not Found</v>
      </c>
      <c r="G704" s="7" t="str">
        <f>_xlfn.XLOOKUP(C704,Products!A704:A1203,Products!B704:B1203,"Product Missing",0)</f>
        <v>Product Missing</v>
      </c>
      <c r="H704" s="7" t="str">
        <f>_xlfn.XLOOKUP(C704,Products!A704:A1203,Products!C704:C1203,"Category Missing",0)</f>
        <v>Category Missing</v>
      </c>
      <c r="I704" s="11" t="str">
        <f>_xlfn.XLOOKUP(Orders!C704,Products!A704:A1203,Products!D704:D1203,"Price Missing",0)</f>
        <v>Price Missing</v>
      </c>
      <c r="J704" s="19">
        <f t="shared" si="10"/>
        <v>0</v>
      </c>
    </row>
    <row r="705" spans="1:10" x14ac:dyDescent="0.35">
      <c r="A705" s="4" t="s">
        <v>4725</v>
      </c>
      <c r="B705" s="7" t="s">
        <v>1832</v>
      </c>
      <c r="C705" s="7" t="s">
        <v>3654</v>
      </c>
      <c r="D705" s="5">
        <v>9</v>
      </c>
      <c r="E705" s="7" t="str">
        <f>_xlfn.XLOOKUP(B705,Customers!A705:A1704,Customers!B705:B1704,"Customer Not Found",0)</f>
        <v>Customer Not Found</v>
      </c>
      <c r="F705" s="7" t="str">
        <f>_xlfn.XLOOKUP(Orders!B705,Customers!A705:A1704,Customers!C705:C1704,"Country not Found",0)</f>
        <v>Country not Found</v>
      </c>
      <c r="G705" s="7" t="str">
        <f>_xlfn.XLOOKUP(C705,Products!A705:A1204,Products!B705:B1204,"Product Missing",0)</f>
        <v>Product Missing</v>
      </c>
      <c r="H705" s="7" t="str">
        <f>_xlfn.XLOOKUP(C705,Products!A705:A1204,Products!C705:C1204,"Category Missing",0)</f>
        <v>Category Missing</v>
      </c>
      <c r="I705" s="11" t="str">
        <f>_xlfn.XLOOKUP(Orders!C705,Products!A705:A1204,Products!D705:D1204,"Price Missing",0)</f>
        <v>Price Missing</v>
      </c>
      <c r="J705" s="19">
        <f t="shared" si="10"/>
        <v>0</v>
      </c>
    </row>
    <row r="706" spans="1:10" x14ac:dyDescent="0.35">
      <c r="A706" s="4" t="s">
        <v>4726</v>
      </c>
      <c r="B706" s="7" t="s">
        <v>2033</v>
      </c>
      <c r="C706" s="7" t="s">
        <v>3680</v>
      </c>
      <c r="D706" s="5">
        <v>2</v>
      </c>
      <c r="E706" s="7" t="str">
        <f>_xlfn.XLOOKUP(B706,Customers!A706:A1705,Customers!B706:B1705,"Customer Not Found",0)</f>
        <v>Customer Not Found</v>
      </c>
      <c r="F706" s="7" t="str">
        <f>_xlfn.XLOOKUP(Orders!B706,Customers!A706:A1705,Customers!C706:C1705,"Country not Found",0)</f>
        <v>Country not Found</v>
      </c>
      <c r="G706" s="7" t="str">
        <f>_xlfn.XLOOKUP(C706,Products!A706:A1205,Products!B706:B1205,"Product Missing",0)</f>
        <v>Product Missing</v>
      </c>
      <c r="H706" s="7" t="str">
        <f>_xlfn.XLOOKUP(C706,Products!A706:A1205,Products!C706:C1205,"Category Missing",0)</f>
        <v>Category Missing</v>
      </c>
      <c r="I706" s="11" t="str">
        <f>_xlfn.XLOOKUP(Orders!C706,Products!A706:A1205,Products!D706:D1205,"Price Missing",0)</f>
        <v>Price Missing</v>
      </c>
      <c r="J706" s="19">
        <f t="shared" si="10"/>
        <v>0</v>
      </c>
    </row>
    <row r="707" spans="1:10" x14ac:dyDescent="0.35">
      <c r="A707" s="4" t="s">
        <v>4727</v>
      </c>
      <c r="B707" s="7" t="s">
        <v>890</v>
      </c>
      <c r="C707" s="7" t="s">
        <v>3660</v>
      </c>
      <c r="D707" s="5">
        <v>2</v>
      </c>
      <c r="E707" s="7" t="str">
        <f>_xlfn.XLOOKUP(B707,Customers!A707:A1706,Customers!B707:B1706,"Customer Not Found",0)</f>
        <v>Customer Not Found</v>
      </c>
      <c r="F707" s="7" t="str">
        <f>_xlfn.XLOOKUP(Orders!B707,Customers!A707:A1706,Customers!C707:C1706,"Country not Found",0)</f>
        <v>Country not Found</v>
      </c>
      <c r="G707" s="7" t="str">
        <f>_xlfn.XLOOKUP(C707,Products!A707:A1206,Products!B707:B1206,"Product Missing",0)</f>
        <v>Product Missing</v>
      </c>
      <c r="H707" s="7" t="str">
        <f>_xlfn.XLOOKUP(C707,Products!A707:A1206,Products!C707:C1206,"Category Missing",0)</f>
        <v>Category Missing</v>
      </c>
      <c r="I707" s="11" t="str">
        <f>_xlfn.XLOOKUP(Orders!C707,Products!A707:A1206,Products!D707:D1206,"Price Missing",0)</f>
        <v>Price Missing</v>
      </c>
      <c r="J707" s="19">
        <f t="shared" ref="J707:J770" si="11">IFERROR(I707*D707,0)</f>
        <v>0</v>
      </c>
    </row>
    <row r="708" spans="1:10" x14ac:dyDescent="0.35">
      <c r="A708" s="4" t="s">
        <v>4728</v>
      </c>
      <c r="B708" s="7" t="s">
        <v>2726</v>
      </c>
      <c r="C708" s="7" t="s">
        <v>3952</v>
      </c>
      <c r="D708" s="5">
        <v>9</v>
      </c>
      <c r="E708" s="7" t="str">
        <f>_xlfn.XLOOKUP(B708,Customers!A708:A1707,Customers!B708:B1707,"Customer Not Found",0)</f>
        <v>Customer_906</v>
      </c>
      <c r="F708" s="7" t="str">
        <f>_xlfn.XLOOKUP(Orders!B708,Customers!A708:A1707,Customers!C708:C1707,"Country not Found",0)</f>
        <v>Canada</v>
      </c>
      <c r="G708" s="7" t="str">
        <f>_xlfn.XLOOKUP(C708,Products!A708:A1207,Products!B708:B1207,"Product Missing",0)</f>
        <v>Product Missing</v>
      </c>
      <c r="H708" s="7" t="str">
        <f>_xlfn.XLOOKUP(C708,Products!A708:A1207,Products!C708:C1207,"Category Missing",0)</f>
        <v>Category Missing</v>
      </c>
      <c r="I708" s="11" t="str">
        <f>_xlfn.XLOOKUP(Orders!C708,Products!A708:A1207,Products!D708:D1207,"Price Missing",0)</f>
        <v>Price Missing</v>
      </c>
      <c r="J708" s="19">
        <f t="shared" si="11"/>
        <v>0</v>
      </c>
    </row>
    <row r="709" spans="1:10" x14ac:dyDescent="0.35">
      <c r="A709" s="4" t="s">
        <v>4729</v>
      </c>
      <c r="B709" s="7" t="s">
        <v>1823</v>
      </c>
      <c r="C709" s="7" t="s">
        <v>3456</v>
      </c>
      <c r="D709" s="5">
        <v>8</v>
      </c>
      <c r="E709" s="7" t="str">
        <f>_xlfn.XLOOKUP(B709,Customers!A709:A1708,Customers!B709:B1708,"Customer Not Found",0)</f>
        <v>Customer Not Found</v>
      </c>
      <c r="F709" s="7" t="str">
        <f>_xlfn.XLOOKUP(Orders!B709,Customers!A709:A1708,Customers!C709:C1708,"Country not Found",0)</f>
        <v>Country not Found</v>
      </c>
      <c r="G709" s="7" t="str">
        <f>_xlfn.XLOOKUP(C709,Products!A709:A1208,Products!B709:B1208,"Product Missing",0)</f>
        <v>Product Missing</v>
      </c>
      <c r="H709" s="7" t="str">
        <f>_xlfn.XLOOKUP(C709,Products!A709:A1208,Products!C709:C1208,"Category Missing",0)</f>
        <v>Category Missing</v>
      </c>
      <c r="I709" s="11" t="str">
        <f>_xlfn.XLOOKUP(Orders!C709,Products!A709:A1208,Products!D709:D1208,"Price Missing",0)</f>
        <v>Price Missing</v>
      </c>
      <c r="J709" s="19">
        <f t="shared" si="11"/>
        <v>0</v>
      </c>
    </row>
    <row r="710" spans="1:10" x14ac:dyDescent="0.35">
      <c r="A710" s="4" t="s">
        <v>4730</v>
      </c>
      <c r="B710" s="7" t="s">
        <v>1337</v>
      </c>
      <c r="C710" s="7" t="s">
        <v>3284</v>
      </c>
      <c r="D710" s="5">
        <v>7</v>
      </c>
      <c r="E710" s="7" t="str">
        <f>_xlfn.XLOOKUP(B710,Customers!A710:A1709,Customers!B710:B1709,"Customer Not Found",0)</f>
        <v>Customer Not Found</v>
      </c>
      <c r="F710" s="7" t="str">
        <f>_xlfn.XLOOKUP(Orders!B710,Customers!A710:A1709,Customers!C710:C1709,"Country not Found",0)</f>
        <v>Country not Found</v>
      </c>
      <c r="G710" s="7" t="str">
        <f>_xlfn.XLOOKUP(C710,Products!A710:A1209,Products!B710:B1209,"Product Missing",0)</f>
        <v>Product Missing</v>
      </c>
      <c r="H710" s="7" t="str">
        <f>_xlfn.XLOOKUP(C710,Products!A710:A1209,Products!C710:C1209,"Category Missing",0)</f>
        <v>Category Missing</v>
      </c>
      <c r="I710" s="11" t="str">
        <f>_xlfn.XLOOKUP(Orders!C710,Products!A710:A1209,Products!D710:D1209,"Price Missing",0)</f>
        <v>Price Missing</v>
      </c>
      <c r="J710" s="19">
        <f t="shared" si="11"/>
        <v>0</v>
      </c>
    </row>
    <row r="711" spans="1:10" x14ac:dyDescent="0.35">
      <c r="A711" s="4" t="s">
        <v>4731</v>
      </c>
      <c r="B711" s="7" t="s">
        <v>2117</v>
      </c>
      <c r="C711" s="7" t="s">
        <v>3023</v>
      </c>
      <c r="D711" s="5">
        <v>3</v>
      </c>
      <c r="E711" s="7" t="str">
        <f>_xlfn.XLOOKUP(B711,Customers!A711:A1710,Customers!B711:B1710,"Customer Not Found",0)</f>
        <v>Customer Not Found</v>
      </c>
      <c r="F711" s="7" t="str">
        <f>_xlfn.XLOOKUP(Orders!B711,Customers!A711:A1710,Customers!C711:C1710,"Country not Found",0)</f>
        <v>Country not Found</v>
      </c>
      <c r="G711" s="7" t="str">
        <f>_xlfn.XLOOKUP(C711,Products!A711:A1210,Products!B711:B1210,"Product Missing",0)</f>
        <v>Product Missing</v>
      </c>
      <c r="H711" s="7" t="str">
        <f>_xlfn.XLOOKUP(C711,Products!A711:A1210,Products!C711:C1210,"Category Missing",0)</f>
        <v>Category Missing</v>
      </c>
      <c r="I711" s="11" t="str">
        <f>_xlfn.XLOOKUP(Orders!C711,Products!A711:A1210,Products!D711:D1210,"Price Missing",0)</f>
        <v>Price Missing</v>
      </c>
      <c r="J711" s="19">
        <f t="shared" si="11"/>
        <v>0</v>
      </c>
    </row>
    <row r="712" spans="1:10" x14ac:dyDescent="0.35">
      <c r="A712" s="4" t="s">
        <v>4732</v>
      </c>
      <c r="B712" s="7" t="s">
        <v>1571</v>
      </c>
      <c r="C712" s="7" t="s">
        <v>3242</v>
      </c>
      <c r="D712" s="5">
        <v>6</v>
      </c>
      <c r="E712" s="7" t="str">
        <f>_xlfn.XLOOKUP(B712,Customers!A712:A1711,Customers!B712:B1711,"Customer Not Found",0)</f>
        <v>Customer Not Found</v>
      </c>
      <c r="F712" s="7" t="str">
        <f>_xlfn.XLOOKUP(Orders!B712,Customers!A712:A1711,Customers!C712:C1711,"Country not Found",0)</f>
        <v>Country not Found</v>
      </c>
      <c r="G712" s="7" t="str">
        <f>_xlfn.XLOOKUP(C712,Products!A712:A1211,Products!B712:B1211,"Product Missing",0)</f>
        <v>Product Missing</v>
      </c>
      <c r="H712" s="7" t="str">
        <f>_xlfn.XLOOKUP(C712,Products!A712:A1211,Products!C712:C1211,"Category Missing",0)</f>
        <v>Category Missing</v>
      </c>
      <c r="I712" s="11" t="str">
        <f>_xlfn.XLOOKUP(Orders!C712,Products!A712:A1211,Products!D712:D1211,"Price Missing",0)</f>
        <v>Price Missing</v>
      </c>
      <c r="J712" s="19">
        <f t="shared" si="11"/>
        <v>0</v>
      </c>
    </row>
    <row r="713" spans="1:10" x14ac:dyDescent="0.35">
      <c r="A713" s="4" t="s">
        <v>4733</v>
      </c>
      <c r="B713" s="7" t="s">
        <v>2477</v>
      </c>
      <c r="C713" s="7" t="s">
        <v>3510</v>
      </c>
      <c r="D713" s="5">
        <v>2</v>
      </c>
      <c r="E713" s="7" t="str">
        <f>_xlfn.XLOOKUP(B713,Customers!A713:A1712,Customers!B713:B1712,"Customer Not Found",0)</f>
        <v>Customer_823</v>
      </c>
      <c r="F713" s="7" t="str">
        <f>_xlfn.XLOOKUP(Orders!B713,Customers!A713:A1712,Customers!C713:C1712,"Country not Found",0)</f>
        <v>Nigeria</v>
      </c>
      <c r="G713" s="7" t="str">
        <f>_xlfn.XLOOKUP(C713,Products!A713:A1212,Products!B713:B1212,"Product Missing",0)</f>
        <v>Product Missing</v>
      </c>
      <c r="H713" s="7" t="str">
        <f>_xlfn.XLOOKUP(C713,Products!A713:A1212,Products!C713:C1212,"Category Missing",0)</f>
        <v>Category Missing</v>
      </c>
      <c r="I713" s="11" t="str">
        <f>_xlfn.XLOOKUP(Orders!C713,Products!A713:A1212,Products!D713:D1212,"Price Missing",0)</f>
        <v>Price Missing</v>
      </c>
      <c r="J713" s="19">
        <f t="shared" si="11"/>
        <v>0</v>
      </c>
    </row>
    <row r="714" spans="1:10" x14ac:dyDescent="0.35">
      <c r="A714" s="4" t="s">
        <v>4734</v>
      </c>
      <c r="B714" s="7" t="s">
        <v>449</v>
      </c>
      <c r="C714" s="7" t="s">
        <v>3388</v>
      </c>
      <c r="D714" s="5">
        <v>1</v>
      </c>
      <c r="E714" s="7" t="str">
        <f>_xlfn.XLOOKUP(B714,Customers!A714:A1713,Customers!B714:B1713,"Customer Not Found",0)</f>
        <v>Customer Not Found</v>
      </c>
      <c r="F714" s="7" t="str">
        <f>_xlfn.XLOOKUP(Orders!B714,Customers!A714:A1713,Customers!C714:C1713,"Country not Found",0)</f>
        <v>Country not Found</v>
      </c>
      <c r="G714" s="7" t="str">
        <f>_xlfn.XLOOKUP(C714,Products!A714:A1213,Products!B714:B1213,"Product Missing",0)</f>
        <v>Product Missing</v>
      </c>
      <c r="H714" s="7" t="str">
        <f>_xlfn.XLOOKUP(C714,Products!A714:A1213,Products!C714:C1213,"Category Missing",0)</f>
        <v>Category Missing</v>
      </c>
      <c r="I714" s="11" t="str">
        <f>_xlfn.XLOOKUP(Orders!C714,Products!A714:A1213,Products!D714:D1213,"Price Missing",0)</f>
        <v>Price Missing</v>
      </c>
      <c r="J714" s="19">
        <f t="shared" si="11"/>
        <v>0</v>
      </c>
    </row>
    <row r="715" spans="1:10" x14ac:dyDescent="0.35">
      <c r="A715" s="4" t="s">
        <v>4735</v>
      </c>
      <c r="B715" s="7" t="s">
        <v>2936</v>
      </c>
      <c r="C715" s="7" t="s">
        <v>3196</v>
      </c>
      <c r="D715" s="5">
        <v>9</v>
      </c>
      <c r="E715" s="7" t="str">
        <f>_xlfn.XLOOKUP(B715,Customers!A715:A1714,Customers!B715:B1714,"Customer Not Found",0)</f>
        <v>Customer_976</v>
      </c>
      <c r="F715" s="7" t="str">
        <f>_xlfn.XLOOKUP(Orders!B715,Customers!A715:A1714,Customers!C715:C1714,"Country not Found",0)</f>
        <v>South Africa</v>
      </c>
      <c r="G715" s="7" t="str">
        <f>_xlfn.XLOOKUP(C715,Products!A715:A1214,Products!B715:B1214,"Product Missing",0)</f>
        <v>Product Missing</v>
      </c>
      <c r="H715" s="7" t="str">
        <f>_xlfn.XLOOKUP(C715,Products!A715:A1214,Products!C715:C1214,"Category Missing",0)</f>
        <v>Category Missing</v>
      </c>
      <c r="I715" s="11" t="str">
        <f>_xlfn.XLOOKUP(Orders!C715,Products!A715:A1214,Products!D715:D1214,"Price Missing",0)</f>
        <v>Price Missing</v>
      </c>
      <c r="J715" s="19">
        <f t="shared" si="11"/>
        <v>0</v>
      </c>
    </row>
    <row r="716" spans="1:10" x14ac:dyDescent="0.35">
      <c r="A716" s="4" t="s">
        <v>4736</v>
      </c>
      <c r="B716" s="7" t="s">
        <v>1280</v>
      </c>
      <c r="C716" s="7" t="s">
        <v>3562</v>
      </c>
      <c r="D716" s="5">
        <v>4</v>
      </c>
      <c r="E716" s="7" t="str">
        <f>_xlfn.XLOOKUP(B716,Customers!A716:A1715,Customers!B716:B1715,"Customer Not Found",0)</f>
        <v>Customer Not Found</v>
      </c>
      <c r="F716" s="7" t="str">
        <f>_xlfn.XLOOKUP(Orders!B716,Customers!A716:A1715,Customers!C716:C1715,"Country not Found",0)</f>
        <v>Country not Found</v>
      </c>
      <c r="G716" s="7" t="str">
        <f>_xlfn.XLOOKUP(C716,Products!A716:A1215,Products!B716:B1215,"Product Missing",0)</f>
        <v>Product Missing</v>
      </c>
      <c r="H716" s="7" t="str">
        <f>_xlfn.XLOOKUP(C716,Products!A716:A1215,Products!C716:C1215,"Category Missing",0)</f>
        <v>Category Missing</v>
      </c>
      <c r="I716" s="11" t="str">
        <f>_xlfn.XLOOKUP(Orders!C716,Products!A716:A1215,Products!D716:D1215,"Price Missing",0)</f>
        <v>Price Missing</v>
      </c>
      <c r="J716" s="19">
        <f t="shared" si="11"/>
        <v>0</v>
      </c>
    </row>
    <row r="717" spans="1:10" x14ac:dyDescent="0.35">
      <c r="A717" s="4" t="s">
        <v>4737</v>
      </c>
      <c r="B717" s="7" t="s">
        <v>656</v>
      </c>
      <c r="C717" s="7" t="s">
        <v>3252</v>
      </c>
      <c r="D717" s="5">
        <v>2</v>
      </c>
      <c r="E717" s="7" t="str">
        <f>_xlfn.XLOOKUP(B717,Customers!A717:A1716,Customers!B717:B1716,"Customer Not Found",0)</f>
        <v>Customer Not Found</v>
      </c>
      <c r="F717" s="7" t="str">
        <f>_xlfn.XLOOKUP(Orders!B717,Customers!A717:A1716,Customers!C717:C1716,"Country not Found",0)</f>
        <v>Country not Found</v>
      </c>
      <c r="G717" s="7" t="str">
        <f>_xlfn.XLOOKUP(C717,Products!A717:A1216,Products!B717:B1216,"Product Missing",0)</f>
        <v>Product Missing</v>
      </c>
      <c r="H717" s="7" t="str">
        <f>_xlfn.XLOOKUP(C717,Products!A717:A1216,Products!C717:C1216,"Category Missing",0)</f>
        <v>Category Missing</v>
      </c>
      <c r="I717" s="11" t="str">
        <f>_xlfn.XLOOKUP(Orders!C717,Products!A717:A1216,Products!D717:D1216,"Price Missing",0)</f>
        <v>Price Missing</v>
      </c>
      <c r="J717" s="19">
        <f t="shared" si="11"/>
        <v>0</v>
      </c>
    </row>
    <row r="718" spans="1:10" x14ac:dyDescent="0.35">
      <c r="A718" s="4" t="s">
        <v>4738</v>
      </c>
      <c r="B718" s="7" t="s">
        <v>2087</v>
      </c>
      <c r="C718" s="7" t="s">
        <v>3540</v>
      </c>
      <c r="D718" s="5">
        <v>5</v>
      </c>
      <c r="E718" s="7" t="str">
        <f>_xlfn.XLOOKUP(B718,Customers!A718:A1717,Customers!B718:B1717,"Customer Not Found",0)</f>
        <v>Customer Not Found</v>
      </c>
      <c r="F718" s="7" t="str">
        <f>_xlfn.XLOOKUP(Orders!B718,Customers!A718:A1717,Customers!C718:C1717,"Country not Found",0)</f>
        <v>Country not Found</v>
      </c>
      <c r="G718" s="7" t="str">
        <f>_xlfn.XLOOKUP(C718,Products!A718:A1217,Products!B718:B1217,"Product Missing",0)</f>
        <v>Product Missing</v>
      </c>
      <c r="H718" s="7" t="str">
        <f>_xlfn.XLOOKUP(C718,Products!A718:A1217,Products!C718:C1217,"Category Missing",0)</f>
        <v>Category Missing</v>
      </c>
      <c r="I718" s="11" t="str">
        <f>_xlfn.XLOOKUP(Orders!C718,Products!A718:A1217,Products!D718:D1217,"Price Missing",0)</f>
        <v>Price Missing</v>
      </c>
      <c r="J718" s="19">
        <f t="shared" si="11"/>
        <v>0</v>
      </c>
    </row>
    <row r="719" spans="1:10" x14ac:dyDescent="0.35">
      <c r="A719" s="4" t="s">
        <v>4739</v>
      </c>
      <c r="B719" s="7" t="s">
        <v>584</v>
      </c>
      <c r="C719" s="7" t="s">
        <v>3108</v>
      </c>
      <c r="D719" s="5">
        <v>8</v>
      </c>
      <c r="E719" s="7" t="str">
        <f>_xlfn.XLOOKUP(B719,Customers!A719:A1718,Customers!B719:B1718,"Customer Not Found",0)</f>
        <v>Customer Not Found</v>
      </c>
      <c r="F719" s="7" t="str">
        <f>_xlfn.XLOOKUP(Orders!B719,Customers!A719:A1718,Customers!C719:C1718,"Country not Found",0)</f>
        <v>Country not Found</v>
      </c>
      <c r="G719" s="7" t="str">
        <f>_xlfn.XLOOKUP(C719,Products!A719:A1218,Products!B719:B1218,"Product Missing",0)</f>
        <v>Product Missing</v>
      </c>
      <c r="H719" s="7" t="str">
        <f>_xlfn.XLOOKUP(C719,Products!A719:A1218,Products!C719:C1218,"Category Missing",0)</f>
        <v>Category Missing</v>
      </c>
      <c r="I719" s="11" t="str">
        <f>_xlfn.XLOOKUP(Orders!C719,Products!A719:A1218,Products!D719:D1218,"Price Missing",0)</f>
        <v>Price Missing</v>
      </c>
      <c r="J719" s="19">
        <f t="shared" si="11"/>
        <v>0</v>
      </c>
    </row>
    <row r="720" spans="1:10" x14ac:dyDescent="0.35">
      <c r="A720" s="4" t="s">
        <v>4740</v>
      </c>
      <c r="B720" s="7" t="s">
        <v>1490</v>
      </c>
      <c r="C720" s="7" t="s">
        <v>3688</v>
      </c>
      <c r="D720" s="5">
        <v>10</v>
      </c>
      <c r="E720" s="7" t="str">
        <f>_xlfn.XLOOKUP(B720,Customers!A720:A1719,Customers!B720:B1719,"Customer Not Found",0)</f>
        <v>Customer Not Found</v>
      </c>
      <c r="F720" s="7" t="str">
        <f>_xlfn.XLOOKUP(Orders!B720,Customers!A720:A1719,Customers!C720:C1719,"Country not Found",0)</f>
        <v>Country not Found</v>
      </c>
      <c r="G720" s="7" t="str">
        <f>_xlfn.XLOOKUP(C720,Products!A720:A1219,Products!B720:B1219,"Product Missing",0)</f>
        <v>Product Missing</v>
      </c>
      <c r="H720" s="7" t="str">
        <f>_xlfn.XLOOKUP(C720,Products!A720:A1219,Products!C720:C1219,"Category Missing",0)</f>
        <v>Category Missing</v>
      </c>
      <c r="I720" s="11" t="str">
        <f>_xlfn.XLOOKUP(Orders!C720,Products!A720:A1219,Products!D720:D1219,"Price Missing",0)</f>
        <v>Price Missing</v>
      </c>
      <c r="J720" s="19">
        <f t="shared" si="11"/>
        <v>0</v>
      </c>
    </row>
    <row r="721" spans="1:10" x14ac:dyDescent="0.35">
      <c r="A721" s="4" t="s">
        <v>4741</v>
      </c>
      <c r="B721" s="7" t="s">
        <v>236</v>
      </c>
      <c r="C721" s="7" t="s">
        <v>3266</v>
      </c>
      <c r="D721" s="5">
        <v>4</v>
      </c>
      <c r="E721" s="7" t="str">
        <f>_xlfn.XLOOKUP(B721,Customers!A721:A1720,Customers!B721:B1720,"Customer Not Found",0)</f>
        <v>Customer Not Found</v>
      </c>
      <c r="F721" s="7" t="str">
        <f>_xlfn.XLOOKUP(Orders!B721,Customers!A721:A1720,Customers!C721:C1720,"Country not Found",0)</f>
        <v>Country not Found</v>
      </c>
      <c r="G721" s="7" t="str">
        <f>_xlfn.XLOOKUP(C721,Products!A721:A1220,Products!B721:B1220,"Product Missing",0)</f>
        <v>Product Missing</v>
      </c>
      <c r="H721" s="7" t="str">
        <f>_xlfn.XLOOKUP(C721,Products!A721:A1220,Products!C721:C1220,"Category Missing",0)</f>
        <v>Category Missing</v>
      </c>
      <c r="I721" s="11" t="str">
        <f>_xlfn.XLOOKUP(Orders!C721,Products!A721:A1220,Products!D721:D1220,"Price Missing",0)</f>
        <v>Price Missing</v>
      </c>
      <c r="J721" s="19">
        <f t="shared" si="11"/>
        <v>0</v>
      </c>
    </row>
    <row r="722" spans="1:10" x14ac:dyDescent="0.35">
      <c r="A722" s="4" t="s">
        <v>4742</v>
      </c>
      <c r="B722" s="7" t="s">
        <v>2384</v>
      </c>
      <c r="C722" s="7" t="s">
        <v>3230</v>
      </c>
      <c r="D722" s="5">
        <v>3</v>
      </c>
      <c r="E722" s="7" t="str">
        <f>_xlfn.XLOOKUP(B722,Customers!A722:A1721,Customers!B722:B1721,"Customer Not Found",0)</f>
        <v>Customer_792</v>
      </c>
      <c r="F722" s="7" t="str">
        <f>_xlfn.XLOOKUP(Orders!B722,Customers!A722:A1721,Customers!C722:C1721,"Country not Found",0)</f>
        <v>Kenya</v>
      </c>
      <c r="G722" s="7" t="str">
        <f>_xlfn.XLOOKUP(C722,Products!A722:A1221,Products!B722:B1221,"Product Missing",0)</f>
        <v>Product Missing</v>
      </c>
      <c r="H722" s="7" t="str">
        <f>_xlfn.XLOOKUP(C722,Products!A722:A1221,Products!C722:C1221,"Category Missing",0)</f>
        <v>Category Missing</v>
      </c>
      <c r="I722" s="11" t="str">
        <f>_xlfn.XLOOKUP(Orders!C722,Products!A722:A1221,Products!D722:D1221,"Price Missing",0)</f>
        <v>Price Missing</v>
      </c>
      <c r="J722" s="19">
        <f t="shared" si="11"/>
        <v>0</v>
      </c>
    </row>
    <row r="723" spans="1:10" x14ac:dyDescent="0.35">
      <c r="A723" s="4" t="s">
        <v>4743</v>
      </c>
      <c r="B723" s="7" t="s">
        <v>1412</v>
      </c>
      <c r="C723" s="7" t="s">
        <v>3280</v>
      </c>
      <c r="D723" s="5">
        <v>9</v>
      </c>
      <c r="E723" s="7" t="str">
        <f>_xlfn.XLOOKUP(B723,Customers!A723:A1722,Customers!B723:B1722,"Customer Not Found",0)</f>
        <v>Customer Not Found</v>
      </c>
      <c r="F723" s="7" t="str">
        <f>_xlfn.XLOOKUP(Orders!B723,Customers!A723:A1722,Customers!C723:C1722,"Country not Found",0)</f>
        <v>Country not Found</v>
      </c>
      <c r="G723" s="7" t="str">
        <f>_xlfn.XLOOKUP(C723,Products!A723:A1222,Products!B723:B1222,"Product Missing",0)</f>
        <v>Product Missing</v>
      </c>
      <c r="H723" s="7" t="str">
        <f>_xlfn.XLOOKUP(C723,Products!A723:A1222,Products!C723:C1222,"Category Missing",0)</f>
        <v>Category Missing</v>
      </c>
      <c r="I723" s="11" t="str">
        <f>_xlfn.XLOOKUP(Orders!C723,Products!A723:A1222,Products!D723:D1222,"Price Missing",0)</f>
        <v>Price Missing</v>
      </c>
      <c r="J723" s="19">
        <f t="shared" si="11"/>
        <v>0</v>
      </c>
    </row>
    <row r="724" spans="1:10" x14ac:dyDescent="0.35">
      <c r="A724" s="4" t="s">
        <v>4744</v>
      </c>
      <c r="B724" s="7" t="s">
        <v>1463</v>
      </c>
      <c r="C724" s="7" t="s">
        <v>3726</v>
      </c>
      <c r="D724" s="5">
        <v>10</v>
      </c>
      <c r="E724" s="7" t="str">
        <f>_xlfn.XLOOKUP(B724,Customers!A724:A1723,Customers!B724:B1723,"Customer Not Found",0)</f>
        <v>Customer Not Found</v>
      </c>
      <c r="F724" s="7" t="str">
        <f>_xlfn.XLOOKUP(Orders!B724,Customers!A724:A1723,Customers!C724:C1723,"Country not Found",0)</f>
        <v>Country not Found</v>
      </c>
      <c r="G724" s="7" t="str">
        <f>_xlfn.XLOOKUP(C724,Products!A724:A1223,Products!B724:B1223,"Product Missing",0)</f>
        <v>Product Missing</v>
      </c>
      <c r="H724" s="7" t="str">
        <f>_xlfn.XLOOKUP(C724,Products!A724:A1223,Products!C724:C1223,"Category Missing",0)</f>
        <v>Category Missing</v>
      </c>
      <c r="I724" s="11" t="str">
        <f>_xlfn.XLOOKUP(Orders!C724,Products!A724:A1223,Products!D724:D1223,"Price Missing",0)</f>
        <v>Price Missing</v>
      </c>
      <c r="J724" s="19">
        <f t="shared" si="11"/>
        <v>0</v>
      </c>
    </row>
    <row r="725" spans="1:10" x14ac:dyDescent="0.35">
      <c r="A725" s="4" t="s">
        <v>4745</v>
      </c>
      <c r="B725" s="7" t="s">
        <v>878</v>
      </c>
      <c r="C725" s="7" t="s">
        <v>3706</v>
      </c>
      <c r="D725" s="5">
        <v>6</v>
      </c>
      <c r="E725" s="7" t="str">
        <f>_xlfn.XLOOKUP(B725,Customers!A725:A1724,Customers!B725:B1724,"Customer Not Found",0)</f>
        <v>Customer Not Found</v>
      </c>
      <c r="F725" s="7" t="str">
        <f>_xlfn.XLOOKUP(Orders!B725,Customers!A725:A1724,Customers!C725:C1724,"Country not Found",0)</f>
        <v>Country not Found</v>
      </c>
      <c r="G725" s="7" t="str">
        <f>_xlfn.XLOOKUP(C725,Products!A725:A1224,Products!B725:B1224,"Product Missing",0)</f>
        <v>Product Missing</v>
      </c>
      <c r="H725" s="7" t="str">
        <f>_xlfn.XLOOKUP(C725,Products!A725:A1224,Products!C725:C1224,"Category Missing",0)</f>
        <v>Category Missing</v>
      </c>
      <c r="I725" s="11" t="str">
        <f>_xlfn.XLOOKUP(Orders!C725,Products!A725:A1224,Products!D725:D1224,"Price Missing",0)</f>
        <v>Price Missing</v>
      </c>
      <c r="J725" s="19">
        <f t="shared" si="11"/>
        <v>0</v>
      </c>
    </row>
    <row r="726" spans="1:10" x14ac:dyDescent="0.35">
      <c r="A726" s="4" t="s">
        <v>4746</v>
      </c>
      <c r="B726" s="7" t="s">
        <v>2837</v>
      </c>
      <c r="C726" s="7" t="s">
        <v>3152</v>
      </c>
      <c r="D726" s="5">
        <v>4</v>
      </c>
      <c r="E726" s="7" t="str">
        <f>_xlfn.XLOOKUP(B726,Customers!A726:A1725,Customers!B726:B1725,"Customer Not Found",0)</f>
        <v>Customer_943</v>
      </c>
      <c r="F726" s="7" t="str">
        <f>_xlfn.XLOOKUP(Orders!B726,Customers!A726:A1725,Customers!C726:C1725,"Country not Found",0)</f>
        <v>Ghana</v>
      </c>
      <c r="G726" s="7" t="str">
        <f>_xlfn.XLOOKUP(C726,Products!A726:A1225,Products!B726:B1225,"Product Missing",0)</f>
        <v>Product Missing</v>
      </c>
      <c r="H726" s="7" t="str">
        <f>_xlfn.XLOOKUP(C726,Products!A726:A1225,Products!C726:C1225,"Category Missing",0)</f>
        <v>Category Missing</v>
      </c>
      <c r="I726" s="11" t="str">
        <f>_xlfn.XLOOKUP(Orders!C726,Products!A726:A1225,Products!D726:D1225,"Price Missing",0)</f>
        <v>Price Missing</v>
      </c>
      <c r="J726" s="19">
        <f t="shared" si="11"/>
        <v>0</v>
      </c>
    </row>
    <row r="727" spans="1:10" x14ac:dyDescent="0.35">
      <c r="A727" s="4" t="s">
        <v>4747</v>
      </c>
      <c r="B727" s="7" t="s">
        <v>1187</v>
      </c>
      <c r="C727" s="7" t="s">
        <v>3640</v>
      </c>
      <c r="D727" s="5">
        <v>5</v>
      </c>
      <c r="E727" s="7" t="str">
        <f>_xlfn.XLOOKUP(B727,Customers!A727:A1726,Customers!B727:B1726,"Customer Not Found",0)</f>
        <v>Customer Not Found</v>
      </c>
      <c r="F727" s="7" t="str">
        <f>_xlfn.XLOOKUP(Orders!B727,Customers!A727:A1726,Customers!C727:C1726,"Country not Found",0)</f>
        <v>Country not Found</v>
      </c>
      <c r="G727" s="7" t="str">
        <f>_xlfn.XLOOKUP(C727,Products!A727:A1226,Products!B727:B1226,"Product Missing",0)</f>
        <v>Product Missing</v>
      </c>
      <c r="H727" s="7" t="str">
        <f>_xlfn.XLOOKUP(C727,Products!A727:A1226,Products!C727:C1226,"Category Missing",0)</f>
        <v>Category Missing</v>
      </c>
      <c r="I727" s="11" t="str">
        <f>_xlfn.XLOOKUP(Orders!C727,Products!A727:A1226,Products!D727:D1226,"Price Missing",0)</f>
        <v>Price Missing</v>
      </c>
      <c r="J727" s="19">
        <f t="shared" si="11"/>
        <v>0</v>
      </c>
    </row>
    <row r="728" spans="1:10" x14ac:dyDescent="0.35">
      <c r="A728" s="4" t="s">
        <v>4748</v>
      </c>
      <c r="B728" s="7" t="s">
        <v>1577</v>
      </c>
      <c r="C728" s="7" t="s">
        <v>3936</v>
      </c>
      <c r="D728" s="5">
        <v>10</v>
      </c>
      <c r="E728" s="7" t="str">
        <f>_xlfn.XLOOKUP(B728,Customers!A728:A1727,Customers!B728:B1727,"Customer Not Found",0)</f>
        <v>Customer Not Found</v>
      </c>
      <c r="F728" s="7" t="str">
        <f>_xlfn.XLOOKUP(Orders!B728,Customers!A728:A1727,Customers!C728:C1727,"Country not Found",0)</f>
        <v>Country not Found</v>
      </c>
      <c r="G728" s="7" t="str">
        <f>_xlfn.XLOOKUP(C728,Products!A728:A1227,Products!B728:B1227,"Product Missing",0)</f>
        <v>Product Missing</v>
      </c>
      <c r="H728" s="7" t="str">
        <f>_xlfn.XLOOKUP(C728,Products!A728:A1227,Products!C728:C1227,"Category Missing",0)</f>
        <v>Category Missing</v>
      </c>
      <c r="I728" s="11" t="str">
        <f>_xlfn.XLOOKUP(Orders!C728,Products!A728:A1227,Products!D728:D1227,"Price Missing",0)</f>
        <v>Price Missing</v>
      </c>
      <c r="J728" s="19">
        <f t="shared" si="11"/>
        <v>0</v>
      </c>
    </row>
    <row r="729" spans="1:10" x14ac:dyDescent="0.35">
      <c r="A729" s="4" t="s">
        <v>4749</v>
      </c>
      <c r="B729" s="7" t="s">
        <v>1478</v>
      </c>
      <c r="C729" s="7" t="s">
        <v>3296</v>
      </c>
      <c r="D729" s="5">
        <v>4</v>
      </c>
      <c r="E729" s="7" t="str">
        <f>_xlfn.XLOOKUP(B729,Customers!A729:A1728,Customers!B729:B1728,"Customer Not Found",0)</f>
        <v>Customer Not Found</v>
      </c>
      <c r="F729" s="7" t="str">
        <f>_xlfn.XLOOKUP(Orders!B729,Customers!A729:A1728,Customers!C729:C1728,"Country not Found",0)</f>
        <v>Country not Found</v>
      </c>
      <c r="G729" s="7" t="str">
        <f>_xlfn.XLOOKUP(C729,Products!A729:A1228,Products!B729:B1228,"Product Missing",0)</f>
        <v>Product Missing</v>
      </c>
      <c r="H729" s="7" t="str">
        <f>_xlfn.XLOOKUP(C729,Products!A729:A1228,Products!C729:C1228,"Category Missing",0)</f>
        <v>Category Missing</v>
      </c>
      <c r="I729" s="11" t="str">
        <f>_xlfn.XLOOKUP(Orders!C729,Products!A729:A1228,Products!D729:D1228,"Price Missing",0)</f>
        <v>Price Missing</v>
      </c>
      <c r="J729" s="19">
        <f t="shared" si="11"/>
        <v>0</v>
      </c>
    </row>
    <row r="730" spans="1:10" x14ac:dyDescent="0.35">
      <c r="A730" s="4" t="s">
        <v>4750</v>
      </c>
      <c r="B730" s="7" t="s">
        <v>833</v>
      </c>
      <c r="C730" s="7" t="s">
        <v>3906</v>
      </c>
      <c r="D730" s="5">
        <v>7</v>
      </c>
      <c r="E730" s="7" t="str">
        <f>_xlfn.XLOOKUP(B730,Customers!A730:A1729,Customers!B730:B1729,"Customer Not Found",0)</f>
        <v>Customer Not Found</v>
      </c>
      <c r="F730" s="7" t="str">
        <f>_xlfn.XLOOKUP(Orders!B730,Customers!A730:A1729,Customers!C730:C1729,"Country not Found",0)</f>
        <v>Country not Found</v>
      </c>
      <c r="G730" s="7" t="str">
        <f>_xlfn.XLOOKUP(C730,Products!A730:A1229,Products!B730:B1229,"Product Missing",0)</f>
        <v>Product Missing</v>
      </c>
      <c r="H730" s="7" t="str">
        <f>_xlfn.XLOOKUP(C730,Products!A730:A1229,Products!C730:C1229,"Category Missing",0)</f>
        <v>Category Missing</v>
      </c>
      <c r="I730" s="11" t="str">
        <f>_xlfn.XLOOKUP(Orders!C730,Products!A730:A1229,Products!D730:D1229,"Price Missing",0)</f>
        <v>Price Missing</v>
      </c>
      <c r="J730" s="19">
        <f t="shared" si="11"/>
        <v>0</v>
      </c>
    </row>
    <row r="731" spans="1:10" x14ac:dyDescent="0.35">
      <c r="A731" s="4" t="s">
        <v>4751</v>
      </c>
      <c r="B731" s="7" t="s">
        <v>2705</v>
      </c>
      <c r="C731" s="7" t="s">
        <v>3924</v>
      </c>
      <c r="D731" s="5">
        <v>4</v>
      </c>
      <c r="E731" s="7" t="str">
        <f>_xlfn.XLOOKUP(B731,Customers!A731:A1730,Customers!B731:B1730,"Customer Not Found",0)</f>
        <v>Customer_899</v>
      </c>
      <c r="F731" s="7" t="str">
        <f>_xlfn.XLOOKUP(Orders!B731,Customers!A731:A1730,Customers!C731:C1730,"Country not Found",0)</f>
        <v>UK</v>
      </c>
      <c r="G731" s="7" t="str">
        <f>_xlfn.XLOOKUP(C731,Products!A731:A1230,Products!B731:B1230,"Product Missing",0)</f>
        <v>Product Missing</v>
      </c>
      <c r="H731" s="7" t="str">
        <f>_xlfn.XLOOKUP(C731,Products!A731:A1230,Products!C731:C1230,"Category Missing",0)</f>
        <v>Category Missing</v>
      </c>
      <c r="I731" s="11" t="str">
        <f>_xlfn.XLOOKUP(Orders!C731,Products!A731:A1230,Products!D731:D1230,"Price Missing",0)</f>
        <v>Price Missing</v>
      </c>
      <c r="J731" s="19">
        <f t="shared" si="11"/>
        <v>0</v>
      </c>
    </row>
    <row r="732" spans="1:10" x14ac:dyDescent="0.35">
      <c r="A732" s="4" t="s">
        <v>4752</v>
      </c>
      <c r="B732" s="7" t="s">
        <v>929</v>
      </c>
      <c r="C732" s="7" t="s">
        <v>3254</v>
      </c>
      <c r="D732" s="5">
        <v>10</v>
      </c>
      <c r="E732" s="7" t="str">
        <f>_xlfn.XLOOKUP(B732,Customers!A732:A1731,Customers!B732:B1731,"Customer Not Found",0)</f>
        <v>Customer Not Found</v>
      </c>
      <c r="F732" s="7" t="str">
        <f>_xlfn.XLOOKUP(Orders!B732,Customers!A732:A1731,Customers!C732:C1731,"Country not Found",0)</f>
        <v>Country not Found</v>
      </c>
      <c r="G732" s="7" t="str">
        <f>_xlfn.XLOOKUP(C732,Products!A732:A1231,Products!B732:B1231,"Product Missing",0)</f>
        <v>Product Missing</v>
      </c>
      <c r="H732" s="7" t="str">
        <f>_xlfn.XLOOKUP(C732,Products!A732:A1231,Products!C732:C1231,"Category Missing",0)</f>
        <v>Category Missing</v>
      </c>
      <c r="I732" s="11" t="str">
        <f>_xlfn.XLOOKUP(Orders!C732,Products!A732:A1231,Products!D732:D1231,"Price Missing",0)</f>
        <v>Price Missing</v>
      </c>
      <c r="J732" s="19">
        <f t="shared" si="11"/>
        <v>0</v>
      </c>
    </row>
    <row r="733" spans="1:10" x14ac:dyDescent="0.35">
      <c r="A733" s="4" t="s">
        <v>4753</v>
      </c>
      <c r="B733" s="7" t="s">
        <v>1052</v>
      </c>
      <c r="C733" s="7" t="s">
        <v>3416</v>
      </c>
      <c r="D733" s="5">
        <v>2</v>
      </c>
      <c r="E733" s="7" t="str">
        <f>_xlfn.XLOOKUP(B733,Customers!A733:A1732,Customers!B733:B1732,"Customer Not Found",0)</f>
        <v>Customer Not Found</v>
      </c>
      <c r="F733" s="7" t="str">
        <f>_xlfn.XLOOKUP(Orders!B733,Customers!A733:A1732,Customers!C733:C1732,"Country not Found",0)</f>
        <v>Country not Found</v>
      </c>
      <c r="G733" s="7" t="str">
        <f>_xlfn.XLOOKUP(C733,Products!A733:A1232,Products!B733:B1232,"Product Missing",0)</f>
        <v>Product Missing</v>
      </c>
      <c r="H733" s="7" t="str">
        <f>_xlfn.XLOOKUP(C733,Products!A733:A1232,Products!C733:C1232,"Category Missing",0)</f>
        <v>Category Missing</v>
      </c>
      <c r="I733" s="11" t="str">
        <f>_xlfn.XLOOKUP(Orders!C733,Products!A733:A1232,Products!D733:D1232,"Price Missing",0)</f>
        <v>Price Missing</v>
      </c>
      <c r="J733" s="19">
        <f t="shared" si="11"/>
        <v>0</v>
      </c>
    </row>
    <row r="734" spans="1:10" x14ac:dyDescent="0.35">
      <c r="A734" s="4" t="s">
        <v>4754</v>
      </c>
      <c r="B734" s="7" t="s">
        <v>2009</v>
      </c>
      <c r="C734" s="7" t="s">
        <v>3047</v>
      </c>
      <c r="D734" s="5">
        <v>10</v>
      </c>
      <c r="E734" s="7" t="str">
        <f>_xlfn.XLOOKUP(B734,Customers!A734:A1733,Customers!B734:B1733,"Customer Not Found",0)</f>
        <v>Customer Not Found</v>
      </c>
      <c r="F734" s="7" t="str">
        <f>_xlfn.XLOOKUP(Orders!B734,Customers!A734:A1733,Customers!C734:C1733,"Country not Found",0)</f>
        <v>Country not Found</v>
      </c>
      <c r="G734" s="7" t="str">
        <f>_xlfn.XLOOKUP(C734,Products!A734:A1233,Products!B734:B1233,"Product Missing",0)</f>
        <v>Product Missing</v>
      </c>
      <c r="H734" s="7" t="str">
        <f>_xlfn.XLOOKUP(C734,Products!A734:A1233,Products!C734:C1233,"Category Missing",0)</f>
        <v>Category Missing</v>
      </c>
      <c r="I734" s="11" t="str">
        <f>_xlfn.XLOOKUP(Orders!C734,Products!A734:A1233,Products!D734:D1233,"Price Missing",0)</f>
        <v>Price Missing</v>
      </c>
      <c r="J734" s="19">
        <f t="shared" si="11"/>
        <v>0</v>
      </c>
    </row>
    <row r="735" spans="1:10" x14ac:dyDescent="0.35">
      <c r="A735" s="4" t="s">
        <v>4755</v>
      </c>
      <c r="B735" s="7" t="s">
        <v>1979</v>
      </c>
      <c r="C735" s="7" t="s">
        <v>3624</v>
      </c>
      <c r="D735" s="5">
        <v>1</v>
      </c>
      <c r="E735" s="7" t="str">
        <f>_xlfn.XLOOKUP(B735,Customers!A735:A1734,Customers!B735:B1734,"Customer Not Found",0)</f>
        <v>Customer Not Found</v>
      </c>
      <c r="F735" s="7" t="str">
        <f>_xlfn.XLOOKUP(Orders!B735,Customers!A735:A1734,Customers!C735:C1734,"Country not Found",0)</f>
        <v>Country not Found</v>
      </c>
      <c r="G735" s="7" t="str">
        <f>_xlfn.XLOOKUP(C735,Products!A735:A1234,Products!B735:B1234,"Product Missing",0)</f>
        <v>Product Missing</v>
      </c>
      <c r="H735" s="7" t="str">
        <f>_xlfn.XLOOKUP(C735,Products!A735:A1234,Products!C735:C1234,"Category Missing",0)</f>
        <v>Category Missing</v>
      </c>
      <c r="I735" s="11" t="str">
        <f>_xlfn.XLOOKUP(Orders!C735,Products!A735:A1234,Products!D735:D1234,"Price Missing",0)</f>
        <v>Price Missing</v>
      </c>
      <c r="J735" s="19">
        <f t="shared" si="11"/>
        <v>0</v>
      </c>
    </row>
    <row r="736" spans="1:10" x14ac:dyDescent="0.35">
      <c r="A736" s="4" t="s">
        <v>4756</v>
      </c>
      <c r="B736" s="7" t="s">
        <v>2837</v>
      </c>
      <c r="C736" s="7" t="s">
        <v>3070</v>
      </c>
      <c r="D736" s="5">
        <v>6</v>
      </c>
      <c r="E736" s="7" t="str">
        <f>_xlfn.XLOOKUP(B736,Customers!A736:A1735,Customers!B736:B1735,"Customer Not Found",0)</f>
        <v>Customer_943</v>
      </c>
      <c r="F736" s="7" t="str">
        <f>_xlfn.XLOOKUP(Orders!B736,Customers!A736:A1735,Customers!C736:C1735,"Country not Found",0)</f>
        <v>Ghana</v>
      </c>
      <c r="G736" s="7" t="str">
        <f>_xlfn.XLOOKUP(C736,Products!A736:A1235,Products!B736:B1235,"Product Missing",0)</f>
        <v>Product Missing</v>
      </c>
      <c r="H736" s="7" t="str">
        <f>_xlfn.XLOOKUP(C736,Products!A736:A1235,Products!C736:C1235,"Category Missing",0)</f>
        <v>Category Missing</v>
      </c>
      <c r="I736" s="11" t="str">
        <f>_xlfn.XLOOKUP(Orders!C736,Products!A736:A1235,Products!D736:D1235,"Price Missing",0)</f>
        <v>Price Missing</v>
      </c>
      <c r="J736" s="19">
        <f t="shared" si="11"/>
        <v>0</v>
      </c>
    </row>
    <row r="737" spans="1:10" x14ac:dyDescent="0.35">
      <c r="A737" s="4" t="s">
        <v>4757</v>
      </c>
      <c r="B737" s="7" t="s">
        <v>1538</v>
      </c>
      <c r="C737" s="7" t="s">
        <v>3896</v>
      </c>
      <c r="D737" s="5">
        <v>5</v>
      </c>
      <c r="E737" s="7" t="str">
        <f>_xlfn.XLOOKUP(B737,Customers!A737:A1736,Customers!B737:B1736,"Customer Not Found",0)</f>
        <v>Customer Not Found</v>
      </c>
      <c r="F737" s="7" t="str">
        <f>_xlfn.XLOOKUP(Orders!B737,Customers!A737:A1736,Customers!C737:C1736,"Country not Found",0)</f>
        <v>Country not Found</v>
      </c>
      <c r="G737" s="7" t="str">
        <f>_xlfn.XLOOKUP(C737,Products!A737:A1236,Products!B737:B1236,"Product Missing",0)</f>
        <v>Product Missing</v>
      </c>
      <c r="H737" s="7" t="str">
        <f>_xlfn.XLOOKUP(C737,Products!A737:A1236,Products!C737:C1236,"Category Missing",0)</f>
        <v>Category Missing</v>
      </c>
      <c r="I737" s="11" t="str">
        <f>_xlfn.XLOOKUP(Orders!C737,Products!A737:A1236,Products!D737:D1236,"Price Missing",0)</f>
        <v>Price Missing</v>
      </c>
      <c r="J737" s="19">
        <f t="shared" si="11"/>
        <v>0</v>
      </c>
    </row>
    <row r="738" spans="1:10" x14ac:dyDescent="0.35">
      <c r="A738" s="4" t="s">
        <v>4758</v>
      </c>
      <c r="B738" s="7" t="s">
        <v>2543</v>
      </c>
      <c r="C738" s="7" t="s">
        <v>3670</v>
      </c>
      <c r="D738" s="5">
        <v>3</v>
      </c>
      <c r="E738" s="7" t="str">
        <f>_xlfn.XLOOKUP(B738,Customers!A738:A1737,Customers!B738:B1737,"Customer Not Found",0)</f>
        <v>Customer_845</v>
      </c>
      <c r="F738" s="7" t="str">
        <f>_xlfn.XLOOKUP(Orders!B738,Customers!A738:A1737,Customers!C738:C1737,"Country not Found",0)</f>
        <v>Nigeria</v>
      </c>
      <c r="G738" s="7" t="str">
        <f>_xlfn.XLOOKUP(C738,Products!A738:A1237,Products!B738:B1237,"Product Missing",0)</f>
        <v>Product Missing</v>
      </c>
      <c r="H738" s="7" t="str">
        <f>_xlfn.XLOOKUP(C738,Products!A738:A1237,Products!C738:C1237,"Category Missing",0)</f>
        <v>Category Missing</v>
      </c>
      <c r="I738" s="11" t="str">
        <f>_xlfn.XLOOKUP(Orders!C738,Products!A738:A1237,Products!D738:D1237,"Price Missing",0)</f>
        <v>Price Missing</v>
      </c>
      <c r="J738" s="19">
        <f t="shared" si="11"/>
        <v>0</v>
      </c>
    </row>
    <row r="739" spans="1:10" x14ac:dyDescent="0.35">
      <c r="A739" s="4" t="s">
        <v>4759</v>
      </c>
      <c r="B739" s="7" t="s">
        <v>581</v>
      </c>
      <c r="C739" s="7" t="s">
        <v>3238</v>
      </c>
      <c r="D739" s="5">
        <v>4</v>
      </c>
      <c r="E739" s="7" t="str">
        <f>_xlfn.XLOOKUP(B739,Customers!A739:A1738,Customers!B739:B1738,"Customer Not Found",0)</f>
        <v>Customer Not Found</v>
      </c>
      <c r="F739" s="7" t="str">
        <f>_xlfn.XLOOKUP(Orders!B739,Customers!A739:A1738,Customers!C739:C1738,"Country not Found",0)</f>
        <v>Country not Found</v>
      </c>
      <c r="G739" s="7" t="str">
        <f>_xlfn.XLOOKUP(C739,Products!A739:A1238,Products!B739:B1238,"Product Missing",0)</f>
        <v>Product Missing</v>
      </c>
      <c r="H739" s="7" t="str">
        <f>_xlfn.XLOOKUP(C739,Products!A739:A1238,Products!C739:C1238,"Category Missing",0)</f>
        <v>Category Missing</v>
      </c>
      <c r="I739" s="11" t="str">
        <f>_xlfn.XLOOKUP(Orders!C739,Products!A739:A1238,Products!D739:D1238,"Price Missing",0)</f>
        <v>Price Missing</v>
      </c>
      <c r="J739" s="19">
        <f t="shared" si="11"/>
        <v>0</v>
      </c>
    </row>
    <row r="740" spans="1:10" x14ac:dyDescent="0.35">
      <c r="A740" s="4" t="s">
        <v>4760</v>
      </c>
      <c r="B740" s="7" t="s">
        <v>2582</v>
      </c>
      <c r="C740" s="7" t="s">
        <v>3192</v>
      </c>
      <c r="D740" s="5">
        <v>8</v>
      </c>
      <c r="E740" s="7" t="str">
        <f>_xlfn.XLOOKUP(B740,Customers!A740:A1739,Customers!B740:B1739,"Customer Not Found",0)</f>
        <v>Customer_858</v>
      </c>
      <c r="F740" s="7" t="str">
        <f>_xlfn.XLOOKUP(Orders!B740,Customers!A740:A1739,Customers!C740:C1739,"Country not Found",0)</f>
        <v>UK</v>
      </c>
      <c r="G740" s="7" t="str">
        <f>_xlfn.XLOOKUP(C740,Products!A740:A1239,Products!B740:B1239,"Product Missing",0)</f>
        <v>Product Missing</v>
      </c>
      <c r="H740" s="7" t="str">
        <f>_xlfn.XLOOKUP(C740,Products!A740:A1239,Products!C740:C1239,"Category Missing",0)</f>
        <v>Category Missing</v>
      </c>
      <c r="I740" s="11" t="str">
        <f>_xlfn.XLOOKUP(Orders!C740,Products!A740:A1239,Products!D740:D1239,"Price Missing",0)</f>
        <v>Price Missing</v>
      </c>
      <c r="J740" s="19">
        <f t="shared" si="11"/>
        <v>0</v>
      </c>
    </row>
    <row r="741" spans="1:10" x14ac:dyDescent="0.35">
      <c r="A741" s="4" t="s">
        <v>4761</v>
      </c>
      <c r="B741" s="7" t="s">
        <v>836</v>
      </c>
      <c r="C741" s="7" t="s">
        <v>3206</v>
      </c>
      <c r="D741" s="5">
        <v>4</v>
      </c>
      <c r="E741" s="7" t="str">
        <f>_xlfn.XLOOKUP(B741,Customers!A741:A1740,Customers!B741:B1740,"Customer Not Found",0)</f>
        <v>Customer Not Found</v>
      </c>
      <c r="F741" s="7" t="str">
        <f>_xlfn.XLOOKUP(Orders!B741,Customers!A741:A1740,Customers!C741:C1740,"Country not Found",0)</f>
        <v>Country not Found</v>
      </c>
      <c r="G741" s="7" t="str">
        <f>_xlfn.XLOOKUP(C741,Products!A741:A1240,Products!B741:B1240,"Product Missing",0)</f>
        <v>Product Missing</v>
      </c>
      <c r="H741" s="7" t="str">
        <f>_xlfn.XLOOKUP(C741,Products!A741:A1240,Products!C741:C1240,"Category Missing",0)</f>
        <v>Category Missing</v>
      </c>
      <c r="I741" s="11" t="str">
        <f>_xlfn.XLOOKUP(Orders!C741,Products!A741:A1240,Products!D741:D1240,"Price Missing",0)</f>
        <v>Price Missing</v>
      </c>
      <c r="J741" s="19">
        <f t="shared" si="11"/>
        <v>0</v>
      </c>
    </row>
    <row r="742" spans="1:10" x14ac:dyDescent="0.35">
      <c r="A742" s="4" t="s">
        <v>4762</v>
      </c>
      <c r="B742" s="7" t="s">
        <v>308</v>
      </c>
      <c r="C742" s="7" t="s">
        <v>3990</v>
      </c>
      <c r="D742" s="5">
        <v>4</v>
      </c>
      <c r="E742" s="7" t="str">
        <f>_xlfn.XLOOKUP(B742,Customers!A742:A1741,Customers!B742:B1741,"Customer Not Found",0)</f>
        <v>Customer Not Found</v>
      </c>
      <c r="F742" s="7" t="str">
        <f>_xlfn.XLOOKUP(Orders!B742,Customers!A742:A1741,Customers!C742:C1741,"Country not Found",0)</f>
        <v>Country not Found</v>
      </c>
      <c r="G742" s="7" t="str">
        <f>_xlfn.XLOOKUP(C742,Products!A742:A1241,Products!B742:B1241,"Product Missing",0)</f>
        <v>Product Missing</v>
      </c>
      <c r="H742" s="7" t="str">
        <f>_xlfn.XLOOKUP(C742,Products!A742:A1241,Products!C742:C1241,"Category Missing",0)</f>
        <v>Category Missing</v>
      </c>
      <c r="I742" s="11" t="str">
        <f>_xlfn.XLOOKUP(Orders!C742,Products!A742:A1241,Products!D742:D1241,"Price Missing",0)</f>
        <v>Price Missing</v>
      </c>
      <c r="J742" s="19">
        <f t="shared" si="11"/>
        <v>0</v>
      </c>
    </row>
    <row r="743" spans="1:10" x14ac:dyDescent="0.35">
      <c r="A743" s="4" t="s">
        <v>4763</v>
      </c>
      <c r="B743" s="7" t="s">
        <v>2705</v>
      </c>
      <c r="C743" s="7" t="s">
        <v>3188</v>
      </c>
      <c r="D743" s="5">
        <v>3</v>
      </c>
      <c r="E743" s="7" t="str">
        <f>_xlfn.XLOOKUP(B743,Customers!A743:A1742,Customers!B743:B1742,"Customer Not Found",0)</f>
        <v>Customer_899</v>
      </c>
      <c r="F743" s="7" t="str">
        <f>_xlfn.XLOOKUP(Orders!B743,Customers!A743:A1742,Customers!C743:C1742,"Country not Found",0)</f>
        <v>UK</v>
      </c>
      <c r="G743" s="7" t="str">
        <f>_xlfn.XLOOKUP(C743,Products!A743:A1242,Products!B743:B1242,"Product Missing",0)</f>
        <v>Product Missing</v>
      </c>
      <c r="H743" s="7" t="str">
        <f>_xlfn.XLOOKUP(C743,Products!A743:A1242,Products!C743:C1242,"Category Missing",0)</f>
        <v>Category Missing</v>
      </c>
      <c r="I743" s="11" t="str">
        <f>_xlfn.XLOOKUP(Orders!C743,Products!A743:A1242,Products!D743:D1242,"Price Missing",0)</f>
        <v>Price Missing</v>
      </c>
      <c r="J743" s="19">
        <f t="shared" si="11"/>
        <v>0</v>
      </c>
    </row>
    <row r="744" spans="1:10" x14ac:dyDescent="0.35">
      <c r="A744" s="4" t="s">
        <v>4764</v>
      </c>
      <c r="B744" s="7" t="s">
        <v>1868</v>
      </c>
      <c r="C744" s="7" t="s">
        <v>3368</v>
      </c>
      <c r="D744" s="5">
        <v>10</v>
      </c>
      <c r="E744" s="7" t="str">
        <f>_xlfn.XLOOKUP(B744,Customers!A744:A1743,Customers!B744:B1743,"Customer Not Found",0)</f>
        <v>Customer Not Found</v>
      </c>
      <c r="F744" s="7" t="str">
        <f>_xlfn.XLOOKUP(Orders!B744,Customers!A744:A1743,Customers!C744:C1743,"Country not Found",0)</f>
        <v>Country not Found</v>
      </c>
      <c r="G744" s="7" t="str">
        <f>_xlfn.XLOOKUP(C744,Products!A744:A1243,Products!B744:B1243,"Product Missing",0)</f>
        <v>Product Missing</v>
      </c>
      <c r="H744" s="7" t="str">
        <f>_xlfn.XLOOKUP(C744,Products!A744:A1243,Products!C744:C1243,"Category Missing",0)</f>
        <v>Category Missing</v>
      </c>
      <c r="I744" s="11" t="str">
        <f>_xlfn.XLOOKUP(Orders!C744,Products!A744:A1243,Products!D744:D1243,"Price Missing",0)</f>
        <v>Price Missing</v>
      </c>
      <c r="J744" s="19">
        <f t="shared" si="11"/>
        <v>0</v>
      </c>
    </row>
    <row r="745" spans="1:10" x14ac:dyDescent="0.35">
      <c r="A745" s="4" t="s">
        <v>4765</v>
      </c>
      <c r="B745" s="7" t="s">
        <v>152</v>
      </c>
      <c r="C745" s="7" t="s">
        <v>3544</v>
      </c>
      <c r="D745" s="5">
        <v>1</v>
      </c>
      <c r="E745" s="7" t="str">
        <f>_xlfn.XLOOKUP(B745,Customers!A745:A1744,Customers!B745:B1744,"Customer Not Found",0)</f>
        <v>Customer Not Found</v>
      </c>
      <c r="F745" s="7" t="str">
        <f>_xlfn.XLOOKUP(Orders!B745,Customers!A745:A1744,Customers!C745:C1744,"Country not Found",0)</f>
        <v>Country not Found</v>
      </c>
      <c r="G745" s="7" t="str">
        <f>_xlfn.XLOOKUP(C745,Products!A745:A1244,Products!B745:B1244,"Product Missing",0)</f>
        <v>Product Missing</v>
      </c>
      <c r="H745" s="7" t="str">
        <f>_xlfn.XLOOKUP(C745,Products!A745:A1244,Products!C745:C1244,"Category Missing",0)</f>
        <v>Category Missing</v>
      </c>
      <c r="I745" s="11" t="str">
        <f>_xlfn.XLOOKUP(Orders!C745,Products!A745:A1244,Products!D745:D1244,"Price Missing",0)</f>
        <v>Price Missing</v>
      </c>
      <c r="J745" s="19">
        <f t="shared" si="11"/>
        <v>0</v>
      </c>
    </row>
    <row r="746" spans="1:10" x14ac:dyDescent="0.35">
      <c r="A746" s="4" t="s">
        <v>4766</v>
      </c>
      <c r="B746" s="7" t="s">
        <v>1586</v>
      </c>
      <c r="C746" s="7" t="s">
        <v>3606</v>
      </c>
      <c r="D746" s="5">
        <v>4</v>
      </c>
      <c r="E746" s="7" t="str">
        <f>_xlfn.XLOOKUP(B746,Customers!A746:A1745,Customers!B746:B1745,"Customer Not Found",0)</f>
        <v>Customer Not Found</v>
      </c>
      <c r="F746" s="7" t="str">
        <f>_xlfn.XLOOKUP(Orders!B746,Customers!A746:A1745,Customers!C746:C1745,"Country not Found",0)</f>
        <v>Country not Found</v>
      </c>
      <c r="G746" s="7" t="str">
        <f>_xlfn.XLOOKUP(C746,Products!A746:A1245,Products!B746:B1245,"Product Missing",0)</f>
        <v>Product Missing</v>
      </c>
      <c r="H746" s="7" t="str">
        <f>_xlfn.XLOOKUP(C746,Products!A746:A1245,Products!C746:C1245,"Category Missing",0)</f>
        <v>Category Missing</v>
      </c>
      <c r="I746" s="11" t="str">
        <f>_xlfn.XLOOKUP(Orders!C746,Products!A746:A1245,Products!D746:D1245,"Price Missing",0)</f>
        <v>Price Missing</v>
      </c>
      <c r="J746" s="19">
        <f t="shared" si="11"/>
        <v>0</v>
      </c>
    </row>
    <row r="747" spans="1:10" x14ac:dyDescent="0.35">
      <c r="A747" s="4" t="s">
        <v>4767</v>
      </c>
      <c r="B747" s="7" t="s">
        <v>986</v>
      </c>
      <c r="C747" s="7" t="s">
        <v>4018</v>
      </c>
      <c r="D747" s="5">
        <v>4</v>
      </c>
      <c r="E747" s="7" t="str">
        <f>_xlfn.XLOOKUP(B747,Customers!A747:A1746,Customers!B747:B1746,"Customer Not Found",0)</f>
        <v>Customer Not Found</v>
      </c>
      <c r="F747" s="7" t="str">
        <f>_xlfn.XLOOKUP(Orders!B747,Customers!A747:A1746,Customers!C747:C1746,"Country not Found",0)</f>
        <v>Country not Found</v>
      </c>
      <c r="G747" s="7" t="str">
        <f>_xlfn.XLOOKUP(C747,Products!A747:A1246,Products!B747:B1246,"Product Missing",0)</f>
        <v>Product Missing</v>
      </c>
      <c r="H747" s="7" t="str">
        <f>_xlfn.XLOOKUP(C747,Products!A747:A1246,Products!C747:C1246,"Category Missing",0)</f>
        <v>Category Missing</v>
      </c>
      <c r="I747" s="11" t="str">
        <f>_xlfn.XLOOKUP(Orders!C747,Products!A747:A1246,Products!D747:D1246,"Price Missing",0)</f>
        <v>Price Missing</v>
      </c>
      <c r="J747" s="19">
        <f t="shared" si="11"/>
        <v>0</v>
      </c>
    </row>
    <row r="748" spans="1:10" x14ac:dyDescent="0.35">
      <c r="A748" s="4" t="s">
        <v>4768</v>
      </c>
      <c r="B748" s="7" t="s">
        <v>2963</v>
      </c>
      <c r="C748" s="7" t="s">
        <v>3680</v>
      </c>
      <c r="D748" s="5">
        <v>5</v>
      </c>
      <c r="E748" s="7" t="str">
        <f>_xlfn.XLOOKUP(B748,Customers!A748:A1747,Customers!B748:B1747,"Customer Not Found",0)</f>
        <v>Customer_985</v>
      </c>
      <c r="F748" s="7" t="str">
        <f>_xlfn.XLOOKUP(Orders!B748,Customers!A748:A1747,Customers!C748:C1747,"Country not Found",0)</f>
        <v>South Africa</v>
      </c>
      <c r="G748" s="7" t="str">
        <f>_xlfn.XLOOKUP(C748,Products!A748:A1247,Products!B748:B1247,"Product Missing",0)</f>
        <v>Product Missing</v>
      </c>
      <c r="H748" s="7" t="str">
        <f>_xlfn.XLOOKUP(C748,Products!A748:A1247,Products!C748:C1247,"Category Missing",0)</f>
        <v>Category Missing</v>
      </c>
      <c r="I748" s="11" t="str">
        <f>_xlfn.XLOOKUP(Orders!C748,Products!A748:A1247,Products!D748:D1247,"Price Missing",0)</f>
        <v>Price Missing</v>
      </c>
      <c r="J748" s="19">
        <f t="shared" si="11"/>
        <v>0</v>
      </c>
    </row>
    <row r="749" spans="1:10" x14ac:dyDescent="0.35">
      <c r="A749" s="4" t="s">
        <v>4769</v>
      </c>
      <c r="B749" s="7" t="s">
        <v>326</v>
      </c>
      <c r="C749" s="7" t="s">
        <v>3600</v>
      </c>
      <c r="D749" s="5">
        <v>6</v>
      </c>
      <c r="E749" s="7" t="str">
        <f>_xlfn.XLOOKUP(B749,Customers!A749:A1748,Customers!B749:B1748,"Customer Not Found",0)</f>
        <v>Customer Not Found</v>
      </c>
      <c r="F749" s="7" t="str">
        <f>_xlfn.XLOOKUP(Orders!B749,Customers!A749:A1748,Customers!C749:C1748,"Country not Found",0)</f>
        <v>Country not Found</v>
      </c>
      <c r="G749" s="7" t="str">
        <f>_xlfn.XLOOKUP(C749,Products!A749:A1248,Products!B749:B1248,"Product Missing",0)</f>
        <v>Product Missing</v>
      </c>
      <c r="H749" s="7" t="str">
        <f>_xlfn.XLOOKUP(C749,Products!A749:A1248,Products!C749:C1248,"Category Missing",0)</f>
        <v>Category Missing</v>
      </c>
      <c r="I749" s="11" t="str">
        <f>_xlfn.XLOOKUP(Orders!C749,Products!A749:A1248,Products!D749:D1248,"Price Missing",0)</f>
        <v>Price Missing</v>
      </c>
      <c r="J749" s="19">
        <f t="shared" si="11"/>
        <v>0</v>
      </c>
    </row>
    <row r="750" spans="1:10" x14ac:dyDescent="0.35">
      <c r="A750" s="4" t="s">
        <v>4770</v>
      </c>
      <c r="B750" s="7" t="s">
        <v>968</v>
      </c>
      <c r="C750" s="7" t="s">
        <v>3228</v>
      </c>
      <c r="D750" s="5">
        <v>5</v>
      </c>
      <c r="E750" s="7" t="str">
        <f>_xlfn.XLOOKUP(B750,Customers!A750:A1749,Customers!B750:B1749,"Customer Not Found",0)</f>
        <v>Customer Not Found</v>
      </c>
      <c r="F750" s="7" t="str">
        <f>_xlfn.XLOOKUP(Orders!B750,Customers!A750:A1749,Customers!C750:C1749,"Country not Found",0)</f>
        <v>Country not Found</v>
      </c>
      <c r="G750" s="7" t="str">
        <f>_xlfn.XLOOKUP(C750,Products!A750:A1249,Products!B750:B1249,"Product Missing",0)</f>
        <v>Product Missing</v>
      </c>
      <c r="H750" s="7" t="str">
        <f>_xlfn.XLOOKUP(C750,Products!A750:A1249,Products!C750:C1249,"Category Missing",0)</f>
        <v>Category Missing</v>
      </c>
      <c r="I750" s="11" t="str">
        <f>_xlfn.XLOOKUP(Orders!C750,Products!A750:A1249,Products!D750:D1249,"Price Missing",0)</f>
        <v>Price Missing</v>
      </c>
      <c r="J750" s="19">
        <f t="shared" si="11"/>
        <v>0</v>
      </c>
    </row>
    <row r="751" spans="1:10" x14ac:dyDescent="0.35">
      <c r="A751" s="4" t="s">
        <v>4771</v>
      </c>
      <c r="B751" s="7" t="s">
        <v>1436</v>
      </c>
      <c r="C751" s="7" t="s">
        <v>3928</v>
      </c>
      <c r="D751" s="5">
        <v>10</v>
      </c>
      <c r="E751" s="7" t="str">
        <f>_xlfn.XLOOKUP(B751,Customers!A751:A1750,Customers!B751:B1750,"Customer Not Found",0)</f>
        <v>Customer Not Found</v>
      </c>
      <c r="F751" s="7" t="str">
        <f>_xlfn.XLOOKUP(Orders!B751,Customers!A751:A1750,Customers!C751:C1750,"Country not Found",0)</f>
        <v>Country not Found</v>
      </c>
      <c r="G751" s="7" t="str">
        <f>_xlfn.XLOOKUP(C751,Products!A751:A1250,Products!B751:B1250,"Product Missing",0)</f>
        <v>Product Missing</v>
      </c>
      <c r="H751" s="7" t="str">
        <f>_xlfn.XLOOKUP(C751,Products!A751:A1250,Products!C751:C1250,"Category Missing",0)</f>
        <v>Category Missing</v>
      </c>
      <c r="I751" s="11" t="str">
        <f>_xlfn.XLOOKUP(Orders!C751,Products!A751:A1250,Products!D751:D1250,"Price Missing",0)</f>
        <v>Price Missing</v>
      </c>
      <c r="J751" s="19">
        <f t="shared" si="11"/>
        <v>0</v>
      </c>
    </row>
    <row r="752" spans="1:10" x14ac:dyDescent="0.35">
      <c r="A752" s="4" t="s">
        <v>4772</v>
      </c>
      <c r="B752" s="7" t="s">
        <v>2984</v>
      </c>
      <c r="C752" s="7" t="s">
        <v>3914</v>
      </c>
      <c r="D752" s="5">
        <v>6</v>
      </c>
      <c r="E752" s="7" t="str">
        <f>_xlfn.XLOOKUP(B752,Customers!A752:A1751,Customers!B752:B1751,"Customer Not Found",0)</f>
        <v>Customer_992</v>
      </c>
      <c r="F752" s="7" t="str">
        <f>_xlfn.XLOOKUP(Orders!B752,Customers!A752:A1751,Customers!C752:C1751,"Country not Found",0)</f>
        <v>South Africa</v>
      </c>
      <c r="G752" s="7" t="str">
        <f>_xlfn.XLOOKUP(C752,Products!A752:A1251,Products!B752:B1251,"Product Missing",0)</f>
        <v>Product Missing</v>
      </c>
      <c r="H752" s="7" t="str">
        <f>_xlfn.XLOOKUP(C752,Products!A752:A1251,Products!C752:C1251,"Category Missing",0)</f>
        <v>Category Missing</v>
      </c>
      <c r="I752" s="11" t="str">
        <f>_xlfn.XLOOKUP(Orders!C752,Products!A752:A1251,Products!D752:D1251,"Price Missing",0)</f>
        <v>Price Missing</v>
      </c>
      <c r="J752" s="19">
        <f t="shared" si="11"/>
        <v>0</v>
      </c>
    </row>
    <row r="753" spans="1:10" x14ac:dyDescent="0.35">
      <c r="A753" s="4" t="s">
        <v>4773</v>
      </c>
      <c r="B753" s="7" t="s">
        <v>3002</v>
      </c>
      <c r="C753" s="7" t="s">
        <v>3616</v>
      </c>
      <c r="D753" s="5">
        <v>1</v>
      </c>
      <c r="E753" s="7" t="str">
        <f>_xlfn.XLOOKUP(B753,Customers!A753:A1752,Customers!B753:B1752,"Customer Not Found",0)</f>
        <v>Customer_998</v>
      </c>
      <c r="F753" s="7" t="str">
        <f>_xlfn.XLOOKUP(Orders!B753,Customers!A753:A1752,Customers!C753:C1752,"Country not Found",0)</f>
        <v>Ghana</v>
      </c>
      <c r="G753" s="7" t="str">
        <f>_xlfn.XLOOKUP(C753,Products!A753:A1252,Products!B753:B1252,"Product Missing",0)</f>
        <v>Product Missing</v>
      </c>
      <c r="H753" s="7" t="str">
        <f>_xlfn.XLOOKUP(C753,Products!A753:A1252,Products!C753:C1252,"Category Missing",0)</f>
        <v>Category Missing</v>
      </c>
      <c r="I753" s="11" t="str">
        <f>_xlfn.XLOOKUP(Orders!C753,Products!A753:A1252,Products!D753:D1252,"Price Missing",0)</f>
        <v>Price Missing</v>
      </c>
      <c r="J753" s="19">
        <f t="shared" si="11"/>
        <v>0</v>
      </c>
    </row>
    <row r="754" spans="1:10" x14ac:dyDescent="0.35">
      <c r="A754" s="4" t="s">
        <v>4774</v>
      </c>
      <c r="B754" s="7" t="s">
        <v>230</v>
      </c>
      <c r="C754" s="7" t="s">
        <v>3900</v>
      </c>
      <c r="D754" s="5">
        <v>5</v>
      </c>
      <c r="E754" s="7" t="str">
        <f>_xlfn.XLOOKUP(B754,Customers!A754:A1753,Customers!B754:B1753,"Customer Not Found",0)</f>
        <v>Customer Not Found</v>
      </c>
      <c r="F754" s="7" t="str">
        <f>_xlfn.XLOOKUP(Orders!B754,Customers!A754:A1753,Customers!C754:C1753,"Country not Found",0)</f>
        <v>Country not Found</v>
      </c>
      <c r="G754" s="7" t="str">
        <f>_xlfn.XLOOKUP(C754,Products!A754:A1253,Products!B754:B1253,"Product Missing",0)</f>
        <v>Product Missing</v>
      </c>
      <c r="H754" s="7" t="str">
        <f>_xlfn.XLOOKUP(C754,Products!A754:A1253,Products!C754:C1253,"Category Missing",0)</f>
        <v>Category Missing</v>
      </c>
      <c r="I754" s="11" t="str">
        <f>_xlfn.XLOOKUP(Orders!C754,Products!A754:A1253,Products!D754:D1253,"Price Missing",0)</f>
        <v>Price Missing</v>
      </c>
      <c r="J754" s="19">
        <f t="shared" si="11"/>
        <v>0</v>
      </c>
    </row>
    <row r="755" spans="1:10" x14ac:dyDescent="0.35">
      <c r="A755" s="4" t="s">
        <v>4775</v>
      </c>
      <c r="B755" s="7" t="s">
        <v>422</v>
      </c>
      <c r="C755" s="7" t="s">
        <v>3586</v>
      </c>
      <c r="D755" s="5">
        <v>2</v>
      </c>
      <c r="E755" s="7" t="str">
        <f>_xlfn.XLOOKUP(B755,Customers!A755:A1754,Customers!B755:B1754,"Customer Not Found",0)</f>
        <v>Customer Not Found</v>
      </c>
      <c r="F755" s="7" t="str">
        <f>_xlfn.XLOOKUP(Orders!B755,Customers!A755:A1754,Customers!C755:C1754,"Country not Found",0)</f>
        <v>Country not Found</v>
      </c>
      <c r="G755" s="7" t="str">
        <f>_xlfn.XLOOKUP(C755,Products!A755:A1254,Products!B755:B1254,"Product Missing",0)</f>
        <v>Product Missing</v>
      </c>
      <c r="H755" s="7" t="str">
        <f>_xlfn.XLOOKUP(C755,Products!A755:A1254,Products!C755:C1254,"Category Missing",0)</f>
        <v>Category Missing</v>
      </c>
      <c r="I755" s="11" t="str">
        <f>_xlfn.XLOOKUP(Orders!C755,Products!A755:A1254,Products!D755:D1254,"Price Missing",0)</f>
        <v>Price Missing</v>
      </c>
      <c r="J755" s="19">
        <f t="shared" si="11"/>
        <v>0</v>
      </c>
    </row>
    <row r="756" spans="1:10" x14ac:dyDescent="0.35">
      <c r="A756" s="4" t="s">
        <v>4776</v>
      </c>
      <c r="B756" s="7" t="s">
        <v>1928</v>
      </c>
      <c r="C756" s="7" t="s">
        <v>4008</v>
      </c>
      <c r="D756" s="5">
        <v>9</v>
      </c>
      <c r="E756" s="7" t="str">
        <f>_xlfn.XLOOKUP(B756,Customers!A756:A1755,Customers!B756:B1755,"Customer Not Found",0)</f>
        <v>Customer Not Found</v>
      </c>
      <c r="F756" s="7" t="str">
        <f>_xlfn.XLOOKUP(Orders!B756,Customers!A756:A1755,Customers!C756:C1755,"Country not Found",0)</f>
        <v>Country not Found</v>
      </c>
      <c r="G756" s="7" t="str">
        <f>_xlfn.XLOOKUP(C756,Products!A756:A1255,Products!B756:B1255,"Product Missing",0)</f>
        <v>Product Missing</v>
      </c>
      <c r="H756" s="7" t="str">
        <f>_xlfn.XLOOKUP(C756,Products!A756:A1255,Products!C756:C1255,"Category Missing",0)</f>
        <v>Category Missing</v>
      </c>
      <c r="I756" s="11" t="str">
        <f>_xlfn.XLOOKUP(Orders!C756,Products!A756:A1255,Products!D756:D1255,"Price Missing",0)</f>
        <v>Price Missing</v>
      </c>
      <c r="J756" s="19">
        <f t="shared" si="11"/>
        <v>0</v>
      </c>
    </row>
    <row r="757" spans="1:10" x14ac:dyDescent="0.35">
      <c r="A757" s="4" t="s">
        <v>4777</v>
      </c>
      <c r="B757" s="7" t="s">
        <v>2867</v>
      </c>
      <c r="C757" s="7" t="s">
        <v>3950</v>
      </c>
      <c r="D757" s="5">
        <v>10</v>
      </c>
      <c r="E757" s="7" t="str">
        <f>_xlfn.XLOOKUP(B757,Customers!A757:A1756,Customers!B757:B1756,"Customer Not Found",0)</f>
        <v>Customer_953</v>
      </c>
      <c r="F757" s="7" t="str">
        <f>_xlfn.XLOOKUP(Orders!B757,Customers!A757:A1756,Customers!C757:C1756,"Country not Found",0)</f>
        <v>Kenya</v>
      </c>
      <c r="G757" s="7" t="str">
        <f>_xlfn.XLOOKUP(C757,Products!A757:A1256,Products!B757:B1256,"Product Missing",0)</f>
        <v>Product Missing</v>
      </c>
      <c r="H757" s="7" t="str">
        <f>_xlfn.XLOOKUP(C757,Products!A757:A1256,Products!C757:C1256,"Category Missing",0)</f>
        <v>Category Missing</v>
      </c>
      <c r="I757" s="11" t="str">
        <f>_xlfn.XLOOKUP(Orders!C757,Products!A757:A1256,Products!D757:D1256,"Price Missing",0)</f>
        <v>Price Missing</v>
      </c>
      <c r="J757" s="19">
        <f t="shared" si="11"/>
        <v>0</v>
      </c>
    </row>
    <row r="758" spans="1:10" x14ac:dyDescent="0.35">
      <c r="A758" s="4" t="s">
        <v>4778</v>
      </c>
      <c r="B758" s="7" t="s">
        <v>326</v>
      </c>
      <c r="C758" s="7" t="s">
        <v>3202</v>
      </c>
      <c r="D758" s="5">
        <v>3</v>
      </c>
      <c r="E758" s="7" t="str">
        <f>_xlfn.XLOOKUP(B758,Customers!A758:A1757,Customers!B758:B1757,"Customer Not Found",0)</f>
        <v>Customer Not Found</v>
      </c>
      <c r="F758" s="7" t="str">
        <f>_xlfn.XLOOKUP(Orders!B758,Customers!A758:A1757,Customers!C758:C1757,"Country not Found",0)</f>
        <v>Country not Found</v>
      </c>
      <c r="G758" s="7" t="str">
        <f>_xlfn.XLOOKUP(C758,Products!A758:A1257,Products!B758:B1257,"Product Missing",0)</f>
        <v>Product Missing</v>
      </c>
      <c r="H758" s="7" t="str">
        <f>_xlfn.XLOOKUP(C758,Products!A758:A1257,Products!C758:C1257,"Category Missing",0)</f>
        <v>Category Missing</v>
      </c>
      <c r="I758" s="11" t="str">
        <f>_xlfn.XLOOKUP(Orders!C758,Products!A758:A1257,Products!D758:D1257,"Price Missing",0)</f>
        <v>Price Missing</v>
      </c>
      <c r="J758" s="19">
        <f t="shared" si="11"/>
        <v>0</v>
      </c>
    </row>
    <row r="759" spans="1:10" x14ac:dyDescent="0.35">
      <c r="A759" s="4" t="s">
        <v>4779</v>
      </c>
      <c r="B759" s="7" t="s">
        <v>2522</v>
      </c>
      <c r="C759" s="7" t="s">
        <v>3678</v>
      </c>
      <c r="D759" s="5">
        <v>3</v>
      </c>
      <c r="E759" s="7" t="str">
        <f>_xlfn.XLOOKUP(B759,Customers!A759:A1758,Customers!B759:B1758,"Customer Not Found",0)</f>
        <v>Customer_838</v>
      </c>
      <c r="F759" s="7" t="str">
        <f>_xlfn.XLOOKUP(Orders!B759,Customers!A759:A1758,Customers!C759:C1758,"Country not Found",0)</f>
        <v>Ghana</v>
      </c>
      <c r="G759" s="7" t="str">
        <f>_xlfn.XLOOKUP(C759,Products!A759:A1258,Products!B759:B1258,"Product Missing",0)</f>
        <v>Product Missing</v>
      </c>
      <c r="H759" s="7" t="str">
        <f>_xlfn.XLOOKUP(C759,Products!A759:A1258,Products!C759:C1258,"Category Missing",0)</f>
        <v>Category Missing</v>
      </c>
      <c r="I759" s="11" t="str">
        <f>_xlfn.XLOOKUP(Orders!C759,Products!A759:A1258,Products!D759:D1258,"Price Missing",0)</f>
        <v>Price Missing</v>
      </c>
      <c r="J759" s="19">
        <f t="shared" si="11"/>
        <v>0</v>
      </c>
    </row>
    <row r="760" spans="1:10" x14ac:dyDescent="0.35">
      <c r="A760" s="4" t="s">
        <v>4780</v>
      </c>
      <c r="B760" s="7" t="s">
        <v>2648</v>
      </c>
      <c r="C760" s="7" t="s">
        <v>3023</v>
      </c>
      <c r="D760" s="5">
        <v>8</v>
      </c>
      <c r="E760" s="7" t="str">
        <f>_xlfn.XLOOKUP(B760,Customers!A760:A1759,Customers!B760:B1759,"Customer Not Found",0)</f>
        <v>Customer_880</v>
      </c>
      <c r="F760" s="7" t="str">
        <f>_xlfn.XLOOKUP(Orders!B760,Customers!A760:A1759,Customers!C760:C1759,"Country not Found",0)</f>
        <v>USA</v>
      </c>
      <c r="G760" s="7" t="str">
        <f>_xlfn.XLOOKUP(C760,Products!A760:A1259,Products!B760:B1259,"Product Missing",0)</f>
        <v>Product Missing</v>
      </c>
      <c r="H760" s="7" t="str">
        <f>_xlfn.XLOOKUP(C760,Products!A760:A1259,Products!C760:C1259,"Category Missing",0)</f>
        <v>Category Missing</v>
      </c>
      <c r="I760" s="11" t="str">
        <f>_xlfn.XLOOKUP(Orders!C760,Products!A760:A1259,Products!D760:D1259,"Price Missing",0)</f>
        <v>Price Missing</v>
      </c>
      <c r="J760" s="19">
        <f t="shared" si="11"/>
        <v>0</v>
      </c>
    </row>
    <row r="761" spans="1:10" x14ac:dyDescent="0.35">
      <c r="A761" s="4" t="s">
        <v>4781</v>
      </c>
      <c r="B761" s="7" t="s">
        <v>266</v>
      </c>
      <c r="C761" s="7" t="s">
        <v>3642</v>
      </c>
      <c r="D761" s="5">
        <v>2</v>
      </c>
      <c r="E761" s="7" t="str">
        <f>_xlfn.XLOOKUP(B761,Customers!A761:A1760,Customers!B761:B1760,"Customer Not Found",0)</f>
        <v>Customer Not Found</v>
      </c>
      <c r="F761" s="7" t="str">
        <f>_xlfn.XLOOKUP(Orders!B761,Customers!A761:A1760,Customers!C761:C1760,"Country not Found",0)</f>
        <v>Country not Found</v>
      </c>
      <c r="G761" s="7" t="str">
        <f>_xlfn.XLOOKUP(C761,Products!A761:A1260,Products!B761:B1260,"Product Missing",0)</f>
        <v>Product Missing</v>
      </c>
      <c r="H761" s="7" t="str">
        <f>_xlfn.XLOOKUP(C761,Products!A761:A1260,Products!C761:C1260,"Category Missing",0)</f>
        <v>Category Missing</v>
      </c>
      <c r="I761" s="11" t="str">
        <f>_xlfn.XLOOKUP(Orders!C761,Products!A761:A1260,Products!D761:D1260,"Price Missing",0)</f>
        <v>Price Missing</v>
      </c>
      <c r="J761" s="19">
        <f t="shared" si="11"/>
        <v>0</v>
      </c>
    </row>
    <row r="762" spans="1:10" x14ac:dyDescent="0.35">
      <c r="A762" s="4" t="s">
        <v>4782</v>
      </c>
      <c r="B762" s="7" t="s">
        <v>2924</v>
      </c>
      <c r="C762" s="7" t="s">
        <v>3262</v>
      </c>
      <c r="D762" s="5">
        <v>1</v>
      </c>
      <c r="E762" s="7" t="str">
        <f>_xlfn.XLOOKUP(B762,Customers!A762:A1761,Customers!B762:B1761,"Customer Not Found",0)</f>
        <v>Customer_972</v>
      </c>
      <c r="F762" s="7" t="str">
        <f>_xlfn.XLOOKUP(Orders!B762,Customers!A762:A1761,Customers!C762:C1761,"Country not Found",0)</f>
        <v>South Africa</v>
      </c>
      <c r="G762" s="7" t="str">
        <f>_xlfn.XLOOKUP(C762,Products!A762:A1261,Products!B762:B1261,"Product Missing",0)</f>
        <v>Product Missing</v>
      </c>
      <c r="H762" s="7" t="str">
        <f>_xlfn.XLOOKUP(C762,Products!A762:A1261,Products!C762:C1261,"Category Missing",0)</f>
        <v>Category Missing</v>
      </c>
      <c r="I762" s="11" t="str">
        <f>_xlfn.XLOOKUP(Orders!C762,Products!A762:A1261,Products!D762:D1261,"Price Missing",0)</f>
        <v>Price Missing</v>
      </c>
      <c r="J762" s="19">
        <f t="shared" si="11"/>
        <v>0</v>
      </c>
    </row>
    <row r="763" spans="1:10" x14ac:dyDescent="0.35">
      <c r="A763" s="4" t="s">
        <v>4783</v>
      </c>
      <c r="B763" s="7" t="s">
        <v>2681</v>
      </c>
      <c r="C763" s="7" t="s">
        <v>3806</v>
      </c>
      <c r="D763" s="5">
        <v>3</v>
      </c>
      <c r="E763" s="7" t="str">
        <f>_xlfn.XLOOKUP(B763,Customers!A763:A1762,Customers!B763:B1762,"Customer Not Found",0)</f>
        <v>Customer_891</v>
      </c>
      <c r="F763" s="7" t="str">
        <f>_xlfn.XLOOKUP(Orders!B763,Customers!A763:A1762,Customers!C763:C1762,"Country not Found",0)</f>
        <v>Nigeria</v>
      </c>
      <c r="G763" s="7" t="str">
        <f>_xlfn.XLOOKUP(C763,Products!A763:A1262,Products!B763:B1262,"Product Missing",0)</f>
        <v>Product Missing</v>
      </c>
      <c r="H763" s="7" t="str">
        <f>_xlfn.XLOOKUP(C763,Products!A763:A1262,Products!C763:C1262,"Category Missing",0)</f>
        <v>Category Missing</v>
      </c>
      <c r="I763" s="11" t="str">
        <f>_xlfn.XLOOKUP(Orders!C763,Products!A763:A1262,Products!D763:D1262,"Price Missing",0)</f>
        <v>Price Missing</v>
      </c>
      <c r="J763" s="19">
        <f t="shared" si="11"/>
        <v>0</v>
      </c>
    </row>
    <row r="764" spans="1:10" x14ac:dyDescent="0.35">
      <c r="A764" s="4" t="s">
        <v>4784</v>
      </c>
      <c r="B764" s="7" t="s">
        <v>1595</v>
      </c>
      <c r="C764" s="7" t="s">
        <v>3728</v>
      </c>
      <c r="D764" s="5">
        <v>4</v>
      </c>
      <c r="E764" s="7" t="str">
        <f>_xlfn.XLOOKUP(B764,Customers!A764:A1763,Customers!B764:B1763,"Customer Not Found",0)</f>
        <v>Customer Not Found</v>
      </c>
      <c r="F764" s="7" t="str">
        <f>_xlfn.XLOOKUP(Orders!B764,Customers!A764:A1763,Customers!C764:C1763,"Country not Found",0)</f>
        <v>Country not Found</v>
      </c>
      <c r="G764" s="7" t="str">
        <f>_xlfn.XLOOKUP(C764,Products!A764:A1263,Products!B764:B1263,"Product Missing",0)</f>
        <v>Product Missing</v>
      </c>
      <c r="H764" s="7" t="str">
        <f>_xlfn.XLOOKUP(C764,Products!A764:A1263,Products!C764:C1263,"Category Missing",0)</f>
        <v>Category Missing</v>
      </c>
      <c r="I764" s="11" t="str">
        <f>_xlfn.XLOOKUP(Orders!C764,Products!A764:A1263,Products!D764:D1263,"Price Missing",0)</f>
        <v>Price Missing</v>
      </c>
      <c r="J764" s="19">
        <f t="shared" si="11"/>
        <v>0</v>
      </c>
    </row>
    <row r="765" spans="1:10" x14ac:dyDescent="0.35">
      <c r="A765" s="4" t="s">
        <v>4785</v>
      </c>
      <c r="B765" s="7" t="s">
        <v>92</v>
      </c>
      <c r="C765" s="7" t="s">
        <v>3752</v>
      </c>
      <c r="D765" s="5">
        <v>3</v>
      </c>
      <c r="E765" s="7" t="str">
        <f>_xlfn.XLOOKUP(B765,Customers!A765:A1764,Customers!B765:B1764,"Customer Not Found",0)</f>
        <v>Customer Not Found</v>
      </c>
      <c r="F765" s="7" t="str">
        <f>_xlfn.XLOOKUP(Orders!B765,Customers!A765:A1764,Customers!C765:C1764,"Country not Found",0)</f>
        <v>Country not Found</v>
      </c>
      <c r="G765" s="7" t="str">
        <f>_xlfn.XLOOKUP(C765,Products!A765:A1264,Products!B765:B1264,"Product Missing",0)</f>
        <v>Product Missing</v>
      </c>
      <c r="H765" s="7" t="str">
        <f>_xlfn.XLOOKUP(C765,Products!A765:A1264,Products!C765:C1264,"Category Missing",0)</f>
        <v>Category Missing</v>
      </c>
      <c r="I765" s="11" t="str">
        <f>_xlfn.XLOOKUP(Orders!C765,Products!A765:A1264,Products!D765:D1264,"Price Missing",0)</f>
        <v>Price Missing</v>
      </c>
      <c r="J765" s="19">
        <f t="shared" si="11"/>
        <v>0</v>
      </c>
    </row>
    <row r="766" spans="1:10" x14ac:dyDescent="0.35">
      <c r="A766" s="4" t="s">
        <v>4786</v>
      </c>
      <c r="B766" s="7" t="s">
        <v>701</v>
      </c>
      <c r="C766" s="7" t="s">
        <v>3536</v>
      </c>
      <c r="D766" s="5">
        <v>5</v>
      </c>
      <c r="E766" s="7" t="str">
        <f>_xlfn.XLOOKUP(B766,Customers!A766:A1765,Customers!B766:B1765,"Customer Not Found",0)</f>
        <v>Customer Not Found</v>
      </c>
      <c r="F766" s="7" t="str">
        <f>_xlfn.XLOOKUP(Orders!B766,Customers!A766:A1765,Customers!C766:C1765,"Country not Found",0)</f>
        <v>Country not Found</v>
      </c>
      <c r="G766" s="7" t="str">
        <f>_xlfn.XLOOKUP(C766,Products!A766:A1265,Products!B766:B1265,"Product Missing",0)</f>
        <v>Product Missing</v>
      </c>
      <c r="H766" s="7" t="str">
        <f>_xlfn.XLOOKUP(C766,Products!A766:A1265,Products!C766:C1265,"Category Missing",0)</f>
        <v>Category Missing</v>
      </c>
      <c r="I766" s="11" t="str">
        <f>_xlfn.XLOOKUP(Orders!C766,Products!A766:A1265,Products!D766:D1265,"Price Missing",0)</f>
        <v>Price Missing</v>
      </c>
      <c r="J766" s="19">
        <f t="shared" si="11"/>
        <v>0</v>
      </c>
    </row>
    <row r="767" spans="1:10" x14ac:dyDescent="0.35">
      <c r="A767" s="4" t="s">
        <v>4787</v>
      </c>
      <c r="B767" s="7" t="s">
        <v>2528</v>
      </c>
      <c r="C767" s="7" t="s">
        <v>3724</v>
      </c>
      <c r="D767" s="5">
        <v>2</v>
      </c>
      <c r="E767" s="7" t="str">
        <f>_xlfn.XLOOKUP(B767,Customers!A767:A1766,Customers!B767:B1766,"Customer Not Found",0)</f>
        <v>Customer_840</v>
      </c>
      <c r="F767" s="7" t="str">
        <f>_xlfn.XLOOKUP(Orders!B767,Customers!A767:A1766,Customers!C767:C1766,"Country not Found",0)</f>
        <v>UK</v>
      </c>
      <c r="G767" s="7" t="str">
        <f>_xlfn.XLOOKUP(C767,Products!A767:A1266,Products!B767:B1266,"Product Missing",0)</f>
        <v>Product Missing</v>
      </c>
      <c r="H767" s="7" t="str">
        <f>_xlfn.XLOOKUP(C767,Products!A767:A1266,Products!C767:C1266,"Category Missing",0)</f>
        <v>Category Missing</v>
      </c>
      <c r="I767" s="11" t="str">
        <f>_xlfn.XLOOKUP(Orders!C767,Products!A767:A1266,Products!D767:D1266,"Price Missing",0)</f>
        <v>Price Missing</v>
      </c>
      <c r="J767" s="19">
        <f t="shared" si="11"/>
        <v>0</v>
      </c>
    </row>
    <row r="768" spans="1:10" x14ac:dyDescent="0.35">
      <c r="A768" s="4" t="s">
        <v>4788</v>
      </c>
      <c r="B768" s="7" t="s">
        <v>1655</v>
      </c>
      <c r="C768" s="7" t="s">
        <v>3052</v>
      </c>
      <c r="D768" s="5">
        <v>9</v>
      </c>
      <c r="E768" s="7" t="str">
        <f>_xlfn.XLOOKUP(B768,Customers!A768:A1767,Customers!B768:B1767,"Customer Not Found",0)</f>
        <v>Customer Not Found</v>
      </c>
      <c r="F768" s="7" t="str">
        <f>_xlfn.XLOOKUP(Orders!B768,Customers!A768:A1767,Customers!C768:C1767,"Country not Found",0)</f>
        <v>Country not Found</v>
      </c>
      <c r="G768" s="7" t="str">
        <f>_xlfn.XLOOKUP(C768,Products!A768:A1267,Products!B768:B1267,"Product Missing",0)</f>
        <v>Product Missing</v>
      </c>
      <c r="H768" s="7" t="str">
        <f>_xlfn.XLOOKUP(C768,Products!A768:A1267,Products!C768:C1267,"Category Missing",0)</f>
        <v>Category Missing</v>
      </c>
      <c r="I768" s="11" t="str">
        <f>_xlfn.XLOOKUP(Orders!C768,Products!A768:A1267,Products!D768:D1267,"Price Missing",0)</f>
        <v>Price Missing</v>
      </c>
      <c r="J768" s="19">
        <f t="shared" si="11"/>
        <v>0</v>
      </c>
    </row>
    <row r="769" spans="1:10" x14ac:dyDescent="0.35">
      <c r="A769" s="4" t="s">
        <v>4789</v>
      </c>
      <c r="B769" s="7" t="s">
        <v>1550</v>
      </c>
      <c r="C769" s="7" t="s">
        <v>3034</v>
      </c>
      <c r="D769" s="5">
        <v>3</v>
      </c>
      <c r="E769" s="7" t="str">
        <f>_xlfn.XLOOKUP(B769,Customers!A769:A1768,Customers!B769:B1768,"Customer Not Found",0)</f>
        <v>Customer Not Found</v>
      </c>
      <c r="F769" s="7" t="str">
        <f>_xlfn.XLOOKUP(Orders!B769,Customers!A769:A1768,Customers!C769:C1768,"Country not Found",0)</f>
        <v>Country not Found</v>
      </c>
      <c r="G769" s="7" t="str">
        <f>_xlfn.XLOOKUP(C769,Products!A769:A1268,Products!B769:B1268,"Product Missing",0)</f>
        <v>Product Missing</v>
      </c>
      <c r="H769" s="7" t="str">
        <f>_xlfn.XLOOKUP(C769,Products!A769:A1268,Products!C769:C1268,"Category Missing",0)</f>
        <v>Category Missing</v>
      </c>
      <c r="I769" s="11" t="str">
        <f>_xlfn.XLOOKUP(Orders!C769,Products!A769:A1268,Products!D769:D1268,"Price Missing",0)</f>
        <v>Price Missing</v>
      </c>
      <c r="J769" s="19">
        <f t="shared" si="11"/>
        <v>0</v>
      </c>
    </row>
    <row r="770" spans="1:10" x14ac:dyDescent="0.35">
      <c r="A770" s="4" t="s">
        <v>4790</v>
      </c>
      <c r="B770" s="7" t="s">
        <v>1226</v>
      </c>
      <c r="C770" s="7" t="s">
        <v>3660</v>
      </c>
      <c r="D770" s="5">
        <v>10</v>
      </c>
      <c r="E770" s="7" t="str">
        <f>_xlfn.XLOOKUP(B770,Customers!A770:A1769,Customers!B770:B1769,"Customer Not Found",0)</f>
        <v>Customer Not Found</v>
      </c>
      <c r="F770" s="7" t="str">
        <f>_xlfn.XLOOKUP(Orders!B770,Customers!A770:A1769,Customers!C770:C1769,"Country not Found",0)</f>
        <v>Country not Found</v>
      </c>
      <c r="G770" s="7" t="str">
        <f>_xlfn.XLOOKUP(C770,Products!A770:A1269,Products!B770:B1269,"Product Missing",0)</f>
        <v>Product Missing</v>
      </c>
      <c r="H770" s="7" t="str">
        <f>_xlfn.XLOOKUP(C770,Products!A770:A1269,Products!C770:C1269,"Category Missing",0)</f>
        <v>Category Missing</v>
      </c>
      <c r="I770" s="11" t="str">
        <f>_xlfn.XLOOKUP(Orders!C770,Products!A770:A1269,Products!D770:D1269,"Price Missing",0)</f>
        <v>Price Missing</v>
      </c>
      <c r="J770" s="19">
        <f t="shared" si="11"/>
        <v>0</v>
      </c>
    </row>
    <row r="771" spans="1:10" x14ac:dyDescent="0.35">
      <c r="A771" s="4" t="s">
        <v>4791</v>
      </c>
      <c r="B771" s="7" t="s">
        <v>2513</v>
      </c>
      <c r="C771" s="7" t="s">
        <v>3932</v>
      </c>
      <c r="D771" s="5">
        <v>8</v>
      </c>
      <c r="E771" s="7" t="str">
        <f>_xlfn.XLOOKUP(B771,Customers!A771:A1770,Customers!B771:B1770,"Customer Not Found",0)</f>
        <v>Customer_835</v>
      </c>
      <c r="F771" s="7" t="str">
        <f>_xlfn.XLOOKUP(Orders!B771,Customers!A771:A1770,Customers!C771:C1770,"Country not Found",0)</f>
        <v>Nigeria</v>
      </c>
      <c r="G771" s="7" t="str">
        <f>_xlfn.XLOOKUP(C771,Products!A771:A1270,Products!B771:B1270,"Product Missing",0)</f>
        <v>Product Missing</v>
      </c>
      <c r="H771" s="7" t="str">
        <f>_xlfn.XLOOKUP(C771,Products!A771:A1270,Products!C771:C1270,"Category Missing",0)</f>
        <v>Category Missing</v>
      </c>
      <c r="I771" s="11" t="str">
        <f>_xlfn.XLOOKUP(Orders!C771,Products!A771:A1270,Products!D771:D1270,"Price Missing",0)</f>
        <v>Price Missing</v>
      </c>
      <c r="J771" s="19">
        <f t="shared" ref="J771:J834" si="12">IFERROR(I771*D771,0)</f>
        <v>0</v>
      </c>
    </row>
    <row r="772" spans="1:10" x14ac:dyDescent="0.35">
      <c r="A772" s="4" t="s">
        <v>4792</v>
      </c>
      <c r="B772" s="7" t="s">
        <v>2084</v>
      </c>
      <c r="C772" s="7" t="s">
        <v>3724</v>
      </c>
      <c r="D772" s="5">
        <v>5</v>
      </c>
      <c r="E772" s="7" t="str">
        <f>_xlfn.XLOOKUP(B772,Customers!A772:A1771,Customers!B772:B1771,"Customer Not Found",0)</f>
        <v>Customer Not Found</v>
      </c>
      <c r="F772" s="7" t="str">
        <f>_xlfn.XLOOKUP(Orders!B772,Customers!A772:A1771,Customers!C772:C1771,"Country not Found",0)</f>
        <v>Country not Found</v>
      </c>
      <c r="G772" s="7" t="str">
        <f>_xlfn.XLOOKUP(C772,Products!A772:A1271,Products!B772:B1271,"Product Missing",0)</f>
        <v>Product Missing</v>
      </c>
      <c r="H772" s="7" t="str">
        <f>_xlfn.XLOOKUP(C772,Products!A772:A1271,Products!C772:C1271,"Category Missing",0)</f>
        <v>Category Missing</v>
      </c>
      <c r="I772" s="11" t="str">
        <f>_xlfn.XLOOKUP(Orders!C772,Products!A772:A1271,Products!D772:D1271,"Price Missing",0)</f>
        <v>Price Missing</v>
      </c>
      <c r="J772" s="19">
        <f t="shared" si="12"/>
        <v>0</v>
      </c>
    </row>
    <row r="773" spans="1:10" x14ac:dyDescent="0.35">
      <c r="A773" s="4" t="s">
        <v>4793</v>
      </c>
      <c r="B773" s="7" t="s">
        <v>2903</v>
      </c>
      <c r="C773" s="7" t="s">
        <v>3934</v>
      </c>
      <c r="D773" s="5">
        <v>1</v>
      </c>
      <c r="E773" s="7" t="str">
        <f>_xlfn.XLOOKUP(B773,Customers!A773:A1772,Customers!B773:B1772,"Customer Not Found",0)</f>
        <v>Customer_965</v>
      </c>
      <c r="F773" s="7" t="str">
        <f>_xlfn.XLOOKUP(Orders!B773,Customers!A773:A1772,Customers!C773:C1772,"Country not Found",0)</f>
        <v>Canada</v>
      </c>
      <c r="G773" s="7" t="str">
        <f>_xlfn.XLOOKUP(C773,Products!A773:A1272,Products!B773:B1272,"Product Missing",0)</f>
        <v>Product Missing</v>
      </c>
      <c r="H773" s="7" t="str">
        <f>_xlfn.XLOOKUP(C773,Products!A773:A1272,Products!C773:C1272,"Category Missing",0)</f>
        <v>Category Missing</v>
      </c>
      <c r="I773" s="11" t="str">
        <f>_xlfn.XLOOKUP(Orders!C773,Products!A773:A1272,Products!D773:D1272,"Price Missing",0)</f>
        <v>Price Missing</v>
      </c>
      <c r="J773" s="19">
        <f t="shared" si="12"/>
        <v>0</v>
      </c>
    </row>
    <row r="774" spans="1:10" x14ac:dyDescent="0.35">
      <c r="A774" s="4" t="s">
        <v>4794</v>
      </c>
      <c r="B774" s="7" t="s">
        <v>581</v>
      </c>
      <c r="C774" s="7" t="s">
        <v>3908</v>
      </c>
      <c r="D774" s="5">
        <v>9</v>
      </c>
      <c r="E774" s="7" t="str">
        <f>_xlfn.XLOOKUP(B774,Customers!A774:A1773,Customers!B774:B1773,"Customer Not Found",0)</f>
        <v>Customer Not Found</v>
      </c>
      <c r="F774" s="7" t="str">
        <f>_xlfn.XLOOKUP(Orders!B774,Customers!A774:A1773,Customers!C774:C1773,"Country not Found",0)</f>
        <v>Country not Found</v>
      </c>
      <c r="G774" s="7" t="str">
        <f>_xlfn.XLOOKUP(C774,Products!A774:A1273,Products!B774:B1273,"Product Missing",0)</f>
        <v>Product Missing</v>
      </c>
      <c r="H774" s="7" t="str">
        <f>_xlfn.XLOOKUP(C774,Products!A774:A1273,Products!C774:C1273,"Category Missing",0)</f>
        <v>Category Missing</v>
      </c>
      <c r="I774" s="11" t="str">
        <f>_xlfn.XLOOKUP(Orders!C774,Products!A774:A1273,Products!D774:D1273,"Price Missing",0)</f>
        <v>Price Missing</v>
      </c>
      <c r="J774" s="19">
        <f t="shared" si="12"/>
        <v>0</v>
      </c>
    </row>
    <row r="775" spans="1:10" x14ac:dyDescent="0.35">
      <c r="A775" s="4" t="s">
        <v>4795</v>
      </c>
      <c r="B775" s="7" t="s">
        <v>1187</v>
      </c>
      <c r="C775" s="7" t="s">
        <v>3724</v>
      </c>
      <c r="D775" s="5">
        <v>6</v>
      </c>
      <c r="E775" s="7" t="str">
        <f>_xlfn.XLOOKUP(B775,Customers!A775:A1774,Customers!B775:B1774,"Customer Not Found",0)</f>
        <v>Customer Not Found</v>
      </c>
      <c r="F775" s="7" t="str">
        <f>_xlfn.XLOOKUP(Orders!B775,Customers!A775:A1774,Customers!C775:C1774,"Country not Found",0)</f>
        <v>Country not Found</v>
      </c>
      <c r="G775" s="7" t="str">
        <f>_xlfn.XLOOKUP(C775,Products!A775:A1274,Products!B775:B1274,"Product Missing",0)</f>
        <v>Product Missing</v>
      </c>
      <c r="H775" s="7" t="str">
        <f>_xlfn.XLOOKUP(C775,Products!A775:A1274,Products!C775:C1274,"Category Missing",0)</f>
        <v>Category Missing</v>
      </c>
      <c r="I775" s="11" t="str">
        <f>_xlfn.XLOOKUP(Orders!C775,Products!A775:A1274,Products!D775:D1274,"Price Missing",0)</f>
        <v>Price Missing</v>
      </c>
      <c r="J775" s="19">
        <f t="shared" si="12"/>
        <v>0</v>
      </c>
    </row>
    <row r="776" spans="1:10" x14ac:dyDescent="0.35">
      <c r="A776" s="4" t="s">
        <v>4796</v>
      </c>
      <c r="B776" s="7" t="s">
        <v>2339</v>
      </c>
      <c r="C776" s="7" t="s">
        <v>3548</v>
      </c>
      <c r="D776" s="5">
        <v>8</v>
      </c>
      <c r="E776" s="7" t="str">
        <f>_xlfn.XLOOKUP(B776,Customers!A776:A1775,Customers!B776:B1775,"Customer Not Found",0)</f>
        <v>Customer_777</v>
      </c>
      <c r="F776" s="7" t="str">
        <f>_xlfn.XLOOKUP(Orders!B776,Customers!A776:A1775,Customers!C776:C1775,"Country not Found",0)</f>
        <v>Kenya</v>
      </c>
      <c r="G776" s="7" t="str">
        <f>_xlfn.XLOOKUP(C776,Products!A776:A1275,Products!B776:B1275,"Product Missing",0)</f>
        <v>Product Missing</v>
      </c>
      <c r="H776" s="7" t="str">
        <f>_xlfn.XLOOKUP(C776,Products!A776:A1275,Products!C776:C1275,"Category Missing",0)</f>
        <v>Category Missing</v>
      </c>
      <c r="I776" s="11" t="str">
        <f>_xlfn.XLOOKUP(Orders!C776,Products!A776:A1275,Products!D776:D1275,"Price Missing",0)</f>
        <v>Price Missing</v>
      </c>
      <c r="J776" s="19">
        <f t="shared" si="12"/>
        <v>0</v>
      </c>
    </row>
    <row r="777" spans="1:10" x14ac:dyDescent="0.35">
      <c r="A777" s="4" t="s">
        <v>4797</v>
      </c>
      <c r="B777" s="7" t="s">
        <v>1037</v>
      </c>
      <c r="C777" s="7" t="s">
        <v>3706</v>
      </c>
      <c r="D777" s="5">
        <v>6</v>
      </c>
      <c r="E777" s="7" t="str">
        <f>_xlfn.XLOOKUP(B777,Customers!A777:A1776,Customers!B777:B1776,"Customer Not Found",0)</f>
        <v>Customer Not Found</v>
      </c>
      <c r="F777" s="7" t="str">
        <f>_xlfn.XLOOKUP(Orders!B777,Customers!A777:A1776,Customers!C777:C1776,"Country not Found",0)</f>
        <v>Country not Found</v>
      </c>
      <c r="G777" s="7" t="str">
        <f>_xlfn.XLOOKUP(C777,Products!A777:A1276,Products!B777:B1276,"Product Missing",0)</f>
        <v>Product Missing</v>
      </c>
      <c r="H777" s="7" t="str">
        <f>_xlfn.XLOOKUP(C777,Products!A777:A1276,Products!C777:C1276,"Category Missing",0)</f>
        <v>Category Missing</v>
      </c>
      <c r="I777" s="11" t="str">
        <f>_xlfn.XLOOKUP(Orders!C777,Products!A777:A1276,Products!D777:D1276,"Price Missing",0)</f>
        <v>Price Missing</v>
      </c>
      <c r="J777" s="19">
        <f t="shared" si="12"/>
        <v>0</v>
      </c>
    </row>
    <row r="778" spans="1:10" x14ac:dyDescent="0.35">
      <c r="A778" s="4" t="s">
        <v>4798</v>
      </c>
      <c r="B778" s="7" t="s">
        <v>2834</v>
      </c>
      <c r="C778" s="7" t="s">
        <v>3700</v>
      </c>
      <c r="D778" s="5">
        <v>3</v>
      </c>
      <c r="E778" s="7" t="str">
        <f>_xlfn.XLOOKUP(B778,Customers!A778:A1777,Customers!B778:B1777,"Customer Not Found",0)</f>
        <v>Customer_942</v>
      </c>
      <c r="F778" s="7" t="str">
        <f>_xlfn.XLOOKUP(Orders!B778,Customers!A778:A1777,Customers!C778:C1777,"Country not Found",0)</f>
        <v>Canada</v>
      </c>
      <c r="G778" s="7" t="str">
        <f>_xlfn.XLOOKUP(C778,Products!A778:A1277,Products!B778:B1277,"Product Missing",0)</f>
        <v>Product Missing</v>
      </c>
      <c r="H778" s="7" t="str">
        <f>_xlfn.XLOOKUP(C778,Products!A778:A1277,Products!C778:C1277,"Category Missing",0)</f>
        <v>Category Missing</v>
      </c>
      <c r="I778" s="11" t="str">
        <f>_xlfn.XLOOKUP(Orders!C778,Products!A778:A1277,Products!D778:D1277,"Price Missing",0)</f>
        <v>Price Missing</v>
      </c>
      <c r="J778" s="19">
        <f t="shared" si="12"/>
        <v>0</v>
      </c>
    </row>
    <row r="779" spans="1:10" x14ac:dyDescent="0.35">
      <c r="A779" s="4" t="s">
        <v>4799</v>
      </c>
      <c r="B779" s="7" t="s">
        <v>707</v>
      </c>
      <c r="C779" s="7" t="s">
        <v>3302</v>
      </c>
      <c r="D779" s="5">
        <v>7</v>
      </c>
      <c r="E779" s="7" t="str">
        <f>_xlfn.XLOOKUP(B779,Customers!A779:A1778,Customers!B779:B1778,"Customer Not Found",0)</f>
        <v>Customer Not Found</v>
      </c>
      <c r="F779" s="7" t="str">
        <f>_xlfn.XLOOKUP(Orders!B779,Customers!A779:A1778,Customers!C779:C1778,"Country not Found",0)</f>
        <v>Country not Found</v>
      </c>
      <c r="G779" s="7" t="str">
        <f>_xlfn.XLOOKUP(C779,Products!A779:A1278,Products!B779:B1278,"Product Missing",0)</f>
        <v>Product Missing</v>
      </c>
      <c r="H779" s="7" t="str">
        <f>_xlfn.XLOOKUP(C779,Products!A779:A1278,Products!C779:C1278,"Category Missing",0)</f>
        <v>Category Missing</v>
      </c>
      <c r="I779" s="11" t="str">
        <f>_xlfn.XLOOKUP(Orders!C779,Products!A779:A1278,Products!D779:D1278,"Price Missing",0)</f>
        <v>Price Missing</v>
      </c>
      <c r="J779" s="19">
        <f t="shared" si="12"/>
        <v>0</v>
      </c>
    </row>
    <row r="780" spans="1:10" x14ac:dyDescent="0.35">
      <c r="A780" s="4" t="s">
        <v>4800</v>
      </c>
      <c r="B780" s="7" t="s">
        <v>800</v>
      </c>
      <c r="C780" s="7" t="s">
        <v>3534</v>
      </c>
      <c r="D780" s="5">
        <v>7</v>
      </c>
      <c r="E780" s="7" t="str">
        <f>_xlfn.XLOOKUP(B780,Customers!A780:A1779,Customers!B780:B1779,"Customer Not Found",0)</f>
        <v>Customer Not Found</v>
      </c>
      <c r="F780" s="7" t="str">
        <f>_xlfn.XLOOKUP(Orders!B780,Customers!A780:A1779,Customers!C780:C1779,"Country not Found",0)</f>
        <v>Country not Found</v>
      </c>
      <c r="G780" s="7" t="str">
        <f>_xlfn.XLOOKUP(C780,Products!A780:A1279,Products!B780:B1279,"Product Missing",0)</f>
        <v>Product Missing</v>
      </c>
      <c r="H780" s="7" t="str">
        <f>_xlfn.XLOOKUP(C780,Products!A780:A1279,Products!C780:C1279,"Category Missing",0)</f>
        <v>Category Missing</v>
      </c>
      <c r="I780" s="11" t="str">
        <f>_xlfn.XLOOKUP(Orders!C780,Products!A780:A1279,Products!D780:D1279,"Price Missing",0)</f>
        <v>Price Missing</v>
      </c>
      <c r="J780" s="19">
        <f t="shared" si="12"/>
        <v>0</v>
      </c>
    </row>
    <row r="781" spans="1:10" x14ac:dyDescent="0.35">
      <c r="A781" s="4" t="s">
        <v>4801</v>
      </c>
      <c r="B781" s="7" t="s">
        <v>1814</v>
      </c>
      <c r="C781" s="7" t="s">
        <v>3182</v>
      </c>
      <c r="D781" s="5">
        <v>1</v>
      </c>
      <c r="E781" s="7" t="str">
        <f>_xlfn.XLOOKUP(B781,Customers!A781:A1780,Customers!B781:B1780,"Customer Not Found",0)</f>
        <v>Customer Not Found</v>
      </c>
      <c r="F781" s="7" t="str">
        <f>_xlfn.XLOOKUP(Orders!B781,Customers!A781:A1780,Customers!C781:C1780,"Country not Found",0)</f>
        <v>Country not Found</v>
      </c>
      <c r="G781" s="7" t="str">
        <f>_xlfn.XLOOKUP(C781,Products!A781:A1280,Products!B781:B1280,"Product Missing",0)</f>
        <v>Product Missing</v>
      </c>
      <c r="H781" s="7" t="str">
        <f>_xlfn.XLOOKUP(C781,Products!A781:A1280,Products!C781:C1280,"Category Missing",0)</f>
        <v>Category Missing</v>
      </c>
      <c r="I781" s="11" t="str">
        <f>_xlfn.XLOOKUP(Orders!C781,Products!A781:A1280,Products!D781:D1280,"Price Missing",0)</f>
        <v>Price Missing</v>
      </c>
      <c r="J781" s="19">
        <f t="shared" si="12"/>
        <v>0</v>
      </c>
    </row>
    <row r="782" spans="1:10" x14ac:dyDescent="0.35">
      <c r="A782" s="4" t="s">
        <v>4802</v>
      </c>
      <c r="B782" s="7" t="s">
        <v>536</v>
      </c>
      <c r="C782" s="7" t="s">
        <v>3552</v>
      </c>
      <c r="D782" s="5">
        <v>8</v>
      </c>
      <c r="E782" s="7" t="str">
        <f>_xlfn.XLOOKUP(B782,Customers!A782:A1781,Customers!B782:B1781,"Customer Not Found",0)</f>
        <v>Customer Not Found</v>
      </c>
      <c r="F782" s="7" t="str">
        <f>_xlfn.XLOOKUP(Orders!B782,Customers!A782:A1781,Customers!C782:C1781,"Country not Found",0)</f>
        <v>Country not Found</v>
      </c>
      <c r="G782" s="7" t="str">
        <f>_xlfn.XLOOKUP(C782,Products!A782:A1281,Products!B782:B1281,"Product Missing",0)</f>
        <v>Product Missing</v>
      </c>
      <c r="H782" s="7" t="str">
        <f>_xlfn.XLOOKUP(C782,Products!A782:A1281,Products!C782:C1281,"Category Missing",0)</f>
        <v>Category Missing</v>
      </c>
      <c r="I782" s="11" t="str">
        <f>_xlfn.XLOOKUP(Orders!C782,Products!A782:A1281,Products!D782:D1281,"Price Missing",0)</f>
        <v>Price Missing</v>
      </c>
      <c r="J782" s="19">
        <f t="shared" si="12"/>
        <v>0</v>
      </c>
    </row>
    <row r="783" spans="1:10" x14ac:dyDescent="0.35">
      <c r="A783" s="4" t="s">
        <v>4803</v>
      </c>
      <c r="B783" s="7" t="s">
        <v>884</v>
      </c>
      <c r="C783" s="7" t="s">
        <v>3694</v>
      </c>
      <c r="D783" s="5">
        <v>3</v>
      </c>
      <c r="E783" s="7" t="str">
        <f>_xlfn.XLOOKUP(B783,Customers!A783:A1782,Customers!B783:B1782,"Customer Not Found",0)</f>
        <v>Customer Not Found</v>
      </c>
      <c r="F783" s="7" t="str">
        <f>_xlfn.XLOOKUP(Orders!B783,Customers!A783:A1782,Customers!C783:C1782,"Country not Found",0)</f>
        <v>Country not Found</v>
      </c>
      <c r="G783" s="7" t="str">
        <f>_xlfn.XLOOKUP(C783,Products!A783:A1282,Products!B783:B1282,"Product Missing",0)</f>
        <v>Product Missing</v>
      </c>
      <c r="H783" s="7" t="str">
        <f>_xlfn.XLOOKUP(C783,Products!A783:A1282,Products!C783:C1282,"Category Missing",0)</f>
        <v>Category Missing</v>
      </c>
      <c r="I783" s="11" t="str">
        <f>_xlfn.XLOOKUP(Orders!C783,Products!A783:A1282,Products!D783:D1282,"Price Missing",0)</f>
        <v>Price Missing</v>
      </c>
      <c r="J783" s="19">
        <f t="shared" si="12"/>
        <v>0</v>
      </c>
    </row>
    <row r="784" spans="1:10" x14ac:dyDescent="0.35">
      <c r="A784" s="4" t="s">
        <v>4804</v>
      </c>
      <c r="B784" s="7" t="s">
        <v>2165</v>
      </c>
      <c r="C784" s="7" t="s">
        <v>3926</v>
      </c>
      <c r="D784" s="5">
        <v>9</v>
      </c>
      <c r="E784" s="7" t="str">
        <f>_xlfn.XLOOKUP(B784,Customers!A784:A1783,Customers!B784:B1783,"Customer Not Found",0)</f>
        <v>Customer Not Found</v>
      </c>
      <c r="F784" s="7" t="str">
        <f>_xlfn.XLOOKUP(Orders!B784,Customers!A784:A1783,Customers!C784:C1783,"Country not Found",0)</f>
        <v>Country not Found</v>
      </c>
      <c r="G784" s="7" t="str">
        <f>_xlfn.XLOOKUP(C784,Products!A784:A1283,Products!B784:B1283,"Product Missing",0)</f>
        <v>Product Missing</v>
      </c>
      <c r="H784" s="7" t="str">
        <f>_xlfn.XLOOKUP(C784,Products!A784:A1283,Products!C784:C1283,"Category Missing",0)</f>
        <v>Category Missing</v>
      </c>
      <c r="I784" s="11" t="str">
        <f>_xlfn.XLOOKUP(Orders!C784,Products!A784:A1283,Products!D784:D1283,"Price Missing",0)</f>
        <v>Price Missing</v>
      </c>
      <c r="J784" s="19">
        <f t="shared" si="12"/>
        <v>0</v>
      </c>
    </row>
    <row r="785" spans="1:10" x14ac:dyDescent="0.35">
      <c r="A785" s="4" t="s">
        <v>4805</v>
      </c>
      <c r="B785" s="7" t="s">
        <v>1586</v>
      </c>
      <c r="C785" s="7" t="s">
        <v>3624</v>
      </c>
      <c r="D785" s="5">
        <v>5</v>
      </c>
      <c r="E785" s="7" t="str">
        <f>_xlfn.XLOOKUP(B785,Customers!A785:A1784,Customers!B785:B1784,"Customer Not Found",0)</f>
        <v>Customer Not Found</v>
      </c>
      <c r="F785" s="7" t="str">
        <f>_xlfn.XLOOKUP(Orders!B785,Customers!A785:A1784,Customers!C785:C1784,"Country not Found",0)</f>
        <v>Country not Found</v>
      </c>
      <c r="G785" s="7" t="str">
        <f>_xlfn.XLOOKUP(C785,Products!A785:A1284,Products!B785:B1284,"Product Missing",0)</f>
        <v>Product Missing</v>
      </c>
      <c r="H785" s="7" t="str">
        <f>_xlfn.XLOOKUP(C785,Products!A785:A1284,Products!C785:C1284,"Category Missing",0)</f>
        <v>Category Missing</v>
      </c>
      <c r="I785" s="11" t="str">
        <f>_xlfn.XLOOKUP(Orders!C785,Products!A785:A1284,Products!D785:D1284,"Price Missing",0)</f>
        <v>Price Missing</v>
      </c>
      <c r="J785" s="19">
        <f t="shared" si="12"/>
        <v>0</v>
      </c>
    </row>
    <row r="786" spans="1:10" x14ac:dyDescent="0.35">
      <c r="A786" s="4" t="s">
        <v>4806</v>
      </c>
      <c r="B786" s="7" t="s">
        <v>923</v>
      </c>
      <c r="C786" s="7" t="s">
        <v>3914</v>
      </c>
      <c r="D786" s="5">
        <v>1</v>
      </c>
      <c r="E786" s="7" t="str">
        <f>_xlfn.XLOOKUP(B786,Customers!A786:A1785,Customers!B786:B1785,"Customer Not Found",0)</f>
        <v>Customer Not Found</v>
      </c>
      <c r="F786" s="7" t="str">
        <f>_xlfn.XLOOKUP(Orders!B786,Customers!A786:A1785,Customers!C786:C1785,"Country not Found",0)</f>
        <v>Country not Found</v>
      </c>
      <c r="G786" s="7" t="str">
        <f>_xlfn.XLOOKUP(C786,Products!A786:A1285,Products!B786:B1285,"Product Missing",0)</f>
        <v>Product Missing</v>
      </c>
      <c r="H786" s="7" t="str">
        <f>_xlfn.XLOOKUP(C786,Products!A786:A1285,Products!C786:C1285,"Category Missing",0)</f>
        <v>Category Missing</v>
      </c>
      <c r="I786" s="11" t="str">
        <f>_xlfn.XLOOKUP(Orders!C786,Products!A786:A1285,Products!D786:D1285,"Price Missing",0)</f>
        <v>Price Missing</v>
      </c>
      <c r="J786" s="19">
        <f t="shared" si="12"/>
        <v>0</v>
      </c>
    </row>
    <row r="787" spans="1:10" x14ac:dyDescent="0.35">
      <c r="A787" s="4" t="s">
        <v>4807</v>
      </c>
      <c r="B787" s="7" t="s">
        <v>263</v>
      </c>
      <c r="C787" s="7" t="s">
        <v>3964</v>
      </c>
      <c r="D787" s="5">
        <v>4</v>
      </c>
      <c r="E787" s="7" t="str">
        <f>_xlfn.XLOOKUP(B787,Customers!A787:A1786,Customers!B787:B1786,"Customer Not Found",0)</f>
        <v>Customer Not Found</v>
      </c>
      <c r="F787" s="7" t="str">
        <f>_xlfn.XLOOKUP(Orders!B787,Customers!A787:A1786,Customers!C787:C1786,"Country not Found",0)</f>
        <v>Country not Found</v>
      </c>
      <c r="G787" s="7" t="str">
        <f>_xlfn.XLOOKUP(C787,Products!A787:A1286,Products!B787:B1286,"Product Missing",0)</f>
        <v>Product Missing</v>
      </c>
      <c r="H787" s="7" t="str">
        <f>_xlfn.XLOOKUP(C787,Products!A787:A1286,Products!C787:C1286,"Category Missing",0)</f>
        <v>Category Missing</v>
      </c>
      <c r="I787" s="11" t="str">
        <f>_xlfn.XLOOKUP(Orders!C787,Products!A787:A1286,Products!D787:D1286,"Price Missing",0)</f>
        <v>Price Missing</v>
      </c>
      <c r="J787" s="19">
        <f t="shared" si="12"/>
        <v>0</v>
      </c>
    </row>
    <row r="788" spans="1:10" x14ac:dyDescent="0.35">
      <c r="A788" s="4" t="s">
        <v>4808</v>
      </c>
      <c r="B788" s="7" t="s">
        <v>2213</v>
      </c>
      <c r="C788" s="7" t="s">
        <v>3156</v>
      </c>
      <c r="D788" s="5">
        <v>2</v>
      </c>
      <c r="E788" s="7" t="str">
        <f>_xlfn.XLOOKUP(B788,Customers!A788:A1787,Customers!B788:B1787,"Customer Not Found",0)</f>
        <v>Customer Not Found</v>
      </c>
      <c r="F788" s="7" t="str">
        <f>_xlfn.XLOOKUP(Orders!B788,Customers!A788:A1787,Customers!C788:C1787,"Country not Found",0)</f>
        <v>Country not Found</v>
      </c>
      <c r="G788" s="7" t="str">
        <f>_xlfn.XLOOKUP(C788,Products!A788:A1287,Products!B788:B1287,"Product Missing",0)</f>
        <v>Product Missing</v>
      </c>
      <c r="H788" s="7" t="str">
        <f>_xlfn.XLOOKUP(C788,Products!A788:A1287,Products!C788:C1287,"Category Missing",0)</f>
        <v>Category Missing</v>
      </c>
      <c r="I788" s="11" t="str">
        <f>_xlfn.XLOOKUP(Orders!C788,Products!A788:A1287,Products!D788:D1287,"Price Missing",0)</f>
        <v>Price Missing</v>
      </c>
      <c r="J788" s="19">
        <f t="shared" si="12"/>
        <v>0</v>
      </c>
    </row>
    <row r="789" spans="1:10" x14ac:dyDescent="0.35">
      <c r="A789" s="4" t="s">
        <v>4809</v>
      </c>
      <c r="B789" s="7" t="s">
        <v>1412</v>
      </c>
      <c r="C789" s="7" t="s">
        <v>3490</v>
      </c>
      <c r="D789" s="5">
        <v>3</v>
      </c>
      <c r="E789" s="7" t="str">
        <f>_xlfn.XLOOKUP(B789,Customers!A789:A1788,Customers!B789:B1788,"Customer Not Found",0)</f>
        <v>Customer Not Found</v>
      </c>
      <c r="F789" s="7" t="str">
        <f>_xlfn.XLOOKUP(Orders!B789,Customers!A789:A1788,Customers!C789:C1788,"Country not Found",0)</f>
        <v>Country not Found</v>
      </c>
      <c r="G789" s="7" t="str">
        <f>_xlfn.XLOOKUP(C789,Products!A789:A1288,Products!B789:B1288,"Product Missing",0)</f>
        <v>Product Missing</v>
      </c>
      <c r="H789" s="7" t="str">
        <f>_xlfn.XLOOKUP(C789,Products!A789:A1288,Products!C789:C1288,"Category Missing",0)</f>
        <v>Category Missing</v>
      </c>
      <c r="I789" s="11" t="str">
        <f>_xlfn.XLOOKUP(Orders!C789,Products!A789:A1288,Products!D789:D1288,"Price Missing",0)</f>
        <v>Price Missing</v>
      </c>
      <c r="J789" s="19">
        <f t="shared" si="12"/>
        <v>0</v>
      </c>
    </row>
    <row r="790" spans="1:10" x14ac:dyDescent="0.35">
      <c r="A790" s="4" t="s">
        <v>4810</v>
      </c>
      <c r="B790" s="7" t="s">
        <v>1226</v>
      </c>
      <c r="C790" s="7" t="s">
        <v>3234</v>
      </c>
      <c r="D790" s="5">
        <v>5</v>
      </c>
      <c r="E790" s="7" t="str">
        <f>_xlfn.XLOOKUP(B790,Customers!A790:A1789,Customers!B790:B1789,"Customer Not Found",0)</f>
        <v>Customer Not Found</v>
      </c>
      <c r="F790" s="7" t="str">
        <f>_xlfn.XLOOKUP(Orders!B790,Customers!A790:A1789,Customers!C790:C1789,"Country not Found",0)</f>
        <v>Country not Found</v>
      </c>
      <c r="G790" s="7" t="str">
        <f>_xlfn.XLOOKUP(C790,Products!A790:A1289,Products!B790:B1289,"Product Missing",0)</f>
        <v>Product Missing</v>
      </c>
      <c r="H790" s="7" t="str">
        <f>_xlfn.XLOOKUP(C790,Products!A790:A1289,Products!C790:C1289,"Category Missing",0)</f>
        <v>Category Missing</v>
      </c>
      <c r="I790" s="11" t="str">
        <f>_xlfn.XLOOKUP(Orders!C790,Products!A790:A1289,Products!D790:D1289,"Price Missing",0)</f>
        <v>Price Missing</v>
      </c>
      <c r="J790" s="19">
        <f t="shared" si="12"/>
        <v>0</v>
      </c>
    </row>
    <row r="791" spans="1:10" x14ac:dyDescent="0.35">
      <c r="A791" s="4" t="s">
        <v>4811</v>
      </c>
      <c r="B791" s="7" t="s">
        <v>2759</v>
      </c>
      <c r="C791" s="7" t="s">
        <v>4002</v>
      </c>
      <c r="D791" s="5">
        <v>9</v>
      </c>
      <c r="E791" s="7" t="str">
        <f>_xlfn.XLOOKUP(B791,Customers!A791:A1790,Customers!B791:B1790,"Customer Not Found",0)</f>
        <v>Customer_917</v>
      </c>
      <c r="F791" s="7" t="str">
        <f>_xlfn.XLOOKUP(Orders!B791,Customers!A791:A1790,Customers!C791:C1790,"Country not Found",0)</f>
        <v>Canada</v>
      </c>
      <c r="G791" s="7" t="str">
        <f>_xlfn.XLOOKUP(C791,Products!A791:A1290,Products!B791:B1290,"Product Missing",0)</f>
        <v>Product Missing</v>
      </c>
      <c r="H791" s="7" t="str">
        <f>_xlfn.XLOOKUP(C791,Products!A791:A1290,Products!C791:C1290,"Category Missing",0)</f>
        <v>Category Missing</v>
      </c>
      <c r="I791" s="11" t="str">
        <f>_xlfn.XLOOKUP(Orders!C791,Products!A791:A1290,Products!D791:D1290,"Price Missing",0)</f>
        <v>Price Missing</v>
      </c>
      <c r="J791" s="19">
        <f t="shared" si="12"/>
        <v>0</v>
      </c>
    </row>
    <row r="792" spans="1:10" x14ac:dyDescent="0.35">
      <c r="A792" s="4" t="s">
        <v>4812</v>
      </c>
      <c r="B792" s="7" t="s">
        <v>1037</v>
      </c>
      <c r="C792" s="7" t="s">
        <v>3738</v>
      </c>
      <c r="D792" s="5">
        <v>6</v>
      </c>
      <c r="E792" s="7" t="str">
        <f>_xlfn.XLOOKUP(B792,Customers!A792:A1791,Customers!B792:B1791,"Customer Not Found",0)</f>
        <v>Customer Not Found</v>
      </c>
      <c r="F792" s="7" t="str">
        <f>_xlfn.XLOOKUP(Orders!B792,Customers!A792:A1791,Customers!C792:C1791,"Country not Found",0)</f>
        <v>Country not Found</v>
      </c>
      <c r="G792" s="7" t="str">
        <f>_xlfn.XLOOKUP(C792,Products!A792:A1291,Products!B792:B1291,"Product Missing",0)</f>
        <v>Product Missing</v>
      </c>
      <c r="H792" s="7" t="str">
        <f>_xlfn.XLOOKUP(C792,Products!A792:A1291,Products!C792:C1291,"Category Missing",0)</f>
        <v>Category Missing</v>
      </c>
      <c r="I792" s="11" t="str">
        <f>_xlfn.XLOOKUP(Orders!C792,Products!A792:A1291,Products!D792:D1291,"Price Missing",0)</f>
        <v>Price Missing</v>
      </c>
      <c r="J792" s="19">
        <f t="shared" si="12"/>
        <v>0</v>
      </c>
    </row>
    <row r="793" spans="1:10" x14ac:dyDescent="0.35">
      <c r="A793" s="4" t="s">
        <v>4813</v>
      </c>
      <c r="B793" s="7" t="s">
        <v>338</v>
      </c>
      <c r="C793" s="7" t="s">
        <v>3378</v>
      </c>
      <c r="D793" s="5">
        <v>10</v>
      </c>
      <c r="E793" s="7" t="str">
        <f>_xlfn.XLOOKUP(B793,Customers!A793:A1792,Customers!B793:B1792,"Customer Not Found",0)</f>
        <v>Customer Not Found</v>
      </c>
      <c r="F793" s="7" t="str">
        <f>_xlfn.XLOOKUP(Orders!B793,Customers!A793:A1792,Customers!C793:C1792,"Country not Found",0)</f>
        <v>Country not Found</v>
      </c>
      <c r="G793" s="7" t="str">
        <f>_xlfn.XLOOKUP(C793,Products!A793:A1292,Products!B793:B1292,"Product Missing",0)</f>
        <v>Product Missing</v>
      </c>
      <c r="H793" s="7" t="str">
        <f>_xlfn.XLOOKUP(C793,Products!A793:A1292,Products!C793:C1292,"Category Missing",0)</f>
        <v>Category Missing</v>
      </c>
      <c r="I793" s="11" t="str">
        <f>_xlfn.XLOOKUP(Orders!C793,Products!A793:A1292,Products!D793:D1292,"Price Missing",0)</f>
        <v>Price Missing</v>
      </c>
      <c r="J793" s="19">
        <f t="shared" si="12"/>
        <v>0</v>
      </c>
    </row>
    <row r="794" spans="1:10" x14ac:dyDescent="0.35">
      <c r="A794" s="4" t="s">
        <v>4814</v>
      </c>
      <c r="B794" s="7" t="s">
        <v>2318</v>
      </c>
      <c r="C794" s="7" t="s">
        <v>3658</v>
      </c>
      <c r="D794" s="5">
        <v>3</v>
      </c>
      <c r="E794" s="7" t="str">
        <f>_xlfn.XLOOKUP(B794,Customers!A794:A1793,Customers!B794:B1793,"Customer Not Found",0)</f>
        <v>Customer Not Found</v>
      </c>
      <c r="F794" s="7" t="str">
        <f>_xlfn.XLOOKUP(Orders!B794,Customers!A794:A1793,Customers!C794:C1793,"Country not Found",0)</f>
        <v>Country not Found</v>
      </c>
      <c r="G794" s="7" t="str">
        <f>_xlfn.XLOOKUP(C794,Products!A794:A1293,Products!B794:B1293,"Product Missing",0)</f>
        <v>Product Missing</v>
      </c>
      <c r="H794" s="7" t="str">
        <f>_xlfn.XLOOKUP(C794,Products!A794:A1293,Products!C794:C1293,"Category Missing",0)</f>
        <v>Category Missing</v>
      </c>
      <c r="I794" s="11" t="str">
        <f>_xlfn.XLOOKUP(Orders!C794,Products!A794:A1293,Products!D794:D1293,"Price Missing",0)</f>
        <v>Price Missing</v>
      </c>
      <c r="J794" s="19">
        <f t="shared" si="12"/>
        <v>0</v>
      </c>
    </row>
    <row r="795" spans="1:10" x14ac:dyDescent="0.35">
      <c r="A795" s="4" t="s">
        <v>4815</v>
      </c>
      <c r="B795" s="7" t="s">
        <v>2609</v>
      </c>
      <c r="C795" s="7" t="s">
        <v>3956</v>
      </c>
      <c r="D795" s="5">
        <v>9</v>
      </c>
      <c r="E795" s="7" t="str">
        <f>_xlfn.XLOOKUP(B795,Customers!A795:A1794,Customers!B795:B1794,"Customer Not Found",0)</f>
        <v>Customer_867</v>
      </c>
      <c r="F795" s="7" t="str">
        <f>_xlfn.XLOOKUP(Orders!B795,Customers!A795:A1794,Customers!C795:C1794,"Country not Found",0)</f>
        <v>Kenya</v>
      </c>
      <c r="G795" s="7" t="str">
        <f>_xlfn.XLOOKUP(C795,Products!A795:A1294,Products!B795:B1294,"Product Missing",0)</f>
        <v>Product Missing</v>
      </c>
      <c r="H795" s="7" t="str">
        <f>_xlfn.XLOOKUP(C795,Products!A795:A1294,Products!C795:C1294,"Category Missing",0)</f>
        <v>Category Missing</v>
      </c>
      <c r="I795" s="11" t="str">
        <f>_xlfn.XLOOKUP(Orders!C795,Products!A795:A1294,Products!D795:D1294,"Price Missing",0)</f>
        <v>Price Missing</v>
      </c>
      <c r="J795" s="19">
        <f t="shared" si="12"/>
        <v>0</v>
      </c>
    </row>
    <row r="796" spans="1:10" x14ac:dyDescent="0.35">
      <c r="A796" s="4" t="s">
        <v>4816</v>
      </c>
      <c r="B796" s="7" t="s">
        <v>2111</v>
      </c>
      <c r="C796" s="7" t="s">
        <v>3552</v>
      </c>
      <c r="D796" s="5">
        <v>6</v>
      </c>
      <c r="E796" s="7" t="str">
        <f>_xlfn.XLOOKUP(B796,Customers!A796:A1795,Customers!B796:B1795,"Customer Not Found",0)</f>
        <v>Customer Not Found</v>
      </c>
      <c r="F796" s="7" t="str">
        <f>_xlfn.XLOOKUP(Orders!B796,Customers!A796:A1795,Customers!C796:C1795,"Country not Found",0)</f>
        <v>Country not Found</v>
      </c>
      <c r="G796" s="7" t="str">
        <f>_xlfn.XLOOKUP(C796,Products!A796:A1295,Products!B796:B1295,"Product Missing",0)</f>
        <v>Product Missing</v>
      </c>
      <c r="H796" s="7" t="str">
        <f>_xlfn.XLOOKUP(C796,Products!A796:A1295,Products!C796:C1295,"Category Missing",0)</f>
        <v>Category Missing</v>
      </c>
      <c r="I796" s="11" t="str">
        <f>_xlfn.XLOOKUP(Orders!C796,Products!A796:A1295,Products!D796:D1295,"Price Missing",0)</f>
        <v>Price Missing</v>
      </c>
      <c r="J796" s="19">
        <f t="shared" si="12"/>
        <v>0</v>
      </c>
    </row>
    <row r="797" spans="1:10" x14ac:dyDescent="0.35">
      <c r="A797" s="4" t="s">
        <v>4817</v>
      </c>
      <c r="B797" s="7" t="s">
        <v>1187</v>
      </c>
      <c r="C797" s="7" t="s">
        <v>3530</v>
      </c>
      <c r="D797" s="5">
        <v>3</v>
      </c>
      <c r="E797" s="7" t="str">
        <f>_xlfn.XLOOKUP(B797,Customers!A797:A1796,Customers!B797:B1796,"Customer Not Found",0)</f>
        <v>Customer Not Found</v>
      </c>
      <c r="F797" s="7" t="str">
        <f>_xlfn.XLOOKUP(Orders!B797,Customers!A797:A1796,Customers!C797:C1796,"Country not Found",0)</f>
        <v>Country not Found</v>
      </c>
      <c r="G797" s="7" t="str">
        <f>_xlfn.XLOOKUP(C797,Products!A797:A1296,Products!B797:B1296,"Product Missing",0)</f>
        <v>Product Missing</v>
      </c>
      <c r="H797" s="7" t="str">
        <f>_xlfn.XLOOKUP(C797,Products!A797:A1296,Products!C797:C1296,"Category Missing",0)</f>
        <v>Category Missing</v>
      </c>
      <c r="I797" s="11" t="str">
        <f>_xlfn.XLOOKUP(Orders!C797,Products!A797:A1296,Products!D797:D1296,"Price Missing",0)</f>
        <v>Price Missing</v>
      </c>
      <c r="J797" s="19">
        <f t="shared" si="12"/>
        <v>0</v>
      </c>
    </row>
    <row r="798" spans="1:10" x14ac:dyDescent="0.35">
      <c r="A798" s="4" t="s">
        <v>4818</v>
      </c>
      <c r="B798" s="7" t="s">
        <v>2309</v>
      </c>
      <c r="C798" s="7" t="s">
        <v>3556</v>
      </c>
      <c r="D798" s="5">
        <v>10</v>
      </c>
      <c r="E798" s="7" t="str">
        <f>_xlfn.XLOOKUP(B798,Customers!A798:A1797,Customers!B798:B1797,"Customer Not Found",0)</f>
        <v>Customer Not Found</v>
      </c>
      <c r="F798" s="7" t="str">
        <f>_xlfn.XLOOKUP(Orders!B798,Customers!A798:A1797,Customers!C798:C1797,"Country not Found",0)</f>
        <v>Country not Found</v>
      </c>
      <c r="G798" s="7" t="str">
        <f>_xlfn.XLOOKUP(C798,Products!A798:A1297,Products!B798:B1297,"Product Missing",0)</f>
        <v>Product Missing</v>
      </c>
      <c r="H798" s="7" t="str">
        <f>_xlfn.XLOOKUP(C798,Products!A798:A1297,Products!C798:C1297,"Category Missing",0)</f>
        <v>Category Missing</v>
      </c>
      <c r="I798" s="11" t="str">
        <f>_xlfn.XLOOKUP(Orders!C798,Products!A798:A1297,Products!D798:D1297,"Price Missing",0)</f>
        <v>Price Missing</v>
      </c>
      <c r="J798" s="19">
        <f t="shared" si="12"/>
        <v>0</v>
      </c>
    </row>
    <row r="799" spans="1:10" x14ac:dyDescent="0.35">
      <c r="A799" s="4" t="s">
        <v>4819</v>
      </c>
      <c r="B799" s="7" t="s">
        <v>854</v>
      </c>
      <c r="C799" s="7" t="s">
        <v>3256</v>
      </c>
      <c r="D799" s="5">
        <v>2</v>
      </c>
      <c r="E799" s="7" t="str">
        <f>_xlfn.XLOOKUP(B799,Customers!A799:A1798,Customers!B799:B1798,"Customer Not Found",0)</f>
        <v>Customer Not Found</v>
      </c>
      <c r="F799" s="7" t="str">
        <f>_xlfn.XLOOKUP(Orders!B799,Customers!A799:A1798,Customers!C799:C1798,"Country not Found",0)</f>
        <v>Country not Found</v>
      </c>
      <c r="G799" s="7" t="str">
        <f>_xlfn.XLOOKUP(C799,Products!A799:A1298,Products!B799:B1298,"Product Missing",0)</f>
        <v>Product Missing</v>
      </c>
      <c r="H799" s="7" t="str">
        <f>_xlfn.XLOOKUP(C799,Products!A799:A1298,Products!C799:C1298,"Category Missing",0)</f>
        <v>Category Missing</v>
      </c>
      <c r="I799" s="11" t="str">
        <f>_xlfn.XLOOKUP(Orders!C799,Products!A799:A1298,Products!D799:D1298,"Price Missing",0)</f>
        <v>Price Missing</v>
      </c>
      <c r="J799" s="19">
        <f t="shared" si="12"/>
        <v>0</v>
      </c>
    </row>
    <row r="800" spans="1:10" x14ac:dyDescent="0.35">
      <c r="A800" s="4" t="s">
        <v>4820</v>
      </c>
      <c r="B800" s="7" t="s">
        <v>449</v>
      </c>
      <c r="C800" s="7" t="s">
        <v>3974</v>
      </c>
      <c r="D800" s="5">
        <v>1</v>
      </c>
      <c r="E800" s="7" t="str">
        <f>_xlfn.XLOOKUP(B800,Customers!A800:A1799,Customers!B800:B1799,"Customer Not Found",0)</f>
        <v>Customer Not Found</v>
      </c>
      <c r="F800" s="7" t="str">
        <f>_xlfn.XLOOKUP(Orders!B800,Customers!A800:A1799,Customers!C800:C1799,"Country not Found",0)</f>
        <v>Country not Found</v>
      </c>
      <c r="G800" s="7" t="str">
        <f>_xlfn.XLOOKUP(C800,Products!A800:A1299,Products!B800:B1299,"Product Missing",0)</f>
        <v>Product Missing</v>
      </c>
      <c r="H800" s="7" t="str">
        <f>_xlfn.XLOOKUP(C800,Products!A800:A1299,Products!C800:C1299,"Category Missing",0)</f>
        <v>Category Missing</v>
      </c>
      <c r="I800" s="11" t="str">
        <f>_xlfn.XLOOKUP(Orders!C800,Products!A800:A1299,Products!D800:D1299,"Price Missing",0)</f>
        <v>Price Missing</v>
      </c>
      <c r="J800" s="19">
        <f t="shared" si="12"/>
        <v>0</v>
      </c>
    </row>
    <row r="801" spans="1:10" x14ac:dyDescent="0.35">
      <c r="A801" s="4" t="s">
        <v>4821</v>
      </c>
      <c r="B801" s="7" t="s">
        <v>1622</v>
      </c>
      <c r="C801" s="7" t="s">
        <v>3686</v>
      </c>
      <c r="D801" s="5">
        <v>5</v>
      </c>
      <c r="E801" s="7" t="str">
        <f>_xlfn.XLOOKUP(B801,Customers!A801:A1800,Customers!B801:B1800,"Customer Not Found",0)</f>
        <v>Customer Not Found</v>
      </c>
      <c r="F801" s="7" t="str">
        <f>_xlfn.XLOOKUP(Orders!B801,Customers!A801:A1800,Customers!C801:C1800,"Country not Found",0)</f>
        <v>Country not Found</v>
      </c>
      <c r="G801" s="7" t="str">
        <f>_xlfn.XLOOKUP(C801,Products!A801:A1300,Products!B801:B1300,"Product Missing",0)</f>
        <v>Product Missing</v>
      </c>
      <c r="H801" s="7" t="str">
        <f>_xlfn.XLOOKUP(C801,Products!A801:A1300,Products!C801:C1300,"Category Missing",0)</f>
        <v>Category Missing</v>
      </c>
      <c r="I801" s="11" t="str">
        <f>_xlfn.XLOOKUP(Orders!C801,Products!A801:A1300,Products!D801:D1300,"Price Missing",0)</f>
        <v>Price Missing</v>
      </c>
      <c r="J801" s="19">
        <f t="shared" si="12"/>
        <v>0</v>
      </c>
    </row>
    <row r="802" spans="1:10" x14ac:dyDescent="0.35">
      <c r="A802" s="4" t="s">
        <v>4822</v>
      </c>
      <c r="B802" s="7" t="s">
        <v>596</v>
      </c>
      <c r="C802" s="7" t="s">
        <v>4018</v>
      </c>
      <c r="D802" s="5">
        <v>1</v>
      </c>
      <c r="E802" s="7" t="str">
        <f>_xlfn.XLOOKUP(B802,Customers!A802:A1801,Customers!B802:B1801,"Customer Not Found",0)</f>
        <v>Customer Not Found</v>
      </c>
      <c r="F802" s="7" t="str">
        <f>_xlfn.XLOOKUP(Orders!B802,Customers!A802:A1801,Customers!C802:C1801,"Country not Found",0)</f>
        <v>Country not Found</v>
      </c>
      <c r="G802" s="7" t="str">
        <f>_xlfn.XLOOKUP(C802,Products!A802:A1301,Products!B802:B1301,"Product Missing",0)</f>
        <v>Product Missing</v>
      </c>
      <c r="H802" s="7" t="str">
        <f>_xlfn.XLOOKUP(C802,Products!A802:A1301,Products!C802:C1301,"Category Missing",0)</f>
        <v>Category Missing</v>
      </c>
      <c r="I802" s="11" t="str">
        <f>_xlfn.XLOOKUP(Orders!C802,Products!A802:A1301,Products!D802:D1301,"Price Missing",0)</f>
        <v>Price Missing</v>
      </c>
      <c r="J802" s="19">
        <f t="shared" si="12"/>
        <v>0</v>
      </c>
    </row>
    <row r="803" spans="1:10" x14ac:dyDescent="0.35">
      <c r="A803" s="4" t="s">
        <v>4823</v>
      </c>
      <c r="B803" s="7" t="s">
        <v>284</v>
      </c>
      <c r="C803" s="7" t="s">
        <v>4010</v>
      </c>
      <c r="D803" s="5">
        <v>1</v>
      </c>
      <c r="E803" s="7" t="str">
        <f>_xlfn.XLOOKUP(B803,Customers!A803:A1802,Customers!B803:B1802,"Customer Not Found",0)</f>
        <v>Customer Not Found</v>
      </c>
      <c r="F803" s="7" t="str">
        <f>_xlfn.XLOOKUP(Orders!B803,Customers!A803:A1802,Customers!C803:C1802,"Country not Found",0)</f>
        <v>Country not Found</v>
      </c>
      <c r="G803" s="7" t="str">
        <f>_xlfn.XLOOKUP(C803,Products!A803:A1302,Products!B803:B1302,"Product Missing",0)</f>
        <v>Product Missing</v>
      </c>
      <c r="H803" s="7" t="str">
        <f>_xlfn.XLOOKUP(C803,Products!A803:A1302,Products!C803:C1302,"Category Missing",0)</f>
        <v>Category Missing</v>
      </c>
      <c r="I803" s="11" t="str">
        <f>_xlfn.XLOOKUP(Orders!C803,Products!A803:A1302,Products!D803:D1302,"Price Missing",0)</f>
        <v>Price Missing</v>
      </c>
      <c r="J803" s="19">
        <f t="shared" si="12"/>
        <v>0</v>
      </c>
    </row>
    <row r="804" spans="1:10" x14ac:dyDescent="0.35">
      <c r="A804" s="4" t="s">
        <v>4824</v>
      </c>
      <c r="B804" s="7" t="s">
        <v>2324</v>
      </c>
      <c r="C804" s="7" t="s">
        <v>4010</v>
      </c>
      <c r="D804" s="5">
        <v>8</v>
      </c>
      <c r="E804" s="7" t="str">
        <f>_xlfn.XLOOKUP(B804,Customers!A804:A1803,Customers!B804:B1803,"Customer Not Found",0)</f>
        <v>Customer Not Found</v>
      </c>
      <c r="F804" s="7" t="str">
        <f>_xlfn.XLOOKUP(Orders!B804,Customers!A804:A1803,Customers!C804:C1803,"Country not Found",0)</f>
        <v>Country not Found</v>
      </c>
      <c r="G804" s="7" t="str">
        <f>_xlfn.XLOOKUP(C804,Products!A804:A1303,Products!B804:B1303,"Product Missing",0)</f>
        <v>Product Missing</v>
      </c>
      <c r="H804" s="7" t="str">
        <f>_xlfn.XLOOKUP(C804,Products!A804:A1303,Products!C804:C1303,"Category Missing",0)</f>
        <v>Category Missing</v>
      </c>
      <c r="I804" s="11" t="str">
        <f>_xlfn.XLOOKUP(Orders!C804,Products!A804:A1303,Products!D804:D1303,"Price Missing",0)</f>
        <v>Price Missing</v>
      </c>
      <c r="J804" s="19">
        <f t="shared" si="12"/>
        <v>0</v>
      </c>
    </row>
    <row r="805" spans="1:10" x14ac:dyDescent="0.35">
      <c r="A805" s="4" t="s">
        <v>4825</v>
      </c>
      <c r="B805" s="7" t="s">
        <v>146</v>
      </c>
      <c r="C805" s="7" t="s">
        <v>3628</v>
      </c>
      <c r="D805" s="5">
        <v>8</v>
      </c>
      <c r="E805" s="7" t="str">
        <f>_xlfn.XLOOKUP(B805,Customers!A805:A1804,Customers!B805:B1804,"Customer Not Found",0)</f>
        <v>Customer Not Found</v>
      </c>
      <c r="F805" s="7" t="str">
        <f>_xlfn.XLOOKUP(Orders!B805,Customers!A805:A1804,Customers!C805:C1804,"Country not Found",0)</f>
        <v>Country not Found</v>
      </c>
      <c r="G805" s="7" t="str">
        <f>_xlfn.XLOOKUP(C805,Products!A805:A1304,Products!B805:B1304,"Product Missing",0)</f>
        <v>Product Missing</v>
      </c>
      <c r="H805" s="7" t="str">
        <f>_xlfn.XLOOKUP(C805,Products!A805:A1304,Products!C805:C1304,"Category Missing",0)</f>
        <v>Category Missing</v>
      </c>
      <c r="I805" s="11" t="str">
        <f>_xlfn.XLOOKUP(Orders!C805,Products!A805:A1304,Products!D805:D1304,"Price Missing",0)</f>
        <v>Price Missing</v>
      </c>
      <c r="J805" s="19">
        <f t="shared" si="12"/>
        <v>0</v>
      </c>
    </row>
    <row r="806" spans="1:10" x14ac:dyDescent="0.35">
      <c r="A806" s="4" t="s">
        <v>4826</v>
      </c>
      <c r="B806" s="7" t="s">
        <v>1910</v>
      </c>
      <c r="C806" s="7" t="s">
        <v>3396</v>
      </c>
      <c r="D806" s="5">
        <v>1</v>
      </c>
      <c r="E806" s="7" t="str">
        <f>_xlfn.XLOOKUP(B806,Customers!A806:A1805,Customers!B806:B1805,"Customer Not Found",0)</f>
        <v>Customer Not Found</v>
      </c>
      <c r="F806" s="7" t="str">
        <f>_xlfn.XLOOKUP(Orders!B806,Customers!A806:A1805,Customers!C806:C1805,"Country not Found",0)</f>
        <v>Country not Found</v>
      </c>
      <c r="G806" s="7" t="str">
        <f>_xlfn.XLOOKUP(C806,Products!A806:A1305,Products!B806:B1305,"Product Missing",0)</f>
        <v>Product Missing</v>
      </c>
      <c r="H806" s="7" t="str">
        <f>_xlfn.XLOOKUP(C806,Products!A806:A1305,Products!C806:C1305,"Category Missing",0)</f>
        <v>Category Missing</v>
      </c>
      <c r="I806" s="11" t="str">
        <f>_xlfn.XLOOKUP(Orders!C806,Products!A806:A1305,Products!D806:D1305,"Price Missing",0)</f>
        <v>Price Missing</v>
      </c>
      <c r="J806" s="19">
        <f t="shared" si="12"/>
        <v>0</v>
      </c>
    </row>
    <row r="807" spans="1:10" x14ac:dyDescent="0.35">
      <c r="A807" s="4" t="s">
        <v>4827</v>
      </c>
      <c r="B807" s="7" t="s">
        <v>2609</v>
      </c>
      <c r="C807" s="7" t="s">
        <v>3992</v>
      </c>
      <c r="D807" s="5">
        <v>8</v>
      </c>
      <c r="E807" s="7" t="str">
        <f>_xlfn.XLOOKUP(B807,Customers!A807:A1806,Customers!B807:B1806,"Customer Not Found",0)</f>
        <v>Customer_867</v>
      </c>
      <c r="F807" s="7" t="str">
        <f>_xlfn.XLOOKUP(Orders!B807,Customers!A807:A1806,Customers!C807:C1806,"Country not Found",0)</f>
        <v>Kenya</v>
      </c>
      <c r="G807" s="7" t="str">
        <f>_xlfn.XLOOKUP(C807,Products!A807:A1306,Products!B807:B1306,"Product Missing",0)</f>
        <v>Product Missing</v>
      </c>
      <c r="H807" s="7" t="str">
        <f>_xlfn.XLOOKUP(C807,Products!A807:A1306,Products!C807:C1306,"Category Missing",0)</f>
        <v>Category Missing</v>
      </c>
      <c r="I807" s="11" t="str">
        <f>_xlfn.XLOOKUP(Orders!C807,Products!A807:A1306,Products!D807:D1306,"Price Missing",0)</f>
        <v>Price Missing</v>
      </c>
      <c r="J807" s="19">
        <f t="shared" si="12"/>
        <v>0</v>
      </c>
    </row>
    <row r="808" spans="1:10" x14ac:dyDescent="0.35">
      <c r="A808" s="4" t="s">
        <v>4828</v>
      </c>
      <c r="B808" s="7" t="s">
        <v>2624</v>
      </c>
      <c r="C808" s="7" t="s">
        <v>4014</v>
      </c>
      <c r="D808" s="5">
        <v>9</v>
      </c>
      <c r="E808" s="7" t="str">
        <f>_xlfn.XLOOKUP(B808,Customers!A808:A1807,Customers!B808:B1807,"Customer Not Found",0)</f>
        <v>Customer_872</v>
      </c>
      <c r="F808" s="7" t="str">
        <f>_xlfn.XLOOKUP(Orders!B808,Customers!A808:A1807,Customers!C808:C1807,"Country not Found",0)</f>
        <v>South Africa</v>
      </c>
      <c r="G808" s="7" t="str">
        <f>_xlfn.XLOOKUP(C808,Products!A808:A1307,Products!B808:B1307,"Product Missing",0)</f>
        <v>Product Missing</v>
      </c>
      <c r="H808" s="7" t="str">
        <f>_xlfn.XLOOKUP(C808,Products!A808:A1307,Products!C808:C1307,"Category Missing",0)</f>
        <v>Category Missing</v>
      </c>
      <c r="I808" s="11" t="str">
        <f>_xlfn.XLOOKUP(Orders!C808,Products!A808:A1307,Products!D808:D1307,"Price Missing",0)</f>
        <v>Price Missing</v>
      </c>
      <c r="J808" s="19">
        <f t="shared" si="12"/>
        <v>0</v>
      </c>
    </row>
    <row r="809" spans="1:10" x14ac:dyDescent="0.35">
      <c r="A809" s="4" t="s">
        <v>4829</v>
      </c>
      <c r="B809" s="7" t="s">
        <v>2351</v>
      </c>
      <c r="C809" s="7" t="s">
        <v>3090</v>
      </c>
      <c r="D809" s="5">
        <v>2</v>
      </c>
      <c r="E809" s="7" t="str">
        <f>_xlfn.XLOOKUP(B809,Customers!A809:A1808,Customers!B809:B1808,"Customer Not Found",0)</f>
        <v>Customer Not Found</v>
      </c>
      <c r="F809" s="7" t="str">
        <f>_xlfn.XLOOKUP(Orders!B809,Customers!A809:A1808,Customers!C809:C1808,"Country not Found",0)</f>
        <v>Country not Found</v>
      </c>
      <c r="G809" s="7" t="str">
        <f>_xlfn.XLOOKUP(C809,Products!A809:A1308,Products!B809:B1308,"Product Missing",0)</f>
        <v>Product Missing</v>
      </c>
      <c r="H809" s="7" t="str">
        <f>_xlfn.XLOOKUP(C809,Products!A809:A1308,Products!C809:C1308,"Category Missing",0)</f>
        <v>Category Missing</v>
      </c>
      <c r="I809" s="11" t="str">
        <f>_xlfn.XLOOKUP(Orders!C809,Products!A809:A1308,Products!D809:D1308,"Price Missing",0)</f>
        <v>Price Missing</v>
      </c>
      <c r="J809" s="19">
        <f t="shared" si="12"/>
        <v>0</v>
      </c>
    </row>
    <row r="810" spans="1:10" x14ac:dyDescent="0.35">
      <c r="A810" s="4" t="s">
        <v>4830</v>
      </c>
      <c r="B810" s="7" t="s">
        <v>1388</v>
      </c>
      <c r="C810" s="7" t="s">
        <v>3860</v>
      </c>
      <c r="D810" s="5">
        <v>1</v>
      </c>
      <c r="E810" s="7" t="str">
        <f>_xlfn.XLOOKUP(B810,Customers!A810:A1809,Customers!B810:B1809,"Customer Not Found",0)</f>
        <v>Customer Not Found</v>
      </c>
      <c r="F810" s="7" t="str">
        <f>_xlfn.XLOOKUP(Orders!B810,Customers!A810:A1809,Customers!C810:C1809,"Country not Found",0)</f>
        <v>Country not Found</v>
      </c>
      <c r="G810" s="7" t="str">
        <f>_xlfn.XLOOKUP(C810,Products!A810:A1309,Products!B810:B1309,"Product Missing",0)</f>
        <v>Product Missing</v>
      </c>
      <c r="H810" s="7" t="str">
        <f>_xlfn.XLOOKUP(C810,Products!A810:A1309,Products!C810:C1309,"Category Missing",0)</f>
        <v>Category Missing</v>
      </c>
      <c r="I810" s="11" t="str">
        <f>_xlfn.XLOOKUP(Orders!C810,Products!A810:A1309,Products!D810:D1309,"Price Missing",0)</f>
        <v>Price Missing</v>
      </c>
      <c r="J810" s="19">
        <f t="shared" si="12"/>
        <v>0</v>
      </c>
    </row>
    <row r="811" spans="1:10" x14ac:dyDescent="0.35">
      <c r="A811" s="4" t="s">
        <v>4831</v>
      </c>
      <c r="B811" s="7" t="s">
        <v>281</v>
      </c>
      <c r="C811" s="7" t="s">
        <v>3752</v>
      </c>
      <c r="D811" s="5">
        <v>4</v>
      </c>
      <c r="E811" s="7" t="str">
        <f>_xlfn.XLOOKUP(B811,Customers!A811:A1810,Customers!B811:B1810,"Customer Not Found",0)</f>
        <v>Customer Not Found</v>
      </c>
      <c r="F811" s="7" t="str">
        <f>_xlfn.XLOOKUP(Orders!B811,Customers!A811:A1810,Customers!C811:C1810,"Country not Found",0)</f>
        <v>Country not Found</v>
      </c>
      <c r="G811" s="7" t="str">
        <f>_xlfn.XLOOKUP(C811,Products!A811:A1310,Products!B811:B1310,"Product Missing",0)</f>
        <v>Product Missing</v>
      </c>
      <c r="H811" s="7" t="str">
        <f>_xlfn.XLOOKUP(C811,Products!A811:A1310,Products!C811:C1310,"Category Missing",0)</f>
        <v>Category Missing</v>
      </c>
      <c r="I811" s="11" t="str">
        <f>_xlfn.XLOOKUP(Orders!C811,Products!A811:A1310,Products!D811:D1310,"Price Missing",0)</f>
        <v>Price Missing</v>
      </c>
      <c r="J811" s="19">
        <f t="shared" si="12"/>
        <v>0</v>
      </c>
    </row>
    <row r="812" spans="1:10" x14ac:dyDescent="0.35">
      <c r="A812" s="4" t="s">
        <v>4832</v>
      </c>
      <c r="B812" s="7" t="s">
        <v>1172</v>
      </c>
      <c r="C812" s="7" t="s">
        <v>3176</v>
      </c>
      <c r="D812" s="5">
        <v>7</v>
      </c>
      <c r="E812" s="7" t="str">
        <f>_xlfn.XLOOKUP(B812,Customers!A812:A1811,Customers!B812:B1811,"Customer Not Found",0)</f>
        <v>Customer Not Found</v>
      </c>
      <c r="F812" s="7" t="str">
        <f>_xlfn.XLOOKUP(Orders!B812,Customers!A812:A1811,Customers!C812:C1811,"Country not Found",0)</f>
        <v>Country not Found</v>
      </c>
      <c r="G812" s="7" t="str">
        <f>_xlfn.XLOOKUP(C812,Products!A812:A1311,Products!B812:B1311,"Product Missing",0)</f>
        <v>Product Missing</v>
      </c>
      <c r="H812" s="7" t="str">
        <f>_xlfn.XLOOKUP(C812,Products!A812:A1311,Products!C812:C1311,"Category Missing",0)</f>
        <v>Category Missing</v>
      </c>
      <c r="I812" s="11" t="str">
        <f>_xlfn.XLOOKUP(Orders!C812,Products!A812:A1311,Products!D812:D1311,"Price Missing",0)</f>
        <v>Price Missing</v>
      </c>
      <c r="J812" s="19">
        <f t="shared" si="12"/>
        <v>0</v>
      </c>
    </row>
    <row r="813" spans="1:10" x14ac:dyDescent="0.35">
      <c r="A813" s="4" t="s">
        <v>4833</v>
      </c>
      <c r="B813" s="7" t="s">
        <v>362</v>
      </c>
      <c r="C813" s="7" t="s">
        <v>3716</v>
      </c>
      <c r="D813" s="5">
        <v>5</v>
      </c>
      <c r="E813" s="7" t="str">
        <f>_xlfn.XLOOKUP(B813,Customers!A813:A1812,Customers!B813:B1812,"Customer Not Found",0)</f>
        <v>Customer Not Found</v>
      </c>
      <c r="F813" s="7" t="str">
        <f>_xlfn.XLOOKUP(Orders!B813,Customers!A813:A1812,Customers!C813:C1812,"Country not Found",0)</f>
        <v>Country not Found</v>
      </c>
      <c r="G813" s="7" t="str">
        <f>_xlfn.XLOOKUP(C813,Products!A813:A1312,Products!B813:B1312,"Product Missing",0)</f>
        <v>Product Missing</v>
      </c>
      <c r="H813" s="7" t="str">
        <f>_xlfn.XLOOKUP(C813,Products!A813:A1312,Products!C813:C1312,"Category Missing",0)</f>
        <v>Category Missing</v>
      </c>
      <c r="I813" s="11" t="str">
        <f>_xlfn.XLOOKUP(Orders!C813,Products!A813:A1312,Products!D813:D1312,"Price Missing",0)</f>
        <v>Price Missing</v>
      </c>
      <c r="J813" s="19">
        <f t="shared" si="12"/>
        <v>0</v>
      </c>
    </row>
    <row r="814" spans="1:10" x14ac:dyDescent="0.35">
      <c r="A814" s="4" t="s">
        <v>4834</v>
      </c>
      <c r="B814" s="7" t="s">
        <v>2756</v>
      </c>
      <c r="C814" s="7" t="s">
        <v>3476</v>
      </c>
      <c r="D814" s="5">
        <v>7</v>
      </c>
      <c r="E814" s="7" t="str">
        <f>_xlfn.XLOOKUP(B814,Customers!A814:A1813,Customers!B814:B1813,"Customer Not Found",0)</f>
        <v>Customer_916</v>
      </c>
      <c r="F814" s="7" t="str">
        <f>_xlfn.XLOOKUP(Orders!B814,Customers!A814:A1813,Customers!C814:C1813,"Country not Found",0)</f>
        <v>Nigeria</v>
      </c>
      <c r="G814" s="7" t="str">
        <f>_xlfn.XLOOKUP(C814,Products!A814:A1313,Products!B814:B1313,"Product Missing",0)</f>
        <v>Product Missing</v>
      </c>
      <c r="H814" s="7" t="str">
        <f>_xlfn.XLOOKUP(C814,Products!A814:A1313,Products!C814:C1313,"Category Missing",0)</f>
        <v>Category Missing</v>
      </c>
      <c r="I814" s="11" t="str">
        <f>_xlfn.XLOOKUP(Orders!C814,Products!A814:A1313,Products!D814:D1313,"Price Missing",0)</f>
        <v>Price Missing</v>
      </c>
      <c r="J814" s="19">
        <f t="shared" si="12"/>
        <v>0</v>
      </c>
    </row>
    <row r="815" spans="1:10" x14ac:dyDescent="0.35">
      <c r="A815" s="4" t="s">
        <v>4835</v>
      </c>
      <c r="B815" s="7" t="s">
        <v>893</v>
      </c>
      <c r="C815" s="7" t="s">
        <v>3492</v>
      </c>
      <c r="D815" s="5">
        <v>1</v>
      </c>
      <c r="E815" s="7" t="str">
        <f>_xlfn.XLOOKUP(B815,Customers!A815:A1814,Customers!B815:B1814,"Customer Not Found",0)</f>
        <v>Customer Not Found</v>
      </c>
      <c r="F815" s="7" t="str">
        <f>_xlfn.XLOOKUP(Orders!B815,Customers!A815:A1814,Customers!C815:C1814,"Country not Found",0)</f>
        <v>Country not Found</v>
      </c>
      <c r="G815" s="7" t="str">
        <f>_xlfn.XLOOKUP(C815,Products!A815:A1314,Products!B815:B1314,"Product Missing",0)</f>
        <v>Product Missing</v>
      </c>
      <c r="H815" s="7" t="str">
        <f>_xlfn.XLOOKUP(C815,Products!A815:A1314,Products!C815:C1314,"Category Missing",0)</f>
        <v>Category Missing</v>
      </c>
      <c r="I815" s="11" t="str">
        <f>_xlfn.XLOOKUP(Orders!C815,Products!A815:A1314,Products!D815:D1314,"Price Missing",0)</f>
        <v>Price Missing</v>
      </c>
      <c r="J815" s="19">
        <f t="shared" si="12"/>
        <v>0</v>
      </c>
    </row>
    <row r="816" spans="1:10" x14ac:dyDescent="0.35">
      <c r="A816" s="4" t="s">
        <v>4836</v>
      </c>
      <c r="B816" s="7" t="s">
        <v>2678</v>
      </c>
      <c r="C816" s="7" t="s">
        <v>3266</v>
      </c>
      <c r="D816" s="5">
        <v>8</v>
      </c>
      <c r="E816" s="7" t="str">
        <f>_xlfn.XLOOKUP(B816,Customers!A816:A1815,Customers!B816:B1815,"Customer Not Found",0)</f>
        <v>Customer_890</v>
      </c>
      <c r="F816" s="7" t="str">
        <f>_xlfn.XLOOKUP(Orders!B816,Customers!A816:A1815,Customers!C816:C1815,"Country not Found",0)</f>
        <v>Kenya</v>
      </c>
      <c r="G816" s="7" t="str">
        <f>_xlfn.XLOOKUP(C816,Products!A816:A1315,Products!B816:B1315,"Product Missing",0)</f>
        <v>Product Missing</v>
      </c>
      <c r="H816" s="7" t="str">
        <f>_xlfn.XLOOKUP(C816,Products!A816:A1315,Products!C816:C1315,"Category Missing",0)</f>
        <v>Category Missing</v>
      </c>
      <c r="I816" s="11" t="str">
        <f>_xlfn.XLOOKUP(Orders!C816,Products!A816:A1315,Products!D816:D1315,"Price Missing",0)</f>
        <v>Price Missing</v>
      </c>
      <c r="J816" s="19">
        <f t="shared" si="12"/>
        <v>0</v>
      </c>
    </row>
    <row r="817" spans="1:10" x14ac:dyDescent="0.35">
      <c r="A817" s="4" t="s">
        <v>4837</v>
      </c>
      <c r="B817" s="7" t="s">
        <v>2276</v>
      </c>
      <c r="C817" s="7" t="s">
        <v>3312</v>
      </c>
      <c r="D817" s="5">
        <v>3</v>
      </c>
      <c r="E817" s="7" t="str">
        <f>_xlfn.XLOOKUP(B817,Customers!A817:A1816,Customers!B817:B1816,"Customer Not Found",0)</f>
        <v>Customer Not Found</v>
      </c>
      <c r="F817" s="7" t="str">
        <f>_xlfn.XLOOKUP(Orders!B817,Customers!A817:A1816,Customers!C817:C1816,"Country not Found",0)</f>
        <v>Country not Found</v>
      </c>
      <c r="G817" s="7" t="str">
        <f>_xlfn.XLOOKUP(C817,Products!A817:A1316,Products!B817:B1316,"Product Missing",0)</f>
        <v>Product Missing</v>
      </c>
      <c r="H817" s="7" t="str">
        <f>_xlfn.XLOOKUP(C817,Products!A817:A1316,Products!C817:C1316,"Category Missing",0)</f>
        <v>Category Missing</v>
      </c>
      <c r="I817" s="11" t="str">
        <f>_xlfn.XLOOKUP(Orders!C817,Products!A817:A1316,Products!D817:D1316,"Price Missing",0)</f>
        <v>Price Missing</v>
      </c>
      <c r="J817" s="19">
        <f t="shared" si="12"/>
        <v>0</v>
      </c>
    </row>
    <row r="818" spans="1:10" x14ac:dyDescent="0.35">
      <c r="A818" s="4" t="s">
        <v>4838</v>
      </c>
      <c r="B818" s="7" t="s">
        <v>1820</v>
      </c>
      <c r="C818" s="7" t="s">
        <v>3676</v>
      </c>
      <c r="D818" s="5">
        <v>6</v>
      </c>
      <c r="E818" s="7" t="str">
        <f>_xlfn.XLOOKUP(B818,Customers!A818:A1817,Customers!B818:B1817,"Customer Not Found",0)</f>
        <v>Customer Not Found</v>
      </c>
      <c r="F818" s="7" t="str">
        <f>_xlfn.XLOOKUP(Orders!B818,Customers!A818:A1817,Customers!C818:C1817,"Country not Found",0)</f>
        <v>Country not Found</v>
      </c>
      <c r="G818" s="7" t="str">
        <f>_xlfn.XLOOKUP(C818,Products!A818:A1317,Products!B818:B1317,"Product Missing",0)</f>
        <v>Product Missing</v>
      </c>
      <c r="H818" s="7" t="str">
        <f>_xlfn.XLOOKUP(C818,Products!A818:A1317,Products!C818:C1317,"Category Missing",0)</f>
        <v>Category Missing</v>
      </c>
      <c r="I818" s="11" t="str">
        <f>_xlfn.XLOOKUP(Orders!C818,Products!A818:A1317,Products!D818:D1317,"Price Missing",0)</f>
        <v>Price Missing</v>
      </c>
      <c r="J818" s="19">
        <f t="shared" si="12"/>
        <v>0</v>
      </c>
    </row>
    <row r="819" spans="1:10" x14ac:dyDescent="0.35">
      <c r="A819" s="4" t="s">
        <v>4839</v>
      </c>
      <c r="B819" s="7" t="s">
        <v>884</v>
      </c>
      <c r="C819" s="7" t="s">
        <v>3045</v>
      </c>
      <c r="D819" s="5">
        <v>3</v>
      </c>
      <c r="E819" s="7" t="str">
        <f>_xlfn.XLOOKUP(B819,Customers!A819:A1818,Customers!B819:B1818,"Customer Not Found",0)</f>
        <v>Customer Not Found</v>
      </c>
      <c r="F819" s="7" t="str">
        <f>_xlfn.XLOOKUP(Orders!B819,Customers!A819:A1818,Customers!C819:C1818,"Country not Found",0)</f>
        <v>Country not Found</v>
      </c>
      <c r="G819" s="7" t="str">
        <f>_xlfn.XLOOKUP(C819,Products!A819:A1318,Products!B819:B1318,"Product Missing",0)</f>
        <v>Product Missing</v>
      </c>
      <c r="H819" s="7" t="str">
        <f>_xlfn.XLOOKUP(C819,Products!A819:A1318,Products!C819:C1318,"Category Missing",0)</f>
        <v>Category Missing</v>
      </c>
      <c r="I819" s="11" t="str">
        <f>_xlfn.XLOOKUP(Orders!C819,Products!A819:A1318,Products!D819:D1318,"Price Missing",0)</f>
        <v>Price Missing</v>
      </c>
      <c r="J819" s="19">
        <f t="shared" si="12"/>
        <v>0</v>
      </c>
    </row>
    <row r="820" spans="1:10" x14ac:dyDescent="0.35">
      <c r="A820" s="4" t="s">
        <v>4840</v>
      </c>
      <c r="B820" s="7" t="s">
        <v>1928</v>
      </c>
      <c r="C820" s="7" t="s">
        <v>3574</v>
      </c>
      <c r="D820" s="5">
        <v>7</v>
      </c>
      <c r="E820" s="7" t="str">
        <f>_xlfn.XLOOKUP(B820,Customers!A820:A1819,Customers!B820:B1819,"Customer Not Found",0)</f>
        <v>Customer Not Found</v>
      </c>
      <c r="F820" s="7" t="str">
        <f>_xlfn.XLOOKUP(Orders!B820,Customers!A820:A1819,Customers!C820:C1819,"Country not Found",0)</f>
        <v>Country not Found</v>
      </c>
      <c r="G820" s="7" t="str">
        <f>_xlfn.XLOOKUP(C820,Products!A820:A1319,Products!B820:B1319,"Product Missing",0)</f>
        <v>Product Missing</v>
      </c>
      <c r="H820" s="7" t="str">
        <f>_xlfn.XLOOKUP(C820,Products!A820:A1319,Products!C820:C1319,"Category Missing",0)</f>
        <v>Category Missing</v>
      </c>
      <c r="I820" s="11" t="str">
        <f>_xlfn.XLOOKUP(Orders!C820,Products!A820:A1319,Products!D820:D1319,"Price Missing",0)</f>
        <v>Price Missing</v>
      </c>
      <c r="J820" s="19">
        <f t="shared" si="12"/>
        <v>0</v>
      </c>
    </row>
    <row r="821" spans="1:10" x14ac:dyDescent="0.35">
      <c r="A821" s="4" t="s">
        <v>4841</v>
      </c>
      <c r="B821" s="7" t="s">
        <v>494</v>
      </c>
      <c r="C821" s="7" t="s">
        <v>3642</v>
      </c>
      <c r="D821" s="5">
        <v>2</v>
      </c>
      <c r="E821" s="7" t="str">
        <f>_xlfn.XLOOKUP(B821,Customers!A821:A1820,Customers!B821:B1820,"Customer Not Found",0)</f>
        <v>Customer Not Found</v>
      </c>
      <c r="F821" s="7" t="str">
        <f>_xlfn.XLOOKUP(Orders!B821,Customers!A821:A1820,Customers!C821:C1820,"Country not Found",0)</f>
        <v>Country not Found</v>
      </c>
      <c r="G821" s="7" t="str">
        <f>_xlfn.XLOOKUP(C821,Products!A821:A1320,Products!B821:B1320,"Product Missing",0)</f>
        <v>Product Missing</v>
      </c>
      <c r="H821" s="7" t="str">
        <f>_xlfn.XLOOKUP(C821,Products!A821:A1320,Products!C821:C1320,"Category Missing",0)</f>
        <v>Category Missing</v>
      </c>
      <c r="I821" s="11" t="str">
        <f>_xlfn.XLOOKUP(Orders!C821,Products!A821:A1320,Products!D821:D1320,"Price Missing",0)</f>
        <v>Price Missing</v>
      </c>
      <c r="J821" s="19">
        <f t="shared" si="12"/>
        <v>0</v>
      </c>
    </row>
    <row r="822" spans="1:10" x14ac:dyDescent="0.35">
      <c r="A822" s="4" t="s">
        <v>4842</v>
      </c>
      <c r="B822" s="7" t="s">
        <v>1388</v>
      </c>
      <c r="C822" s="7" t="s">
        <v>3268</v>
      </c>
      <c r="D822" s="5">
        <v>9</v>
      </c>
      <c r="E822" s="7" t="str">
        <f>_xlfn.XLOOKUP(B822,Customers!A822:A1821,Customers!B822:B1821,"Customer Not Found",0)</f>
        <v>Customer Not Found</v>
      </c>
      <c r="F822" s="7" t="str">
        <f>_xlfn.XLOOKUP(Orders!B822,Customers!A822:A1821,Customers!C822:C1821,"Country not Found",0)</f>
        <v>Country not Found</v>
      </c>
      <c r="G822" s="7" t="str">
        <f>_xlfn.XLOOKUP(C822,Products!A822:A1321,Products!B822:B1321,"Product Missing",0)</f>
        <v>Product Missing</v>
      </c>
      <c r="H822" s="7" t="str">
        <f>_xlfn.XLOOKUP(C822,Products!A822:A1321,Products!C822:C1321,"Category Missing",0)</f>
        <v>Category Missing</v>
      </c>
      <c r="I822" s="11" t="str">
        <f>_xlfn.XLOOKUP(Orders!C822,Products!A822:A1321,Products!D822:D1321,"Price Missing",0)</f>
        <v>Price Missing</v>
      </c>
      <c r="J822" s="19">
        <f t="shared" si="12"/>
        <v>0</v>
      </c>
    </row>
    <row r="823" spans="1:10" x14ac:dyDescent="0.35">
      <c r="A823" s="4" t="s">
        <v>4843</v>
      </c>
      <c r="B823" s="7" t="s">
        <v>1091</v>
      </c>
      <c r="C823" s="7" t="s">
        <v>3706</v>
      </c>
      <c r="D823" s="5">
        <v>7</v>
      </c>
      <c r="E823" s="7" t="str">
        <f>_xlfn.XLOOKUP(B823,Customers!A823:A1822,Customers!B823:B1822,"Customer Not Found",0)</f>
        <v>Customer Not Found</v>
      </c>
      <c r="F823" s="7" t="str">
        <f>_xlfn.XLOOKUP(Orders!B823,Customers!A823:A1822,Customers!C823:C1822,"Country not Found",0)</f>
        <v>Country not Found</v>
      </c>
      <c r="G823" s="7" t="str">
        <f>_xlfn.XLOOKUP(C823,Products!A823:A1322,Products!B823:B1322,"Product Missing",0)</f>
        <v>Product Missing</v>
      </c>
      <c r="H823" s="7" t="str">
        <f>_xlfn.XLOOKUP(C823,Products!A823:A1322,Products!C823:C1322,"Category Missing",0)</f>
        <v>Category Missing</v>
      </c>
      <c r="I823" s="11" t="str">
        <f>_xlfn.XLOOKUP(Orders!C823,Products!A823:A1322,Products!D823:D1322,"Price Missing",0)</f>
        <v>Price Missing</v>
      </c>
      <c r="J823" s="19">
        <f t="shared" si="12"/>
        <v>0</v>
      </c>
    </row>
    <row r="824" spans="1:10" x14ac:dyDescent="0.35">
      <c r="A824" s="4" t="s">
        <v>4844</v>
      </c>
      <c r="B824" s="7" t="s">
        <v>194</v>
      </c>
      <c r="C824" s="7" t="s">
        <v>3896</v>
      </c>
      <c r="D824" s="5">
        <v>5</v>
      </c>
      <c r="E824" s="7" t="str">
        <f>_xlfn.XLOOKUP(B824,Customers!A824:A1823,Customers!B824:B1823,"Customer Not Found",0)</f>
        <v>Customer Not Found</v>
      </c>
      <c r="F824" s="7" t="str">
        <f>_xlfn.XLOOKUP(Orders!B824,Customers!A824:A1823,Customers!C824:C1823,"Country not Found",0)</f>
        <v>Country not Found</v>
      </c>
      <c r="G824" s="7" t="str">
        <f>_xlfn.XLOOKUP(C824,Products!A824:A1323,Products!B824:B1323,"Product Missing",0)</f>
        <v>Product Missing</v>
      </c>
      <c r="H824" s="7" t="str">
        <f>_xlfn.XLOOKUP(C824,Products!A824:A1323,Products!C824:C1323,"Category Missing",0)</f>
        <v>Category Missing</v>
      </c>
      <c r="I824" s="11" t="str">
        <f>_xlfn.XLOOKUP(Orders!C824,Products!A824:A1323,Products!D824:D1323,"Price Missing",0)</f>
        <v>Price Missing</v>
      </c>
      <c r="J824" s="19">
        <f t="shared" si="12"/>
        <v>0</v>
      </c>
    </row>
    <row r="825" spans="1:10" x14ac:dyDescent="0.35">
      <c r="A825" s="4" t="s">
        <v>4845</v>
      </c>
      <c r="B825" s="7" t="s">
        <v>36</v>
      </c>
      <c r="C825" s="7" t="s">
        <v>3136</v>
      </c>
      <c r="D825" s="5">
        <v>10</v>
      </c>
      <c r="E825" s="7" t="str">
        <f>_xlfn.XLOOKUP(B825,Customers!A825:A1824,Customers!B825:B1824,"Customer Not Found",0)</f>
        <v>Customer Not Found</v>
      </c>
      <c r="F825" s="7" t="str">
        <f>_xlfn.XLOOKUP(Orders!B825,Customers!A825:A1824,Customers!C825:C1824,"Country not Found",0)</f>
        <v>Country not Found</v>
      </c>
      <c r="G825" s="7" t="str">
        <f>_xlfn.XLOOKUP(C825,Products!A825:A1324,Products!B825:B1324,"Product Missing",0)</f>
        <v>Product Missing</v>
      </c>
      <c r="H825" s="7" t="str">
        <f>_xlfn.XLOOKUP(C825,Products!A825:A1324,Products!C825:C1324,"Category Missing",0)</f>
        <v>Category Missing</v>
      </c>
      <c r="I825" s="11" t="str">
        <f>_xlfn.XLOOKUP(Orders!C825,Products!A825:A1324,Products!D825:D1324,"Price Missing",0)</f>
        <v>Price Missing</v>
      </c>
      <c r="J825" s="19">
        <f t="shared" si="12"/>
        <v>0</v>
      </c>
    </row>
    <row r="826" spans="1:10" x14ac:dyDescent="0.35">
      <c r="A826" s="4" t="s">
        <v>4846</v>
      </c>
      <c r="B826" s="7" t="s">
        <v>725</v>
      </c>
      <c r="C826" s="7" t="s">
        <v>3972</v>
      </c>
      <c r="D826" s="5">
        <v>10</v>
      </c>
      <c r="E826" s="7" t="str">
        <f>_xlfn.XLOOKUP(B826,Customers!A826:A1825,Customers!B826:B1825,"Customer Not Found",0)</f>
        <v>Customer Not Found</v>
      </c>
      <c r="F826" s="7" t="str">
        <f>_xlfn.XLOOKUP(Orders!B826,Customers!A826:A1825,Customers!C826:C1825,"Country not Found",0)</f>
        <v>Country not Found</v>
      </c>
      <c r="G826" s="7" t="str">
        <f>_xlfn.XLOOKUP(C826,Products!A826:A1325,Products!B826:B1325,"Product Missing",0)</f>
        <v>Product Missing</v>
      </c>
      <c r="H826" s="7" t="str">
        <f>_xlfn.XLOOKUP(C826,Products!A826:A1325,Products!C826:C1325,"Category Missing",0)</f>
        <v>Category Missing</v>
      </c>
      <c r="I826" s="11" t="str">
        <f>_xlfn.XLOOKUP(Orders!C826,Products!A826:A1325,Products!D826:D1325,"Price Missing",0)</f>
        <v>Price Missing</v>
      </c>
      <c r="J826" s="19">
        <f t="shared" si="12"/>
        <v>0</v>
      </c>
    </row>
    <row r="827" spans="1:10" x14ac:dyDescent="0.35">
      <c r="A827" s="4" t="s">
        <v>4847</v>
      </c>
      <c r="B827" s="7" t="s">
        <v>2711</v>
      </c>
      <c r="C827" s="7" t="s">
        <v>3628</v>
      </c>
      <c r="D827" s="5">
        <v>9</v>
      </c>
      <c r="E827" s="7" t="str">
        <f>_xlfn.XLOOKUP(B827,Customers!A827:A1826,Customers!B827:B1826,"Customer Not Found",0)</f>
        <v>Customer_901</v>
      </c>
      <c r="F827" s="7" t="str">
        <f>_xlfn.XLOOKUP(Orders!B827,Customers!A827:A1826,Customers!C827:C1826,"Country not Found",0)</f>
        <v>USA</v>
      </c>
      <c r="G827" s="7" t="str">
        <f>_xlfn.XLOOKUP(C827,Products!A827:A1326,Products!B827:B1326,"Product Missing",0)</f>
        <v>Product Missing</v>
      </c>
      <c r="H827" s="7" t="str">
        <f>_xlfn.XLOOKUP(C827,Products!A827:A1326,Products!C827:C1326,"Category Missing",0)</f>
        <v>Category Missing</v>
      </c>
      <c r="I827" s="11" t="str">
        <f>_xlfn.XLOOKUP(Orders!C827,Products!A827:A1326,Products!D827:D1326,"Price Missing",0)</f>
        <v>Price Missing</v>
      </c>
      <c r="J827" s="19">
        <f t="shared" si="12"/>
        <v>0</v>
      </c>
    </row>
    <row r="828" spans="1:10" x14ac:dyDescent="0.35">
      <c r="A828" s="4" t="s">
        <v>4848</v>
      </c>
      <c r="B828" s="7" t="s">
        <v>959</v>
      </c>
      <c r="C828" s="7" t="s">
        <v>3834</v>
      </c>
      <c r="D828" s="5">
        <v>8</v>
      </c>
      <c r="E828" s="7" t="str">
        <f>_xlfn.XLOOKUP(B828,Customers!A828:A1827,Customers!B828:B1827,"Customer Not Found",0)</f>
        <v>Customer Not Found</v>
      </c>
      <c r="F828" s="7" t="str">
        <f>_xlfn.XLOOKUP(Orders!B828,Customers!A828:A1827,Customers!C828:C1827,"Country not Found",0)</f>
        <v>Country not Found</v>
      </c>
      <c r="G828" s="7" t="str">
        <f>_xlfn.XLOOKUP(C828,Products!A828:A1327,Products!B828:B1327,"Product Missing",0)</f>
        <v>Product Missing</v>
      </c>
      <c r="H828" s="7" t="str">
        <f>_xlfn.XLOOKUP(C828,Products!A828:A1327,Products!C828:C1327,"Category Missing",0)</f>
        <v>Category Missing</v>
      </c>
      <c r="I828" s="11" t="str">
        <f>_xlfn.XLOOKUP(Orders!C828,Products!A828:A1327,Products!D828:D1327,"Price Missing",0)</f>
        <v>Price Missing</v>
      </c>
      <c r="J828" s="19">
        <f t="shared" si="12"/>
        <v>0</v>
      </c>
    </row>
    <row r="829" spans="1:10" x14ac:dyDescent="0.35">
      <c r="A829" s="4" t="s">
        <v>4849</v>
      </c>
      <c r="B829" s="7" t="s">
        <v>143</v>
      </c>
      <c r="C829" s="7" t="s">
        <v>3052</v>
      </c>
      <c r="D829" s="5">
        <v>6</v>
      </c>
      <c r="E829" s="7" t="str">
        <f>_xlfn.XLOOKUP(B829,Customers!A829:A1828,Customers!B829:B1828,"Customer Not Found",0)</f>
        <v>Customer Not Found</v>
      </c>
      <c r="F829" s="7" t="str">
        <f>_xlfn.XLOOKUP(Orders!B829,Customers!A829:A1828,Customers!C829:C1828,"Country not Found",0)</f>
        <v>Country not Found</v>
      </c>
      <c r="G829" s="7" t="str">
        <f>_xlfn.XLOOKUP(C829,Products!A829:A1328,Products!B829:B1328,"Product Missing",0)</f>
        <v>Product Missing</v>
      </c>
      <c r="H829" s="7" t="str">
        <f>_xlfn.XLOOKUP(C829,Products!A829:A1328,Products!C829:C1328,"Category Missing",0)</f>
        <v>Category Missing</v>
      </c>
      <c r="I829" s="11" t="str">
        <f>_xlfn.XLOOKUP(Orders!C829,Products!A829:A1328,Products!D829:D1328,"Price Missing",0)</f>
        <v>Price Missing</v>
      </c>
      <c r="J829" s="19">
        <f t="shared" si="12"/>
        <v>0</v>
      </c>
    </row>
    <row r="830" spans="1:10" x14ac:dyDescent="0.35">
      <c r="A830" s="4" t="s">
        <v>4850</v>
      </c>
      <c r="B830" s="7" t="s">
        <v>899</v>
      </c>
      <c r="C830" s="7" t="s">
        <v>3037</v>
      </c>
      <c r="D830" s="5">
        <v>6</v>
      </c>
      <c r="E830" s="7" t="str">
        <f>_xlfn.XLOOKUP(B830,Customers!A830:A1829,Customers!B830:B1829,"Customer Not Found",0)</f>
        <v>Customer Not Found</v>
      </c>
      <c r="F830" s="7" t="str">
        <f>_xlfn.XLOOKUP(Orders!B830,Customers!A830:A1829,Customers!C830:C1829,"Country not Found",0)</f>
        <v>Country not Found</v>
      </c>
      <c r="G830" s="7" t="str">
        <f>_xlfn.XLOOKUP(C830,Products!A830:A1329,Products!B830:B1329,"Product Missing",0)</f>
        <v>Product Missing</v>
      </c>
      <c r="H830" s="7" t="str">
        <f>_xlfn.XLOOKUP(C830,Products!A830:A1329,Products!C830:C1329,"Category Missing",0)</f>
        <v>Category Missing</v>
      </c>
      <c r="I830" s="11" t="str">
        <f>_xlfn.XLOOKUP(Orders!C830,Products!A830:A1329,Products!D830:D1329,"Price Missing",0)</f>
        <v>Price Missing</v>
      </c>
      <c r="J830" s="19">
        <f t="shared" si="12"/>
        <v>0</v>
      </c>
    </row>
    <row r="831" spans="1:10" x14ac:dyDescent="0.35">
      <c r="A831" s="4" t="s">
        <v>4851</v>
      </c>
      <c r="B831" s="7" t="s">
        <v>914</v>
      </c>
      <c r="C831" s="7" t="s">
        <v>3152</v>
      </c>
      <c r="D831" s="5">
        <v>9</v>
      </c>
      <c r="E831" s="7" t="str">
        <f>_xlfn.XLOOKUP(B831,Customers!A831:A1830,Customers!B831:B1830,"Customer Not Found",0)</f>
        <v>Customer Not Found</v>
      </c>
      <c r="F831" s="7" t="str">
        <f>_xlfn.XLOOKUP(Orders!B831,Customers!A831:A1830,Customers!C831:C1830,"Country not Found",0)</f>
        <v>Country not Found</v>
      </c>
      <c r="G831" s="7" t="str">
        <f>_xlfn.XLOOKUP(C831,Products!A831:A1330,Products!B831:B1330,"Product Missing",0)</f>
        <v>Product Missing</v>
      </c>
      <c r="H831" s="7" t="str">
        <f>_xlfn.XLOOKUP(C831,Products!A831:A1330,Products!C831:C1330,"Category Missing",0)</f>
        <v>Category Missing</v>
      </c>
      <c r="I831" s="11" t="str">
        <f>_xlfn.XLOOKUP(Orders!C831,Products!A831:A1330,Products!D831:D1330,"Price Missing",0)</f>
        <v>Price Missing</v>
      </c>
      <c r="J831" s="19">
        <f t="shared" si="12"/>
        <v>0</v>
      </c>
    </row>
    <row r="832" spans="1:10" x14ac:dyDescent="0.35">
      <c r="A832" s="4" t="s">
        <v>4852</v>
      </c>
      <c r="B832" s="7" t="s">
        <v>2699</v>
      </c>
      <c r="C832" s="7" t="s">
        <v>3500</v>
      </c>
      <c r="D832" s="5">
        <v>7</v>
      </c>
      <c r="E832" s="7" t="str">
        <f>_xlfn.XLOOKUP(B832,Customers!A832:A1831,Customers!B832:B1831,"Customer Not Found",0)</f>
        <v>Customer_897</v>
      </c>
      <c r="F832" s="7" t="str">
        <f>_xlfn.XLOOKUP(Orders!B832,Customers!A832:A1831,Customers!C832:C1831,"Country not Found",0)</f>
        <v>USA</v>
      </c>
      <c r="G832" s="7" t="str">
        <f>_xlfn.XLOOKUP(C832,Products!A832:A1331,Products!B832:B1331,"Product Missing",0)</f>
        <v>Product Missing</v>
      </c>
      <c r="H832" s="7" t="str">
        <f>_xlfn.XLOOKUP(C832,Products!A832:A1331,Products!C832:C1331,"Category Missing",0)</f>
        <v>Category Missing</v>
      </c>
      <c r="I832" s="11" t="str">
        <f>_xlfn.XLOOKUP(Orders!C832,Products!A832:A1331,Products!D832:D1331,"Price Missing",0)</f>
        <v>Price Missing</v>
      </c>
      <c r="J832" s="19">
        <f t="shared" si="12"/>
        <v>0</v>
      </c>
    </row>
    <row r="833" spans="1:10" x14ac:dyDescent="0.35">
      <c r="A833" s="4" t="s">
        <v>4853</v>
      </c>
      <c r="B833" s="7" t="s">
        <v>2066</v>
      </c>
      <c r="C833" s="7" t="s">
        <v>3170</v>
      </c>
      <c r="D833" s="5">
        <v>2</v>
      </c>
      <c r="E833" s="7" t="str">
        <f>_xlfn.XLOOKUP(B833,Customers!A833:A1832,Customers!B833:B1832,"Customer Not Found",0)</f>
        <v>Customer Not Found</v>
      </c>
      <c r="F833" s="7" t="str">
        <f>_xlfn.XLOOKUP(Orders!B833,Customers!A833:A1832,Customers!C833:C1832,"Country not Found",0)</f>
        <v>Country not Found</v>
      </c>
      <c r="G833" s="7" t="str">
        <f>_xlfn.XLOOKUP(C833,Products!A833:A1332,Products!B833:B1332,"Product Missing",0)</f>
        <v>Product Missing</v>
      </c>
      <c r="H833" s="7" t="str">
        <f>_xlfn.XLOOKUP(C833,Products!A833:A1332,Products!C833:C1332,"Category Missing",0)</f>
        <v>Category Missing</v>
      </c>
      <c r="I833" s="11" t="str">
        <f>_xlfn.XLOOKUP(Orders!C833,Products!A833:A1332,Products!D833:D1332,"Price Missing",0)</f>
        <v>Price Missing</v>
      </c>
      <c r="J833" s="19">
        <f t="shared" si="12"/>
        <v>0</v>
      </c>
    </row>
    <row r="834" spans="1:10" x14ac:dyDescent="0.35">
      <c r="A834" s="4" t="s">
        <v>4854</v>
      </c>
      <c r="B834" s="7" t="s">
        <v>1214</v>
      </c>
      <c r="C834" s="7" t="s">
        <v>3880</v>
      </c>
      <c r="D834" s="5">
        <v>9</v>
      </c>
      <c r="E834" s="7" t="str">
        <f>_xlfn.XLOOKUP(B834,Customers!A834:A1833,Customers!B834:B1833,"Customer Not Found",0)</f>
        <v>Customer Not Found</v>
      </c>
      <c r="F834" s="7" t="str">
        <f>_xlfn.XLOOKUP(Orders!B834,Customers!A834:A1833,Customers!C834:C1833,"Country not Found",0)</f>
        <v>Country not Found</v>
      </c>
      <c r="G834" s="7" t="str">
        <f>_xlfn.XLOOKUP(C834,Products!A834:A1333,Products!B834:B1333,"Product Missing",0)</f>
        <v>Product Missing</v>
      </c>
      <c r="H834" s="7" t="str">
        <f>_xlfn.XLOOKUP(C834,Products!A834:A1333,Products!C834:C1333,"Category Missing",0)</f>
        <v>Category Missing</v>
      </c>
      <c r="I834" s="11" t="str">
        <f>_xlfn.XLOOKUP(Orders!C834,Products!A834:A1333,Products!D834:D1333,"Price Missing",0)</f>
        <v>Price Missing</v>
      </c>
      <c r="J834" s="19">
        <f t="shared" si="12"/>
        <v>0</v>
      </c>
    </row>
    <row r="835" spans="1:10" x14ac:dyDescent="0.35">
      <c r="A835" s="4" t="s">
        <v>4855</v>
      </c>
      <c r="B835" s="7" t="s">
        <v>1652</v>
      </c>
      <c r="C835" s="7" t="s">
        <v>3600</v>
      </c>
      <c r="D835" s="5">
        <v>10</v>
      </c>
      <c r="E835" s="7" t="str">
        <f>_xlfn.XLOOKUP(B835,Customers!A835:A1834,Customers!B835:B1834,"Customer Not Found",0)</f>
        <v>Customer Not Found</v>
      </c>
      <c r="F835" s="7" t="str">
        <f>_xlfn.XLOOKUP(Orders!B835,Customers!A835:A1834,Customers!C835:C1834,"Country not Found",0)</f>
        <v>Country not Found</v>
      </c>
      <c r="G835" s="7" t="str">
        <f>_xlfn.XLOOKUP(C835,Products!A835:A1334,Products!B835:B1334,"Product Missing",0)</f>
        <v>Product Missing</v>
      </c>
      <c r="H835" s="7" t="str">
        <f>_xlfn.XLOOKUP(C835,Products!A835:A1334,Products!C835:C1334,"Category Missing",0)</f>
        <v>Category Missing</v>
      </c>
      <c r="I835" s="11" t="str">
        <f>_xlfn.XLOOKUP(Orders!C835,Products!A835:A1334,Products!D835:D1334,"Price Missing",0)</f>
        <v>Price Missing</v>
      </c>
      <c r="J835" s="19">
        <f t="shared" ref="J835:J898" si="13">IFERROR(I835*D835,0)</f>
        <v>0</v>
      </c>
    </row>
    <row r="836" spans="1:10" x14ac:dyDescent="0.35">
      <c r="A836" s="4" t="s">
        <v>4856</v>
      </c>
      <c r="B836" s="7" t="s">
        <v>302</v>
      </c>
      <c r="C836" s="7" t="s">
        <v>3025</v>
      </c>
      <c r="D836" s="5">
        <v>8</v>
      </c>
      <c r="E836" s="7" t="str">
        <f>_xlfn.XLOOKUP(B836,Customers!A836:A1835,Customers!B836:B1835,"Customer Not Found",0)</f>
        <v>Customer Not Found</v>
      </c>
      <c r="F836" s="7" t="str">
        <f>_xlfn.XLOOKUP(Orders!B836,Customers!A836:A1835,Customers!C836:C1835,"Country not Found",0)</f>
        <v>Country not Found</v>
      </c>
      <c r="G836" s="7" t="str">
        <f>_xlfn.XLOOKUP(C836,Products!A836:A1335,Products!B836:B1335,"Product Missing",0)</f>
        <v>Product Missing</v>
      </c>
      <c r="H836" s="7" t="str">
        <f>_xlfn.XLOOKUP(C836,Products!A836:A1335,Products!C836:C1335,"Category Missing",0)</f>
        <v>Category Missing</v>
      </c>
      <c r="I836" s="11" t="str">
        <f>_xlfn.XLOOKUP(Orders!C836,Products!A836:A1335,Products!D836:D1335,"Price Missing",0)</f>
        <v>Price Missing</v>
      </c>
      <c r="J836" s="19">
        <f t="shared" si="13"/>
        <v>0</v>
      </c>
    </row>
    <row r="837" spans="1:10" x14ac:dyDescent="0.35">
      <c r="A837" s="4" t="s">
        <v>4857</v>
      </c>
      <c r="B837" s="7" t="s">
        <v>1679</v>
      </c>
      <c r="C837" s="7" t="s">
        <v>3910</v>
      </c>
      <c r="D837" s="5">
        <v>1</v>
      </c>
      <c r="E837" s="7" t="str">
        <f>_xlfn.XLOOKUP(B837,Customers!A837:A1836,Customers!B837:B1836,"Customer Not Found",0)</f>
        <v>Customer Not Found</v>
      </c>
      <c r="F837" s="7" t="str">
        <f>_xlfn.XLOOKUP(Orders!B837,Customers!A837:A1836,Customers!C837:C1836,"Country not Found",0)</f>
        <v>Country not Found</v>
      </c>
      <c r="G837" s="7" t="str">
        <f>_xlfn.XLOOKUP(C837,Products!A837:A1336,Products!B837:B1336,"Product Missing",0)</f>
        <v>Product Missing</v>
      </c>
      <c r="H837" s="7" t="str">
        <f>_xlfn.XLOOKUP(C837,Products!A837:A1336,Products!C837:C1336,"Category Missing",0)</f>
        <v>Category Missing</v>
      </c>
      <c r="I837" s="11" t="str">
        <f>_xlfn.XLOOKUP(Orders!C837,Products!A837:A1336,Products!D837:D1336,"Price Missing",0)</f>
        <v>Price Missing</v>
      </c>
      <c r="J837" s="19">
        <f t="shared" si="13"/>
        <v>0</v>
      </c>
    </row>
    <row r="838" spans="1:10" x14ac:dyDescent="0.35">
      <c r="A838" s="4" t="s">
        <v>4858</v>
      </c>
      <c r="B838" s="7" t="s">
        <v>2264</v>
      </c>
      <c r="C838" s="7" t="s">
        <v>3084</v>
      </c>
      <c r="D838" s="5">
        <v>8</v>
      </c>
      <c r="E838" s="7" t="str">
        <f>_xlfn.XLOOKUP(B838,Customers!A838:A1837,Customers!B838:B1837,"Customer Not Found",0)</f>
        <v>Customer Not Found</v>
      </c>
      <c r="F838" s="7" t="str">
        <f>_xlfn.XLOOKUP(Orders!B838,Customers!A838:A1837,Customers!C838:C1837,"Country not Found",0)</f>
        <v>Country not Found</v>
      </c>
      <c r="G838" s="7" t="str">
        <f>_xlfn.XLOOKUP(C838,Products!A838:A1337,Products!B838:B1337,"Product Missing",0)</f>
        <v>Product Missing</v>
      </c>
      <c r="H838" s="7" t="str">
        <f>_xlfn.XLOOKUP(C838,Products!A838:A1337,Products!C838:C1337,"Category Missing",0)</f>
        <v>Category Missing</v>
      </c>
      <c r="I838" s="11" t="str">
        <f>_xlfn.XLOOKUP(Orders!C838,Products!A838:A1337,Products!D838:D1337,"Price Missing",0)</f>
        <v>Price Missing</v>
      </c>
      <c r="J838" s="19">
        <f t="shared" si="13"/>
        <v>0</v>
      </c>
    </row>
    <row r="839" spans="1:10" x14ac:dyDescent="0.35">
      <c r="A839" s="4" t="s">
        <v>4859</v>
      </c>
      <c r="B839" s="7" t="s">
        <v>2033</v>
      </c>
      <c r="C839" s="7" t="s">
        <v>3866</v>
      </c>
      <c r="D839" s="5">
        <v>3</v>
      </c>
      <c r="E839" s="7" t="str">
        <f>_xlfn.XLOOKUP(B839,Customers!A839:A1838,Customers!B839:B1838,"Customer Not Found",0)</f>
        <v>Customer Not Found</v>
      </c>
      <c r="F839" s="7" t="str">
        <f>_xlfn.XLOOKUP(Orders!B839,Customers!A839:A1838,Customers!C839:C1838,"Country not Found",0)</f>
        <v>Country not Found</v>
      </c>
      <c r="G839" s="7" t="str">
        <f>_xlfn.XLOOKUP(C839,Products!A839:A1338,Products!B839:B1338,"Product Missing",0)</f>
        <v>Product Missing</v>
      </c>
      <c r="H839" s="7" t="str">
        <f>_xlfn.XLOOKUP(C839,Products!A839:A1338,Products!C839:C1338,"Category Missing",0)</f>
        <v>Category Missing</v>
      </c>
      <c r="I839" s="11" t="str">
        <f>_xlfn.XLOOKUP(Orders!C839,Products!A839:A1338,Products!D839:D1338,"Price Missing",0)</f>
        <v>Price Missing</v>
      </c>
      <c r="J839" s="19">
        <f t="shared" si="13"/>
        <v>0</v>
      </c>
    </row>
    <row r="840" spans="1:10" x14ac:dyDescent="0.35">
      <c r="A840" s="4" t="s">
        <v>4860</v>
      </c>
      <c r="B840" s="7" t="s">
        <v>2369</v>
      </c>
      <c r="C840" s="7" t="s">
        <v>3888</v>
      </c>
      <c r="D840" s="5">
        <v>5</v>
      </c>
      <c r="E840" s="7" t="str">
        <f>_xlfn.XLOOKUP(B840,Customers!A840:A1839,Customers!B840:B1839,"Customer Not Found",0)</f>
        <v>Customer Not Found</v>
      </c>
      <c r="F840" s="7" t="str">
        <f>_xlfn.XLOOKUP(Orders!B840,Customers!A840:A1839,Customers!C840:C1839,"Country not Found",0)</f>
        <v>Country not Found</v>
      </c>
      <c r="G840" s="7" t="str">
        <f>_xlfn.XLOOKUP(C840,Products!A840:A1339,Products!B840:B1339,"Product Missing",0)</f>
        <v>Product Missing</v>
      </c>
      <c r="H840" s="7" t="str">
        <f>_xlfn.XLOOKUP(C840,Products!A840:A1339,Products!C840:C1339,"Category Missing",0)</f>
        <v>Category Missing</v>
      </c>
      <c r="I840" s="11" t="str">
        <f>_xlfn.XLOOKUP(Orders!C840,Products!A840:A1339,Products!D840:D1339,"Price Missing",0)</f>
        <v>Price Missing</v>
      </c>
      <c r="J840" s="19">
        <f t="shared" si="13"/>
        <v>0</v>
      </c>
    </row>
    <row r="841" spans="1:10" x14ac:dyDescent="0.35">
      <c r="A841" s="4" t="s">
        <v>4861</v>
      </c>
      <c r="B841" s="7" t="s">
        <v>2429</v>
      </c>
      <c r="C841" s="7" t="s">
        <v>3278</v>
      </c>
      <c r="D841" s="5">
        <v>2</v>
      </c>
      <c r="E841" s="7" t="str">
        <f>_xlfn.XLOOKUP(B841,Customers!A841:A1840,Customers!B841:B1840,"Customer Not Found",0)</f>
        <v>Customer Not Found</v>
      </c>
      <c r="F841" s="7" t="str">
        <f>_xlfn.XLOOKUP(Orders!B841,Customers!A841:A1840,Customers!C841:C1840,"Country not Found",0)</f>
        <v>Country not Found</v>
      </c>
      <c r="G841" s="7" t="str">
        <f>_xlfn.XLOOKUP(C841,Products!A841:A1340,Products!B841:B1340,"Product Missing",0)</f>
        <v>Product Missing</v>
      </c>
      <c r="H841" s="7" t="str">
        <f>_xlfn.XLOOKUP(C841,Products!A841:A1340,Products!C841:C1340,"Category Missing",0)</f>
        <v>Category Missing</v>
      </c>
      <c r="I841" s="11" t="str">
        <f>_xlfn.XLOOKUP(Orders!C841,Products!A841:A1340,Products!D841:D1340,"Price Missing",0)</f>
        <v>Price Missing</v>
      </c>
      <c r="J841" s="19">
        <f t="shared" si="13"/>
        <v>0</v>
      </c>
    </row>
    <row r="842" spans="1:10" x14ac:dyDescent="0.35">
      <c r="A842" s="4" t="s">
        <v>4862</v>
      </c>
      <c r="B842" s="7" t="s">
        <v>110</v>
      </c>
      <c r="C842" s="7" t="s">
        <v>3310</v>
      </c>
      <c r="D842" s="5">
        <v>7</v>
      </c>
      <c r="E842" s="7" t="str">
        <f>_xlfn.XLOOKUP(B842,Customers!A842:A1841,Customers!B842:B1841,"Customer Not Found",0)</f>
        <v>Customer Not Found</v>
      </c>
      <c r="F842" s="7" t="str">
        <f>_xlfn.XLOOKUP(Orders!B842,Customers!A842:A1841,Customers!C842:C1841,"Country not Found",0)</f>
        <v>Country not Found</v>
      </c>
      <c r="G842" s="7" t="str">
        <f>_xlfn.XLOOKUP(C842,Products!A842:A1341,Products!B842:B1341,"Product Missing",0)</f>
        <v>Product Missing</v>
      </c>
      <c r="H842" s="7" t="str">
        <f>_xlfn.XLOOKUP(C842,Products!A842:A1341,Products!C842:C1341,"Category Missing",0)</f>
        <v>Category Missing</v>
      </c>
      <c r="I842" s="11" t="str">
        <f>_xlfn.XLOOKUP(Orders!C842,Products!A842:A1341,Products!D842:D1341,"Price Missing",0)</f>
        <v>Price Missing</v>
      </c>
      <c r="J842" s="19">
        <f t="shared" si="13"/>
        <v>0</v>
      </c>
    </row>
    <row r="843" spans="1:10" x14ac:dyDescent="0.35">
      <c r="A843" s="4" t="s">
        <v>4863</v>
      </c>
      <c r="B843" s="7" t="s">
        <v>2234</v>
      </c>
      <c r="C843" s="7" t="s">
        <v>3962</v>
      </c>
      <c r="D843" s="5">
        <v>3</v>
      </c>
      <c r="E843" s="7" t="str">
        <f>_xlfn.XLOOKUP(B843,Customers!A843:A1842,Customers!B843:B1842,"Customer Not Found",0)</f>
        <v>Customer Not Found</v>
      </c>
      <c r="F843" s="7" t="str">
        <f>_xlfn.XLOOKUP(Orders!B843,Customers!A843:A1842,Customers!C843:C1842,"Country not Found",0)</f>
        <v>Country not Found</v>
      </c>
      <c r="G843" s="7" t="str">
        <f>_xlfn.XLOOKUP(C843,Products!A843:A1342,Products!B843:B1342,"Product Missing",0)</f>
        <v>Product Missing</v>
      </c>
      <c r="H843" s="7" t="str">
        <f>_xlfn.XLOOKUP(C843,Products!A843:A1342,Products!C843:C1342,"Category Missing",0)</f>
        <v>Category Missing</v>
      </c>
      <c r="I843" s="11" t="str">
        <f>_xlfn.XLOOKUP(Orders!C843,Products!A843:A1342,Products!D843:D1342,"Price Missing",0)</f>
        <v>Price Missing</v>
      </c>
      <c r="J843" s="19">
        <f t="shared" si="13"/>
        <v>0</v>
      </c>
    </row>
    <row r="844" spans="1:10" x14ac:dyDescent="0.35">
      <c r="A844" s="4" t="s">
        <v>4864</v>
      </c>
      <c r="B844" s="7" t="s">
        <v>743</v>
      </c>
      <c r="C844" s="7" t="s">
        <v>3324</v>
      </c>
      <c r="D844" s="5">
        <v>6</v>
      </c>
      <c r="E844" s="7" t="str">
        <f>_xlfn.XLOOKUP(B844,Customers!A844:A1843,Customers!B844:B1843,"Customer Not Found",0)</f>
        <v>Customer Not Found</v>
      </c>
      <c r="F844" s="7" t="str">
        <f>_xlfn.XLOOKUP(Orders!B844,Customers!A844:A1843,Customers!C844:C1843,"Country not Found",0)</f>
        <v>Country not Found</v>
      </c>
      <c r="G844" s="7" t="str">
        <f>_xlfn.XLOOKUP(C844,Products!A844:A1343,Products!B844:B1343,"Product Missing",0)</f>
        <v>Product Missing</v>
      </c>
      <c r="H844" s="7" t="str">
        <f>_xlfn.XLOOKUP(C844,Products!A844:A1343,Products!C844:C1343,"Category Missing",0)</f>
        <v>Category Missing</v>
      </c>
      <c r="I844" s="11" t="str">
        <f>_xlfn.XLOOKUP(Orders!C844,Products!A844:A1343,Products!D844:D1343,"Price Missing",0)</f>
        <v>Price Missing</v>
      </c>
      <c r="J844" s="19">
        <f t="shared" si="13"/>
        <v>0</v>
      </c>
    </row>
    <row r="845" spans="1:10" x14ac:dyDescent="0.35">
      <c r="A845" s="4" t="s">
        <v>4865</v>
      </c>
      <c r="B845" s="7" t="s">
        <v>1487</v>
      </c>
      <c r="C845" s="7" t="s">
        <v>3620</v>
      </c>
      <c r="D845" s="5">
        <v>8</v>
      </c>
      <c r="E845" s="7" t="str">
        <f>_xlfn.XLOOKUP(B845,Customers!A845:A1844,Customers!B845:B1844,"Customer Not Found",0)</f>
        <v>Customer Not Found</v>
      </c>
      <c r="F845" s="7" t="str">
        <f>_xlfn.XLOOKUP(Orders!B845,Customers!A845:A1844,Customers!C845:C1844,"Country not Found",0)</f>
        <v>Country not Found</v>
      </c>
      <c r="G845" s="7" t="str">
        <f>_xlfn.XLOOKUP(C845,Products!A845:A1344,Products!B845:B1344,"Product Missing",0)</f>
        <v>Product Missing</v>
      </c>
      <c r="H845" s="7" t="str">
        <f>_xlfn.XLOOKUP(C845,Products!A845:A1344,Products!C845:C1344,"Category Missing",0)</f>
        <v>Category Missing</v>
      </c>
      <c r="I845" s="11" t="str">
        <f>_xlfn.XLOOKUP(Orders!C845,Products!A845:A1344,Products!D845:D1344,"Price Missing",0)</f>
        <v>Price Missing</v>
      </c>
      <c r="J845" s="19">
        <f t="shared" si="13"/>
        <v>0</v>
      </c>
    </row>
    <row r="846" spans="1:10" x14ac:dyDescent="0.35">
      <c r="A846" s="4" t="s">
        <v>4866</v>
      </c>
      <c r="B846" s="7" t="s">
        <v>896</v>
      </c>
      <c r="C846" s="7" t="s">
        <v>3610</v>
      </c>
      <c r="D846" s="5">
        <v>9</v>
      </c>
      <c r="E846" s="7" t="str">
        <f>_xlfn.XLOOKUP(B846,Customers!A846:A1845,Customers!B846:B1845,"Customer Not Found",0)</f>
        <v>Customer Not Found</v>
      </c>
      <c r="F846" s="7" t="str">
        <f>_xlfn.XLOOKUP(Orders!B846,Customers!A846:A1845,Customers!C846:C1845,"Country not Found",0)</f>
        <v>Country not Found</v>
      </c>
      <c r="G846" s="7" t="str">
        <f>_xlfn.XLOOKUP(C846,Products!A846:A1345,Products!B846:B1345,"Product Missing",0)</f>
        <v>Product Missing</v>
      </c>
      <c r="H846" s="7" t="str">
        <f>_xlfn.XLOOKUP(C846,Products!A846:A1345,Products!C846:C1345,"Category Missing",0)</f>
        <v>Category Missing</v>
      </c>
      <c r="I846" s="11" t="str">
        <f>_xlfn.XLOOKUP(Orders!C846,Products!A846:A1345,Products!D846:D1345,"Price Missing",0)</f>
        <v>Price Missing</v>
      </c>
      <c r="J846" s="19">
        <f t="shared" si="13"/>
        <v>0</v>
      </c>
    </row>
    <row r="847" spans="1:10" x14ac:dyDescent="0.35">
      <c r="A847" s="4" t="s">
        <v>4867</v>
      </c>
      <c r="B847" s="7" t="s">
        <v>989</v>
      </c>
      <c r="C847" s="7" t="s">
        <v>3068</v>
      </c>
      <c r="D847" s="5">
        <v>10</v>
      </c>
      <c r="E847" s="7" t="str">
        <f>_xlfn.XLOOKUP(B847,Customers!A847:A1846,Customers!B847:B1846,"Customer Not Found",0)</f>
        <v>Customer Not Found</v>
      </c>
      <c r="F847" s="7" t="str">
        <f>_xlfn.XLOOKUP(Orders!B847,Customers!A847:A1846,Customers!C847:C1846,"Country not Found",0)</f>
        <v>Country not Found</v>
      </c>
      <c r="G847" s="7" t="str">
        <f>_xlfn.XLOOKUP(C847,Products!A847:A1346,Products!B847:B1346,"Product Missing",0)</f>
        <v>Product Missing</v>
      </c>
      <c r="H847" s="7" t="str">
        <f>_xlfn.XLOOKUP(C847,Products!A847:A1346,Products!C847:C1346,"Category Missing",0)</f>
        <v>Category Missing</v>
      </c>
      <c r="I847" s="11" t="str">
        <f>_xlfn.XLOOKUP(Orders!C847,Products!A847:A1346,Products!D847:D1346,"Price Missing",0)</f>
        <v>Price Missing</v>
      </c>
      <c r="J847" s="19">
        <f t="shared" si="13"/>
        <v>0</v>
      </c>
    </row>
    <row r="848" spans="1:10" x14ac:dyDescent="0.35">
      <c r="A848" s="4" t="s">
        <v>4868</v>
      </c>
      <c r="B848" s="7" t="s">
        <v>479</v>
      </c>
      <c r="C848" s="7" t="s">
        <v>3864</v>
      </c>
      <c r="D848" s="5">
        <v>2</v>
      </c>
      <c r="E848" s="7" t="str">
        <f>_xlfn.XLOOKUP(B848,Customers!A848:A1847,Customers!B848:B1847,"Customer Not Found",0)</f>
        <v>Customer Not Found</v>
      </c>
      <c r="F848" s="7" t="str">
        <f>_xlfn.XLOOKUP(Orders!B848,Customers!A848:A1847,Customers!C848:C1847,"Country not Found",0)</f>
        <v>Country not Found</v>
      </c>
      <c r="G848" s="7" t="str">
        <f>_xlfn.XLOOKUP(C848,Products!A848:A1347,Products!B848:B1347,"Product Missing",0)</f>
        <v>Product Missing</v>
      </c>
      <c r="H848" s="7" t="str">
        <f>_xlfn.XLOOKUP(C848,Products!A848:A1347,Products!C848:C1347,"Category Missing",0)</f>
        <v>Category Missing</v>
      </c>
      <c r="I848" s="11" t="str">
        <f>_xlfn.XLOOKUP(Orders!C848,Products!A848:A1347,Products!D848:D1347,"Price Missing",0)</f>
        <v>Price Missing</v>
      </c>
      <c r="J848" s="19">
        <f t="shared" si="13"/>
        <v>0</v>
      </c>
    </row>
    <row r="849" spans="1:10" x14ac:dyDescent="0.35">
      <c r="A849" s="4" t="s">
        <v>4869</v>
      </c>
      <c r="B849" s="7" t="s">
        <v>2795</v>
      </c>
      <c r="C849" s="7" t="s">
        <v>3164</v>
      </c>
      <c r="D849" s="5">
        <v>3</v>
      </c>
      <c r="E849" s="7" t="str">
        <f>_xlfn.XLOOKUP(B849,Customers!A849:A1848,Customers!B849:B1848,"Customer Not Found",0)</f>
        <v>Customer_929</v>
      </c>
      <c r="F849" s="7" t="str">
        <f>_xlfn.XLOOKUP(Orders!B849,Customers!A849:A1848,Customers!C849:C1848,"Country not Found",0)</f>
        <v>Kenya</v>
      </c>
      <c r="G849" s="7" t="str">
        <f>_xlfn.XLOOKUP(C849,Products!A849:A1348,Products!B849:B1348,"Product Missing",0)</f>
        <v>Product Missing</v>
      </c>
      <c r="H849" s="7" t="str">
        <f>_xlfn.XLOOKUP(C849,Products!A849:A1348,Products!C849:C1348,"Category Missing",0)</f>
        <v>Category Missing</v>
      </c>
      <c r="I849" s="11" t="str">
        <f>_xlfn.XLOOKUP(Orders!C849,Products!A849:A1348,Products!D849:D1348,"Price Missing",0)</f>
        <v>Price Missing</v>
      </c>
      <c r="J849" s="19">
        <f t="shared" si="13"/>
        <v>0</v>
      </c>
    </row>
    <row r="850" spans="1:10" x14ac:dyDescent="0.35">
      <c r="A850" s="4" t="s">
        <v>4870</v>
      </c>
      <c r="B850" s="7" t="s">
        <v>323</v>
      </c>
      <c r="C850" s="7" t="s">
        <v>3246</v>
      </c>
      <c r="D850" s="5">
        <v>9</v>
      </c>
      <c r="E850" s="7" t="str">
        <f>_xlfn.XLOOKUP(B850,Customers!A850:A1849,Customers!B850:B1849,"Customer Not Found",0)</f>
        <v>Customer Not Found</v>
      </c>
      <c r="F850" s="7" t="str">
        <f>_xlfn.XLOOKUP(Orders!B850,Customers!A850:A1849,Customers!C850:C1849,"Country not Found",0)</f>
        <v>Country not Found</v>
      </c>
      <c r="G850" s="7" t="str">
        <f>_xlfn.XLOOKUP(C850,Products!A850:A1349,Products!B850:B1349,"Product Missing",0)</f>
        <v>Product Missing</v>
      </c>
      <c r="H850" s="7" t="str">
        <f>_xlfn.XLOOKUP(C850,Products!A850:A1349,Products!C850:C1349,"Category Missing",0)</f>
        <v>Category Missing</v>
      </c>
      <c r="I850" s="11" t="str">
        <f>_xlfn.XLOOKUP(Orders!C850,Products!A850:A1349,Products!D850:D1349,"Price Missing",0)</f>
        <v>Price Missing</v>
      </c>
      <c r="J850" s="19">
        <f t="shared" si="13"/>
        <v>0</v>
      </c>
    </row>
    <row r="851" spans="1:10" x14ac:dyDescent="0.35">
      <c r="A851" s="4" t="s">
        <v>4871</v>
      </c>
      <c r="B851" s="7" t="s">
        <v>722</v>
      </c>
      <c r="C851" s="7" t="s">
        <v>3762</v>
      </c>
      <c r="D851" s="5">
        <v>9</v>
      </c>
      <c r="E851" s="7" t="str">
        <f>_xlfn.XLOOKUP(B851,Customers!A851:A1850,Customers!B851:B1850,"Customer Not Found",0)</f>
        <v>Customer Not Found</v>
      </c>
      <c r="F851" s="7" t="str">
        <f>_xlfn.XLOOKUP(Orders!B851,Customers!A851:A1850,Customers!C851:C1850,"Country not Found",0)</f>
        <v>Country not Found</v>
      </c>
      <c r="G851" s="7" t="str">
        <f>_xlfn.XLOOKUP(C851,Products!A851:A1350,Products!B851:B1350,"Product Missing",0)</f>
        <v>Product Missing</v>
      </c>
      <c r="H851" s="7" t="str">
        <f>_xlfn.XLOOKUP(C851,Products!A851:A1350,Products!C851:C1350,"Category Missing",0)</f>
        <v>Category Missing</v>
      </c>
      <c r="I851" s="11" t="str">
        <f>_xlfn.XLOOKUP(Orders!C851,Products!A851:A1350,Products!D851:D1350,"Price Missing",0)</f>
        <v>Price Missing</v>
      </c>
      <c r="J851" s="19">
        <f t="shared" si="13"/>
        <v>0</v>
      </c>
    </row>
    <row r="852" spans="1:10" x14ac:dyDescent="0.35">
      <c r="A852" s="4" t="s">
        <v>4872</v>
      </c>
      <c r="B852" s="7" t="s">
        <v>251</v>
      </c>
      <c r="C852" s="7" t="s">
        <v>3326</v>
      </c>
      <c r="D852" s="5">
        <v>3</v>
      </c>
      <c r="E852" s="7" t="str">
        <f>_xlfn.XLOOKUP(B852,Customers!A852:A1851,Customers!B852:B1851,"Customer Not Found",0)</f>
        <v>Customer Not Found</v>
      </c>
      <c r="F852" s="7" t="str">
        <f>_xlfn.XLOOKUP(Orders!B852,Customers!A852:A1851,Customers!C852:C1851,"Country not Found",0)</f>
        <v>Country not Found</v>
      </c>
      <c r="G852" s="7" t="str">
        <f>_xlfn.XLOOKUP(C852,Products!A852:A1351,Products!B852:B1351,"Product Missing",0)</f>
        <v>Product Missing</v>
      </c>
      <c r="H852" s="7" t="str">
        <f>_xlfn.XLOOKUP(C852,Products!A852:A1351,Products!C852:C1351,"Category Missing",0)</f>
        <v>Category Missing</v>
      </c>
      <c r="I852" s="11" t="str">
        <f>_xlfn.XLOOKUP(Orders!C852,Products!A852:A1351,Products!D852:D1351,"Price Missing",0)</f>
        <v>Price Missing</v>
      </c>
      <c r="J852" s="19">
        <f t="shared" si="13"/>
        <v>0</v>
      </c>
    </row>
    <row r="853" spans="1:10" x14ac:dyDescent="0.35">
      <c r="A853" s="4" t="s">
        <v>4873</v>
      </c>
      <c r="B853" s="7" t="s">
        <v>2240</v>
      </c>
      <c r="C853" s="7" t="s">
        <v>3144</v>
      </c>
      <c r="D853" s="5">
        <v>7</v>
      </c>
      <c r="E853" s="7" t="str">
        <f>_xlfn.XLOOKUP(B853,Customers!A853:A1852,Customers!B853:B1852,"Customer Not Found",0)</f>
        <v>Customer Not Found</v>
      </c>
      <c r="F853" s="7" t="str">
        <f>_xlfn.XLOOKUP(Orders!B853,Customers!A853:A1852,Customers!C853:C1852,"Country not Found",0)</f>
        <v>Country not Found</v>
      </c>
      <c r="G853" s="7" t="str">
        <f>_xlfn.XLOOKUP(C853,Products!A853:A1352,Products!B853:B1352,"Product Missing",0)</f>
        <v>Product Missing</v>
      </c>
      <c r="H853" s="7" t="str">
        <f>_xlfn.XLOOKUP(C853,Products!A853:A1352,Products!C853:C1352,"Category Missing",0)</f>
        <v>Category Missing</v>
      </c>
      <c r="I853" s="11" t="str">
        <f>_xlfn.XLOOKUP(Orders!C853,Products!A853:A1352,Products!D853:D1352,"Price Missing",0)</f>
        <v>Price Missing</v>
      </c>
      <c r="J853" s="19">
        <f t="shared" si="13"/>
        <v>0</v>
      </c>
    </row>
    <row r="854" spans="1:10" x14ac:dyDescent="0.35">
      <c r="A854" s="4" t="s">
        <v>4874</v>
      </c>
      <c r="B854" s="7" t="s">
        <v>254</v>
      </c>
      <c r="C854" s="7" t="s">
        <v>3714</v>
      </c>
      <c r="D854" s="5">
        <v>4</v>
      </c>
      <c r="E854" s="7" t="str">
        <f>_xlfn.XLOOKUP(B854,Customers!A854:A1853,Customers!B854:B1853,"Customer Not Found",0)</f>
        <v>Customer Not Found</v>
      </c>
      <c r="F854" s="7" t="str">
        <f>_xlfn.XLOOKUP(Orders!B854,Customers!A854:A1853,Customers!C854:C1853,"Country not Found",0)</f>
        <v>Country not Found</v>
      </c>
      <c r="G854" s="7" t="str">
        <f>_xlfn.XLOOKUP(C854,Products!A854:A1353,Products!B854:B1353,"Product Missing",0)</f>
        <v>Product Missing</v>
      </c>
      <c r="H854" s="7" t="str">
        <f>_xlfn.XLOOKUP(C854,Products!A854:A1353,Products!C854:C1353,"Category Missing",0)</f>
        <v>Category Missing</v>
      </c>
      <c r="I854" s="11" t="str">
        <f>_xlfn.XLOOKUP(Orders!C854,Products!A854:A1353,Products!D854:D1353,"Price Missing",0)</f>
        <v>Price Missing</v>
      </c>
      <c r="J854" s="19">
        <f t="shared" si="13"/>
        <v>0</v>
      </c>
    </row>
    <row r="855" spans="1:10" x14ac:dyDescent="0.35">
      <c r="A855" s="4" t="s">
        <v>4875</v>
      </c>
      <c r="B855" s="7" t="s">
        <v>2438</v>
      </c>
      <c r="C855" s="7" t="s">
        <v>3736</v>
      </c>
      <c r="D855" s="5">
        <v>6</v>
      </c>
      <c r="E855" s="7" t="str">
        <f>_xlfn.XLOOKUP(B855,Customers!A855:A1854,Customers!B855:B1854,"Customer Not Found",0)</f>
        <v>Customer Not Found</v>
      </c>
      <c r="F855" s="7" t="str">
        <f>_xlfn.XLOOKUP(Orders!B855,Customers!A855:A1854,Customers!C855:C1854,"Country not Found",0)</f>
        <v>Country not Found</v>
      </c>
      <c r="G855" s="7" t="str">
        <f>_xlfn.XLOOKUP(C855,Products!A855:A1354,Products!B855:B1354,"Product Missing",0)</f>
        <v>Product Missing</v>
      </c>
      <c r="H855" s="7" t="str">
        <f>_xlfn.XLOOKUP(C855,Products!A855:A1354,Products!C855:C1354,"Category Missing",0)</f>
        <v>Category Missing</v>
      </c>
      <c r="I855" s="11" t="str">
        <f>_xlfn.XLOOKUP(Orders!C855,Products!A855:A1354,Products!D855:D1354,"Price Missing",0)</f>
        <v>Price Missing</v>
      </c>
      <c r="J855" s="19">
        <f t="shared" si="13"/>
        <v>0</v>
      </c>
    </row>
    <row r="856" spans="1:10" x14ac:dyDescent="0.35">
      <c r="A856" s="4" t="s">
        <v>4876</v>
      </c>
      <c r="B856" s="7" t="s">
        <v>1997</v>
      </c>
      <c r="C856" s="7" t="s">
        <v>3742</v>
      </c>
      <c r="D856" s="5">
        <v>5</v>
      </c>
      <c r="E856" s="7" t="str">
        <f>_xlfn.XLOOKUP(B856,Customers!A856:A1855,Customers!B856:B1855,"Customer Not Found",0)</f>
        <v>Customer Not Found</v>
      </c>
      <c r="F856" s="7" t="str">
        <f>_xlfn.XLOOKUP(Orders!B856,Customers!A856:A1855,Customers!C856:C1855,"Country not Found",0)</f>
        <v>Country not Found</v>
      </c>
      <c r="G856" s="7" t="str">
        <f>_xlfn.XLOOKUP(C856,Products!A856:A1355,Products!B856:B1355,"Product Missing",0)</f>
        <v>Product Missing</v>
      </c>
      <c r="H856" s="7" t="str">
        <f>_xlfn.XLOOKUP(C856,Products!A856:A1355,Products!C856:C1355,"Category Missing",0)</f>
        <v>Category Missing</v>
      </c>
      <c r="I856" s="11" t="str">
        <f>_xlfn.XLOOKUP(Orders!C856,Products!A856:A1355,Products!D856:D1355,"Price Missing",0)</f>
        <v>Price Missing</v>
      </c>
      <c r="J856" s="19">
        <f t="shared" si="13"/>
        <v>0</v>
      </c>
    </row>
    <row r="857" spans="1:10" x14ac:dyDescent="0.35">
      <c r="A857" s="4" t="s">
        <v>4877</v>
      </c>
      <c r="B857" s="7" t="s">
        <v>2267</v>
      </c>
      <c r="C857" s="7" t="s">
        <v>3616</v>
      </c>
      <c r="D857" s="5">
        <v>4</v>
      </c>
      <c r="E857" s="7" t="str">
        <f>_xlfn.XLOOKUP(B857,Customers!A857:A1856,Customers!B857:B1856,"Customer Not Found",0)</f>
        <v>Customer Not Found</v>
      </c>
      <c r="F857" s="7" t="str">
        <f>_xlfn.XLOOKUP(Orders!B857,Customers!A857:A1856,Customers!C857:C1856,"Country not Found",0)</f>
        <v>Country not Found</v>
      </c>
      <c r="G857" s="7" t="str">
        <f>_xlfn.XLOOKUP(C857,Products!A857:A1356,Products!B857:B1356,"Product Missing",0)</f>
        <v>Product Missing</v>
      </c>
      <c r="H857" s="7" t="str">
        <f>_xlfn.XLOOKUP(C857,Products!A857:A1356,Products!C857:C1356,"Category Missing",0)</f>
        <v>Category Missing</v>
      </c>
      <c r="I857" s="11" t="str">
        <f>_xlfn.XLOOKUP(Orders!C857,Products!A857:A1356,Products!D857:D1356,"Price Missing",0)</f>
        <v>Price Missing</v>
      </c>
      <c r="J857" s="19">
        <f t="shared" si="13"/>
        <v>0</v>
      </c>
    </row>
    <row r="858" spans="1:10" x14ac:dyDescent="0.35">
      <c r="A858" s="4" t="s">
        <v>4878</v>
      </c>
      <c r="B858" s="7" t="s">
        <v>2333</v>
      </c>
      <c r="C858" s="7" t="s">
        <v>3580</v>
      </c>
      <c r="D858" s="5">
        <v>8</v>
      </c>
      <c r="E858" s="7" t="str">
        <f>_xlfn.XLOOKUP(B858,Customers!A858:A1857,Customers!B858:B1857,"Customer Not Found",0)</f>
        <v>Customer Not Found</v>
      </c>
      <c r="F858" s="7" t="str">
        <f>_xlfn.XLOOKUP(Orders!B858,Customers!A858:A1857,Customers!C858:C1857,"Country not Found",0)</f>
        <v>Country not Found</v>
      </c>
      <c r="G858" s="7" t="str">
        <f>_xlfn.XLOOKUP(C858,Products!A858:A1357,Products!B858:B1357,"Product Missing",0)</f>
        <v>Product Missing</v>
      </c>
      <c r="H858" s="7" t="str">
        <f>_xlfn.XLOOKUP(C858,Products!A858:A1357,Products!C858:C1357,"Category Missing",0)</f>
        <v>Category Missing</v>
      </c>
      <c r="I858" s="11" t="str">
        <f>_xlfn.XLOOKUP(Orders!C858,Products!A858:A1357,Products!D858:D1357,"Price Missing",0)</f>
        <v>Price Missing</v>
      </c>
      <c r="J858" s="19">
        <f t="shared" si="13"/>
        <v>0</v>
      </c>
    </row>
    <row r="859" spans="1:10" x14ac:dyDescent="0.35">
      <c r="A859" s="4" t="s">
        <v>4879</v>
      </c>
      <c r="B859" s="7" t="s">
        <v>818</v>
      </c>
      <c r="C859" s="7" t="s">
        <v>3788</v>
      </c>
      <c r="D859" s="5">
        <v>7</v>
      </c>
      <c r="E859" s="7" t="str">
        <f>_xlfn.XLOOKUP(B859,Customers!A859:A1858,Customers!B859:B1858,"Customer Not Found",0)</f>
        <v>Customer Not Found</v>
      </c>
      <c r="F859" s="7" t="str">
        <f>_xlfn.XLOOKUP(Orders!B859,Customers!A859:A1858,Customers!C859:C1858,"Country not Found",0)</f>
        <v>Country not Found</v>
      </c>
      <c r="G859" s="7" t="str">
        <f>_xlfn.XLOOKUP(C859,Products!A859:A1358,Products!B859:B1358,"Product Missing",0)</f>
        <v>Product Missing</v>
      </c>
      <c r="H859" s="7" t="str">
        <f>_xlfn.XLOOKUP(C859,Products!A859:A1358,Products!C859:C1358,"Category Missing",0)</f>
        <v>Category Missing</v>
      </c>
      <c r="I859" s="11" t="str">
        <f>_xlfn.XLOOKUP(Orders!C859,Products!A859:A1358,Products!D859:D1358,"Price Missing",0)</f>
        <v>Price Missing</v>
      </c>
      <c r="J859" s="19">
        <f t="shared" si="13"/>
        <v>0</v>
      </c>
    </row>
    <row r="860" spans="1:10" x14ac:dyDescent="0.35">
      <c r="A860" s="4" t="s">
        <v>4880</v>
      </c>
      <c r="B860" s="7" t="s">
        <v>2528</v>
      </c>
      <c r="C860" s="7" t="s">
        <v>3436</v>
      </c>
      <c r="D860" s="5">
        <v>9</v>
      </c>
      <c r="E860" s="7" t="str">
        <f>_xlfn.XLOOKUP(B860,Customers!A860:A1859,Customers!B860:B1859,"Customer Not Found",0)</f>
        <v>Customer Not Found</v>
      </c>
      <c r="F860" s="7" t="str">
        <f>_xlfn.XLOOKUP(Orders!B860,Customers!A860:A1859,Customers!C860:C1859,"Country not Found",0)</f>
        <v>Country not Found</v>
      </c>
      <c r="G860" s="7" t="str">
        <f>_xlfn.XLOOKUP(C860,Products!A860:A1359,Products!B860:B1359,"Product Missing",0)</f>
        <v>Product Missing</v>
      </c>
      <c r="H860" s="7" t="str">
        <f>_xlfn.XLOOKUP(C860,Products!A860:A1359,Products!C860:C1359,"Category Missing",0)</f>
        <v>Category Missing</v>
      </c>
      <c r="I860" s="11" t="str">
        <f>_xlfn.XLOOKUP(Orders!C860,Products!A860:A1359,Products!D860:D1359,"Price Missing",0)</f>
        <v>Price Missing</v>
      </c>
      <c r="J860" s="19">
        <f t="shared" si="13"/>
        <v>0</v>
      </c>
    </row>
    <row r="861" spans="1:10" x14ac:dyDescent="0.35">
      <c r="A861" s="4" t="s">
        <v>4881</v>
      </c>
      <c r="B861" s="7" t="s">
        <v>698</v>
      </c>
      <c r="C861" s="7" t="s">
        <v>3238</v>
      </c>
      <c r="D861" s="5">
        <v>2</v>
      </c>
      <c r="E861" s="7" t="str">
        <f>_xlfn.XLOOKUP(B861,Customers!A861:A1860,Customers!B861:B1860,"Customer Not Found",0)</f>
        <v>Customer Not Found</v>
      </c>
      <c r="F861" s="7" t="str">
        <f>_xlfn.XLOOKUP(Orders!B861,Customers!A861:A1860,Customers!C861:C1860,"Country not Found",0)</f>
        <v>Country not Found</v>
      </c>
      <c r="G861" s="7" t="str">
        <f>_xlfn.XLOOKUP(C861,Products!A861:A1360,Products!B861:B1360,"Product Missing",0)</f>
        <v>Product Missing</v>
      </c>
      <c r="H861" s="7" t="str">
        <f>_xlfn.XLOOKUP(C861,Products!A861:A1360,Products!C861:C1360,"Category Missing",0)</f>
        <v>Category Missing</v>
      </c>
      <c r="I861" s="11" t="str">
        <f>_xlfn.XLOOKUP(Orders!C861,Products!A861:A1360,Products!D861:D1360,"Price Missing",0)</f>
        <v>Price Missing</v>
      </c>
      <c r="J861" s="19">
        <f t="shared" si="13"/>
        <v>0</v>
      </c>
    </row>
    <row r="862" spans="1:10" x14ac:dyDescent="0.35">
      <c r="A862" s="4" t="s">
        <v>4882</v>
      </c>
      <c r="B862" s="7" t="s">
        <v>92</v>
      </c>
      <c r="C862" s="7" t="s">
        <v>3906</v>
      </c>
      <c r="D862" s="5">
        <v>6</v>
      </c>
      <c r="E862" s="7" t="str">
        <f>_xlfn.XLOOKUP(B862,Customers!A862:A1861,Customers!B862:B1861,"Customer Not Found",0)</f>
        <v>Customer Not Found</v>
      </c>
      <c r="F862" s="7" t="str">
        <f>_xlfn.XLOOKUP(Orders!B862,Customers!A862:A1861,Customers!C862:C1861,"Country not Found",0)</f>
        <v>Country not Found</v>
      </c>
      <c r="G862" s="7" t="str">
        <f>_xlfn.XLOOKUP(C862,Products!A862:A1361,Products!B862:B1361,"Product Missing",0)</f>
        <v>Product Missing</v>
      </c>
      <c r="H862" s="7" t="str">
        <f>_xlfn.XLOOKUP(C862,Products!A862:A1361,Products!C862:C1361,"Category Missing",0)</f>
        <v>Category Missing</v>
      </c>
      <c r="I862" s="11" t="str">
        <f>_xlfn.XLOOKUP(Orders!C862,Products!A862:A1361,Products!D862:D1361,"Price Missing",0)</f>
        <v>Price Missing</v>
      </c>
      <c r="J862" s="19">
        <f t="shared" si="13"/>
        <v>0</v>
      </c>
    </row>
    <row r="863" spans="1:10" x14ac:dyDescent="0.35">
      <c r="A863" s="4" t="s">
        <v>4883</v>
      </c>
      <c r="B863" s="7" t="s">
        <v>1025</v>
      </c>
      <c r="C863" s="7" t="s">
        <v>3594</v>
      </c>
      <c r="D863" s="5">
        <v>7</v>
      </c>
      <c r="E863" s="7" t="str">
        <f>_xlfn.XLOOKUP(B863,Customers!A863:A1862,Customers!B863:B1862,"Customer Not Found",0)</f>
        <v>Customer Not Found</v>
      </c>
      <c r="F863" s="7" t="str">
        <f>_xlfn.XLOOKUP(Orders!B863,Customers!A863:A1862,Customers!C863:C1862,"Country not Found",0)</f>
        <v>Country not Found</v>
      </c>
      <c r="G863" s="7" t="str">
        <f>_xlfn.XLOOKUP(C863,Products!A863:A1362,Products!B863:B1362,"Product Missing",0)</f>
        <v>Product Missing</v>
      </c>
      <c r="H863" s="7" t="str">
        <f>_xlfn.XLOOKUP(C863,Products!A863:A1362,Products!C863:C1362,"Category Missing",0)</f>
        <v>Category Missing</v>
      </c>
      <c r="I863" s="11" t="str">
        <f>_xlfn.XLOOKUP(Orders!C863,Products!A863:A1362,Products!D863:D1362,"Price Missing",0)</f>
        <v>Price Missing</v>
      </c>
      <c r="J863" s="19">
        <f t="shared" si="13"/>
        <v>0</v>
      </c>
    </row>
    <row r="864" spans="1:10" x14ac:dyDescent="0.35">
      <c r="A864" s="4" t="s">
        <v>4884</v>
      </c>
      <c r="B864" s="7" t="s">
        <v>1271</v>
      </c>
      <c r="C864" s="7" t="s">
        <v>3094</v>
      </c>
      <c r="D864" s="5">
        <v>3</v>
      </c>
      <c r="E864" s="7" t="str">
        <f>_xlfn.XLOOKUP(B864,Customers!A864:A1863,Customers!B864:B1863,"Customer Not Found",0)</f>
        <v>Customer Not Found</v>
      </c>
      <c r="F864" s="7" t="str">
        <f>_xlfn.XLOOKUP(Orders!B864,Customers!A864:A1863,Customers!C864:C1863,"Country not Found",0)</f>
        <v>Country not Found</v>
      </c>
      <c r="G864" s="7" t="str">
        <f>_xlfn.XLOOKUP(C864,Products!A864:A1363,Products!B864:B1363,"Product Missing",0)</f>
        <v>Product Missing</v>
      </c>
      <c r="H864" s="7" t="str">
        <f>_xlfn.XLOOKUP(C864,Products!A864:A1363,Products!C864:C1363,"Category Missing",0)</f>
        <v>Category Missing</v>
      </c>
      <c r="I864" s="11" t="str">
        <f>_xlfn.XLOOKUP(Orders!C864,Products!A864:A1363,Products!D864:D1363,"Price Missing",0)</f>
        <v>Price Missing</v>
      </c>
      <c r="J864" s="19">
        <f t="shared" si="13"/>
        <v>0</v>
      </c>
    </row>
    <row r="865" spans="1:10" x14ac:dyDescent="0.35">
      <c r="A865" s="4" t="s">
        <v>4885</v>
      </c>
      <c r="B865" s="7" t="s">
        <v>2900</v>
      </c>
      <c r="C865" s="7" t="s">
        <v>3172</v>
      </c>
      <c r="D865" s="5">
        <v>2</v>
      </c>
      <c r="E865" s="7" t="str">
        <f>_xlfn.XLOOKUP(B865,Customers!A865:A1864,Customers!B865:B1864,"Customer Not Found",0)</f>
        <v>Customer_964</v>
      </c>
      <c r="F865" s="7" t="str">
        <f>_xlfn.XLOOKUP(Orders!B865,Customers!A865:A1864,Customers!C865:C1864,"Country not Found",0)</f>
        <v>Ghana</v>
      </c>
      <c r="G865" s="7" t="str">
        <f>_xlfn.XLOOKUP(C865,Products!A865:A1364,Products!B865:B1364,"Product Missing",0)</f>
        <v>Product Missing</v>
      </c>
      <c r="H865" s="7" t="str">
        <f>_xlfn.XLOOKUP(C865,Products!A865:A1364,Products!C865:C1364,"Category Missing",0)</f>
        <v>Category Missing</v>
      </c>
      <c r="I865" s="11" t="str">
        <f>_xlfn.XLOOKUP(Orders!C865,Products!A865:A1364,Products!D865:D1364,"Price Missing",0)</f>
        <v>Price Missing</v>
      </c>
      <c r="J865" s="19">
        <f t="shared" si="13"/>
        <v>0</v>
      </c>
    </row>
    <row r="866" spans="1:10" x14ac:dyDescent="0.35">
      <c r="A866" s="4" t="s">
        <v>4886</v>
      </c>
      <c r="B866" s="7" t="s">
        <v>2279</v>
      </c>
      <c r="C866" s="7" t="s">
        <v>3902</v>
      </c>
      <c r="D866" s="5">
        <v>8</v>
      </c>
      <c r="E866" s="7" t="str">
        <f>_xlfn.XLOOKUP(B866,Customers!A866:A1865,Customers!B866:B1865,"Customer Not Found",0)</f>
        <v>Customer Not Found</v>
      </c>
      <c r="F866" s="7" t="str">
        <f>_xlfn.XLOOKUP(Orders!B866,Customers!A866:A1865,Customers!C866:C1865,"Country not Found",0)</f>
        <v>Country not Found</v>
      </c>
      <c r="G866" s="7" t="str">
        <f>_xlfn.XLOOKUP(C866,Products!A866:A1365,Products!B866:B1365,"Product Missing",0)</f>
        <v>Product Missing</v>
      </c>
      <c r="H866" s="7" t="str">
        <f>_xlfn.XLOOKUP(C866,Products!A866:A1365,Products!C866:C1365,"Category Missing",0)</f>
        <v>Category Missing</v>
      </c>
      <c r="I866" s="11" t="str">
        <f>_xlfn.XLOOKUP(Orders!C866,Products!A866:A1365,Products!D866:D1365,"Price Missing",0)</f>
        <v>Price Missing</v>
      </c>
      <c r="J866" s="19">
        <f t="shared" si="13"/>
        <v>0</v>
      </c>
    </row>
    <row r="867" spans="1:10" x14ac:dyDescent="0.35">
      <c r="A867" s="4" t="s">
        <v>4887</v>
      </c>
      <c r="B867" s="7" t="s">
        <v>257</v>
      </c>
      <c r="C867" s="7" t="s">
        <v>3320</v>
      </c>
      <c r="D867" s="5">
        <v>8</v>
      </c>
      <c r="E867" s="7" t="str">
        <f>_xlfn.XLOOKUP(B867,Customers!A867:A1866,Customers!B867:B1866,"Customer Not Found",0)</f>
        <v>Customer Not Found</v>
      </c>
      <c r="F867" s="7" t="str">
        <f>_xlfn.XLOOKUP(Orders!B867,Customers!A867:A1866,Customers!C867:C1866,"Country not Found",0)</f>
        <v>Country not Found</v>
      </c>
      <c r="G867" s="7" t="str">
        <f>_xlfn.XLOOKUP(C867,Products!A867:A1366,Products!B867:B1366,"Product Missing",0)</f>
        <v>Product Missing</v>
      </c>
      <c r="H867" s="7" t="str">
        <f>_xlfn.XLOOKUP(C867,Products!A867:A1366,Products!C867:C1366,"Category Missing",0)</f>
        <v>Category Missing</v>
      </c>
      <c r="I867" s="11" t="str">
        <f>_xlfn.XLOOKUP(Orders!C867,Products!A867:A1366,Products!D867:D1366,"Price Missing",0)</f>
        <v>Price Missing</v>
      </c>
      <c r="J867" s="19">
        <f t="shared" si="13"/>
        <v>0</v>
      </c>
    </row>
    <row r="868" spans="1:10" x14ac:dyDescent="0.35">
      <c r="A868" s="4" t="s">
        <v>4888</v>
      </c>
      <c r="B868" s="7" t="s">
        <v>605</v>
      </c>
      <c r="C868" s="7" t="s">
        <v>3222</v>
      </c>
      <c r="D868" s="5">
        <v>2</v>
      </c>
      <c r="E868" s="7" t="str">
        <f>_xlfn.XLOOKUP(B868,Customers!A868:A1867,Customers!B868:B1867,"Customer Not Found",0)</f>
        <v>Customer Not Found</v>
      </c>
      <c r="F868" s="7" t="str">
        <f>_xlfn.XLOOKUP(Orders!B868,Customers!A868:A1867,Customers!C868:C1867,"Country not Found",0)</f>
        <v>Country not Found</v>
      </c>
      <c r="G868" s="7" t="str">
        <f>_xlfn.XLOOKUP(C868,Products!A868:A1367,Products!B868:B1367,"Product Missing",0)</f>
        <v>Product Missing</v>
      </c>
      <c r="H868" s="7" t="str">
        <f>_xlfn.XLOOKUP(C868,Products!A868:A1367,Products!C868:C1367,"Category Missing",0)</f>
        <v>Category Missing</v>
      </c>
      <c r="I868" s="11" t="str">
        <f>_xlfn.XLOOKUP(Orders!C868,Products!A868:A1367,Products!D868:D1367,"Price Missing",0)</f>
        <v>Price Missing</v>
      </c>
      <c r="J868" s="19">
        <f t="shared" si="13"/>
        <v>0</v>
      </c>
    </row>
    <row r="869" spans="1:10" x14ac:dyDescent="0.35">
      <c r="A869" s="4" t="s">
        <v>4889</v>
      </c>
      <c r="B869" s="7" t="s">
        <v>392</v>
      </c>
      <c r="C869" s="7" t="s">
        <v>3654</v>
      </c>
      <c r="D869" s="5">
        <v>7</v>
      </c>
      <c r="E869" s="7" t="str">
        <f>_xlfn.XLOOKUP(B869,Customers!A869:A1868,Customers!B869:B1868,"Customer Not Found",0)</f>
        <v>Customer Not Found</v>
      </c>
      <c r="F869" s="7" t="str">
        <f>_xlfn.XLOOKUP(Orders!B869,Customers!A869:A1868,Customers!C869:C1868,"Country not Found",0)</f>
        <v>Country not Found</v>
      </c>
      <c r="G869" s="7" t="str">
        <f>_xlfn.XLOOKUP(C869,Products!A869:A1368,Products!B869:B1368,"Product Missing",0)</f>
        <v>Product Missing</v>
      </c>
      <c r="H869" s="7" t="str">
        <f>_xlfn.XLOOKUP(C869,Products!A869:A1368,Products!C869:C1368,"Category Missing",0)</f>
        <v>Category Missing</v>
      </c>
      <c r="I869" s="11" t="str">
        <f>_xlfn.XLOOKUP(Orders!C869,Products!A869:A1368,Products!D869:D1368,"Price Missing",0)</f>
        <v>Price Missing</v>
      </c>
      <c r="J869" s="19">
        <f t="shared" si="13"/>
        <v>0</v>
      </c>
    </row>
    <row r="870" spans="1:10" x14ac:dyDescent="0.35">
      <c r="A870" s="4" t="s">
        <v>4890</v>
      </c>
      <c r="B870" s="7" t="s">
        <v>2360</v>
      </c>
      <c r="C870" s="7" t="s">
        <v>3432</v>
      </c>
      <c r="D870" s="5">
        <v>3</v>
      </c>
      <c r="E870" s="7" t="str">
        <f>_xlfn.XLOOKUP(B870,Customers!A870:A1869,Customers!B870:B1869,"Customer Not Found",0)</f>
        <v>Customer Not Found</v>
      </c>
      <c r="F870" s="7" t="str">
        <f>_xlfn.XLOOKUP(Orders!B870,Customers!A870:A1869,Customers!C870:C1869,"Country not Found",0)</f>
        <v>Country not Found</v>
      </c>
      <c r="G870" s="7" t="str">
        <f>_xlfn.XLOOKUP(C870,Products!A870:A1369,Products!B870:B1369,"Product Missing",0)</f>
        <v>Product Missing</v>
      </c>
      <c r="H870" s="7" t="str">
        <f>_xlfn.XLOOKUP(C870,Products!A870:A1369,Products!C870:C1369,"Category Missing",0)</f>
        <v>Category Missing</v>
      </c>
      <c r="I870" s="11" t="str">
        <f>_xlfn.XLOOKUP(Orders!C870,Products!A870:A1369,Products!D870:D1369,"Price Missing",0)</f>
        <v>Price Missing</v>
      </c>
      <c r="J870" s="19">
        <f t="shared" si="13"/>
        <v>0</v>
      </c>
    </row>
    <row r="871" spans="1:10" x14ac:dyDescent="0.35">
      <c r="A871" s="4" t="s">
        <v>4891</v>
      </c>
      <c r="B871" s="7" t="s">
        <v>1079</v>
      </c>
      <c r="C871" s="7" t="s">
        <v>3252</v>
      </c>
      <c r="D871" s="5">
        <v>10</v>
      </c>
      <c r="E871" s="7" t="str">
        <f>_xlfn.XLOOKUP(B871,Customers!A871:A1870,Customers!B871:B1870,"Customer Not Found",0)</f>
        <v>Customer Not Found</v>
      </c>
      <c r="F871" s="7" t="str">
        <f>_xlfn.XLOOKUP(Orders!B871,Customers!A871:A1870,Customers!C871:C1870,"Country not Found",0)</f>
        <v>Country not Found</v>
      </c>
      <c r="G871" s="7" t="str">
        <f>_xlfn.XLOOKUP(C871,Products!A871:A1370,Products!B871:B1370,"Product Missing",0)</f>
        <v>Product Missing</v>
      </c>
      <c r="H871" s="7" t="str">
        <f>_xlfn.XLOOKUP(C871,Products!A871:A1370,Products!C871:C1370,"Category Missing",0)</f>
        <v>Category Missing</v>
      </c>
      <c r="I871" s="11" t="str">
        <f>_xlfn.XLOOKUP(Orders!C871,Products!A871:A1370,Products!D871:D1370,"Price Missing",0)</f>
        <v>Price Missing</v>
      </c>
      <c r="J871" s="19">
        <f t="shared" si="13"/>
        <v>0</v>
      </c>
    </row>
    <row r="872" spans="1:10" x14ac:dyDescent="0.35">
      <c r="A872" s="4" t="s">
        <v>4892</v>
      </c>
      <c r="B872" s="7" t="s">
        <v>2600</v>
      </c>
      <c r="C872" s="7" t="s">
        <v>3590</v>
      </c>
      <c r="D872" s="5">
        <v>2</v>
      </c>
      <c r="E872" s="7" t="str">
        <f>_xlfn.XLOOKUP(B872,Customers!A872:A1871,Customers!B872:B1871,"Customer Not Found",0)</f>
        <v>Customer Not Found</v>
      </c>
      <c r="F872" s="7" t="str">
        <f>_xlfn.XLOOKUP(Orders!B872,Customers!A872:A1871,Customers!C872:C1871,"Country not Found",0)</f>
        <v>Country not Found</v>
      </c>
      <c r="G872" s="7" t="str">
        <f>_xlfn.XLOOKUP(C872,Products!A872:A1371,Products!B872:B1371,"Product Missing",0)</f>
        <v>Product Missing</v>
      </c>
      <c r="H872" s="7" t="str">
        <f>_xlfn.XLOOKUP(C872,Products!A872:A1371,Products!C872:C1371,"Category Missing",0)</f>
        <v>Category Missing</v>
      </c>
      <c r="I872" s="11" t="str">
        <f>_xlfn.XLOOKUP(Orders!C872,Products!A872:A1371,Products!D872:D1371,"Price Missing",0)</f>
        <v>Price Missing</v>
      </c>
      <c r="J872" s="19">
        <f t="shared" si="13"/>
        <v>0</v>
      </c>
    </row>
    <row r="873" spans="1:10" x14ac:dyDescent="0.35">
      <c r="A873" s="4" t="s">
        <v>4893</v>
      </c>
      <c r="B873" s="7" t="s">
        <v>1487</v>
      </c>
      <c r="C873" s="7" t="s">
        <v>3288</v>
      </c>
      <c r="D873" s="5">
        <v>6</v>
      </c>
      <c r="E873" s="7" t="str">
        <f>_xlfn.XLOOKUP(B873,Customers!A873:A1872,Customers!B873:B1872,"Customer Not Found",0)</f>
        <v>Customer Not Found</v>
      </c>
      <c r="F873" s="7" t="str">
        <f>_xlfn.XLOOKUP(Orders!B873,Customers!A873:A1872,Customers!C873:C1872,"Country not Found",0)</f>
        <v>Country not Found</v>
      </c>
      <c r="G873" s="7" t="str">
        <f>_xlfn.XLOOKUP(C873,Products!A873:A1372,Products!B873:B1372,"Product Missing",0)</f>
        <v>Product Missing</v>
      </c>
      <c r="H873" s="7" t="str">
        <f>_xlfn.XLOOKUP(C873,Products!A873:A1372,Products!C873:C1372,"Category Missing",0)</f>
        <v>Category Missing</v>
      </c>
      <c r="I873" s="11" t="str">
        <f>_xlfn.XLOOKUP(Orders!C873,Products!A873:A1372,Products!D873:D1372,"Price Missing",0)</f>
        <v>Price Missing</v>
      </c>
      <c r="J873" s="19">
        <f t="shared" si="13"/>
        <v>0</v>
      </c>
    </row>
    <row r="874" spans="1:10" x14ac:dyDescent="0.35">
      <c r="A874" s="4" t="s">
        <v>4894</v>
      </c>
      <c r="B874" s="7" t="s">
        <v>76</v>
      </c>
      <c r="C874" s="7" t="s">
        <v>3454</v>
      </c>
      <c r="D874" s="5">
        <v>8</v>
      </c>
      <c r="E874" s="7" t="str">
        <f>_xlfn.XLOOKUP(B874,Customers!A874:A1873,Customers!B874:B1873,"Customer Not Found",0)</f>
        <v>Customer Not Found</v>
      </c>
      <c r="F874" s="7" t="str">
        <f>_xlfn.XLOOKUP(Orders!B874,Customers!A874:A1873,Customers!C874:C1873,"Country not Found",0)</f>
        <v>Country not Found</v>
      </c>
      <c r="G874" s="7" t="str">
        <f>_xlfn.XLOOKUP(C874,Products!A874:A1373,Products!B874:B1373,"Product Missing",0)</f>
        <v>Product Missing</v>
      </c>
      <c r="H874" s="7" t="str">
        <f>_xlfn.XLOOKUP(C874,Products!A874:A1373,Products!C874:C1373,"Category Missing",0)</f>
        <v>Category Missing</v>
      </c>
      <c r="I874" s="11" t="str">
        <f>_xlfn.XLOOKUP(Orders!C874,Products!A874:A1373,Products!D874:D1373,"Price Missing",0)</f>
        <v>Price Missing</v>
      </c>
      <c r="J874" s="19">
        <f t="shared" si="13"/>
        <v>0</v>
      </c>
    </row>
    <row r="875" spans="1:10" x14ac:dyDescent="0.35">
      <c r="A875" s="4" t="s">
        <v>4895</v>
      </c>
      <c r="B875" s="7" t="s">
        <v>473</v>
      </c>
      <c r="C875" s="7" t="s">
        <v>3316</v>
      </c>
      <c r="D875" s="5">
        <v>8</v>
      </c>
      <c r="E875" s="7" t="str">
        <f>_xlfn.XLOOKUP(B875,Customers!A875:A1874,Customers!B875:B1874,"Customer Not Found",0)</f>
        <v>Customer Not Found</v>
      </c>
      <c r="F875" s="7" t="str">
        <f>_xlfn.XLOOKUP(Orders!B875,Customers!A875:A1874,Customers!C875:C1874,"Country not Found",0)</f>
        <v>Country not Found</v>
      </c>
      <c r="G875" s="7" t="str">
        <f>_xlfn.XLOOKUP(C875,Products!A875:A1374,Products!B875:B1374,"Product Missing",0)</f>
        <v>Product Missing</v>
      </c>
      <c r="H875" s="7" t="str">
        <f>_xlfn.XLOOKUP(C875,Products!A875:A1374,Products!C875:C1374,"Category Missing",0)</f>
        <v>Category Missing</v>
      </c>
      <c r="I875" s="11" t="str">
        <f>_xlfn.XLOOKUP(Orders!C875,Products!A875:A1374,Products!D875:D1374,"Price Missing",0)</f>
        <v>Price Missing</v>
      </c>
      <c r="J875" s="19">
        <f t="shared" si="13"/>
        <v>0</v>
      </c>
    </row>
    <row r="876" spans="1:10" x14ac:dyDescent="0.35">
      <c r="A876" s="4" t="s">
        <v>4896</v>
      </c>
      <c r="B876" s="7" t="s">
        <v>833</v>
      </c>
      <c r="C876" s="7" t="s">
        <v>3356</v>
      </c>
      <c r="D876" s="5">
        <v>4</v>
      </c>
      <c r="E876" s="7" t="str">
        <f>_xlfn.XLOOKUP(B876,Customers!A876:A1875,Customers!B876:B1875,"Customer Not Found",0)</f>
        <v>Customer Not Found</v>
      </c>
      <c r="F876" s="7" t="str">
        <f>_xlfn.XLOOKUP(Orders!B876,Customers!A876:A1875,Customers!C876:C1875,"Country not Found",0)</f>
        <v>Country not Found</v>
      </c>
      <c r="G876" s="7" t="str">
        <f>_xlfn.XLOOKUP(C876,Products!A876:A1375,Products!B876:B1375,"Product Missing",0)</f>
        <v>Product Missing</v>
      </c>
      <c r="H876" s="7" t="str">
        <f>_xlfn.XLOOKUP(C876,Products!A876:A1375,Products!C876:C1375,"Category Missing",0)</f>
        <v>Category Missing</v>
      </c>
      <c r="I876" s="11" t="str">
        <f>_xlfn.XLOOKUP(Orders!C876,Products!A876:A1375,Products!D876:D1375,"Price Missing",0)</f>
        <v>Price Missing</v>
      </c>
      <c r="J876" s="19">
        <f t="shared" si="13"/>
        <v>0</v>
      </c>
    </row>
    <row r="877" spans="1:10" x14ac:dyDescent="0.35">
      <c r="A877" s="4" t="s">
        <v>4897</v>
      </c>
      <c r="B877" s="7" t="s">
        <v>794</v>
      </c>
      <c r="C877" s="7" t="s">
        <v>3778</v>
      </c>
      <c r="D877" s="5">
        <v>7</v>
      </c>
      <c r="E877" s="7" t="str">
        <f>_xlfn.XLOOKUP(B877,Customers!A877:A1876,Customers!B877:B1876,"Customer Not Found",0)</f>
        <v>Customer Not Found</v>
      </c>
      <c r="F877" s="7" t="str">
        <f>_xlfn.XLOOKUP(Orders!B877,Customers!A877:A1876,Customers!C877:C1876,"Country not Found",0)</f>
        <v>Country not Found</v>
      </c>
      <c r="G877" s="7" t="str">
        <f>_xlfn.XLOOKUP(C877,Products!A877:A1376,Products!B877:B1376,"Product Missing",0)</f>
        <v>Product Missing</v>
      </c>
      <c r="H877" s="7" t="str">
        <f>_xlfn.XLOOKUP(C877,Products!A877:A1376,Products!C877:C1376,"Category Missing",0)</f>
        <v>Category Missing</v>
      </c>
      <c r="I877" s="11" t="str">
        <f>_xlfn.XLOOKUP(Orders!C877,Products!A877:A1376,Products!D877:D1376,"Price Missing",0)</f>
        <v>Price Missing</v>
      </c>
      <c r="J877" s="19">
        <f t="shared" si="13"/>
        <v>0</v>
      </c>
    </row>
    <row r="878" spans="1:10" x14ac:dyDescent="0.35">
      <c r="A878" s="4" t="s">
        <v>4898</v>
      </c>
      <c r="B878" s="7" t="s">
        <v>947</v>
      </c>
      <c r="C878" s="7" t="s">
        <v>3414</v>
      </c>
      <c r="D878" s="5">
        <v>10</v>
      </c>
      <c r="E878" s="7" t="str">
        <f>_xlfn.XLOOKUP(B878,Customers!A878:A1877,Customers!B878:B1877,"Customer Not Found",0)</f>
        <v>Customer Not Found</v>
      </c>
      <c r="F878" s="7" t="str">
        <f>_xlfn.XLOOKUP(Orders!B878,Customers!A878:A1877,Customers!C878:C1877,"Country not Found",0)</f>
        <v>Country not Found</v>
      </c>
      <c r="G878" s="7" t="str">
        <f>_xlfn.XLOOKUP(C878,Products!A878:A1377,Products!B878:B1377,"Product Missing",0)</f>
        <v>Product Missing</v>
      </c>
      <c r="H878" s="7" t="str">
        <f>_xlfn.XLOOKUP(C878,Products!A878:A1377,Products!C878:C1377,"Category Missing",0)</f>
        <v>Category Missing</v>
      </c>
      <c r="I878" s="11" t="str">
        <f>_xlfn.XLOOKUP(Orders!C878,Products!A878:A1377,Products!D878:D1377,"Price Missing",0)</f>
        <v>Price Missing</v>
      </c>
      <c r="J878" s="19">
        <f t="shared" si="13"/>
        <v>0</v>
      </c>
    </row>
    <row r="879" spans="1:10" x14ac:dyDescent="0.35">
      <c r="A879" s="4" t="s">
        <v>4899</v>
      </c>
      <c r="B879" s="7" t="s">
        <v>2528</v>
      </c>
      <c r="C879" s="7" t="s">
        <v>3178</v>
      </c>
      <c r="D879" s="5">
        <v>7</v>
      </c>
      <c r="E879" s="7" t="str">
        <f>_xlfn.XLOOKUP(B879,Customers!A879:A1878,Customers!B879:B1878,"Customer Not Found",0)</f>
        <v>Customer Not Found</v>
      </c>
      <c r="F879" s="7" t="str">
        <f>_xlfn.XLOOKUP(Orders!B879,Customers!A879:A1878,Customers!C879:C1878,"Country not Found",0)</f>
        <v>Country not Found</v>
      </c>
      <c r="G879" s="7" t="str">
        <f>_xlfn.XLOOKUP(C879,Products!A879:A1378,Products!B879:B1378,"Product Missing",0)</f>
        <v>Product Missing</v>
      </c>
      <c r="H879" s="7" t="str">
        <f>_xlfn.XLOOKUP(C879,Products!A879:A1378,Products!C879:C1378,"Category Missing",0)</f>
        <v>Category Missing</v>
      </c>
      <c r="I879" s="11" t="str">
        <f>_xlfn.XLOOKUP(Orders!C879,Products!A879:A1378,Products!D879:D1378,"Price Missing",0)</f>
        <v>Price Missing</v>
      </c>
      <c r="J879" s="19">
        <f t="shared" si="13"/>
        <v>0</v>
      </c>
    </row>
    <row r="880" spans="1:10" x14ac:dyDescent="0.35">
      <c r="A880" s="4" t="s">
        <v>4900</v>
      </c>
      <c r="B880" s="7" t="s">
        <v>1979</v>
      </c>
      <c r="C880" s="7" t="s">
        <v>3200</v>
      </c>
      <c r="D880" s="5">
        <v>4</v>
      </c>
      <c r="E880" s="7" t="str">
        <f>_xlfn.XLOOKUP(B880,Customers!A880:A1879,Customers!B880:B1879,"Customer Not Found",0)</f>
        <v>Customer Not Found</v>
      </c>
      <c r="F880" s="7" t="str">
        <f>_xlfn.XLOOKUP(Orders!B880,Customers!A880:A1879,Customers!C880:C1879,"Country not Found",0)</f>
        <v>Country not Found</v>
      </c>
      <c r="G880" s="7" t="str">
        <f>_xlfn.XLOOKUP(C880,Products!A880:A1379,Products!B880:B1379,"Product Missing",0)</f>
        <v>Product Missing</v>
      </c>
      <c r="H880" s="7" t="str">
        <f>_xlfn.XLOOKUP(C880,Products!A880:A1379,Products!C880:C1379,"Category Missing",0)</f>
        <v>Category Missing</v>
      </c>
      <c r="I880" s="11" t="str">
        <f>_xlfn.XLOOKUP(Orders!C880,Products!A880:A1379,Products!D880:D1379,"Price Missing",0)</f>
        <v>Price Missing</v>
      </c>
      <c r="J880" s="19">
        <f t="shared" si="13"/>
        <v>0</v>
      </c>
    </row>
    <row r="881" spans="1:10" x14ac:dyDescent="0.35">
      <c r="A881" s="4" t="s">
        <v>4901</v>
      </c>
      <c r="B881" s="7" t="s">
        <v>1865</v>
      </c>
      <c r="C881" s="7" t="s">
        <v>3096</v>
      </c>
      <c r="D881" s="5">
        <v>10</v>
      </c>
      <c r="E881" s="7" t="str">
        <f>_xlfn.XLOOKUP(B881,Customers!A881:A1880,Customers!B881:B1880,"Customer Not Found",0)</f>
        <v>Customer Not Found</v>
      </c>
      <c r="F881" s="7" t="str">
        <f>_xlfn.XLOOKUP(Orders!B881,Customers!A881:A1880,Customers!C881:C1880,"Country not Found",0)</f>
        <v>Country not Found</v>
      </c>
      <c r="G881" s="7" t="str">
        <f>_xlfn.XLOOKUP(C881,Products!A881:A1380,Products!B881:B1380,"Product Missing",0)</f>
        <v>Product Missing</v>
      </c>
      <c r="H881" s="7" t="str">
        <f>_xlfn.XLOOKUP(C881,Products!A881:A1380,Products!C881:C1380,"Category Missing",0)</f>
        <v>Category Missing</v>
      </c>
      <c r="I881" s="11" t="str">
        <f>_xlfn.XLOOKUP(Orders!C881,Products!A881:A1380,Products!D881:D1380,"Price Missing",0)</f>
        <v>Price Missing</v>
      </c>
      <c r="J881" s="19">
        <f t="shared" si="13"/>
        <v>0</v>
      </c>
    </row>
    <row r="882" spans="1:10" x14ac:dyDescent="0.35">
      <c r="A882" s="4" t="s">
        <v>4902</v>
      </c>
      <c r="B882" s="7" t="s">
        <v>1127</v>
      </c>
      <c r="C882" s="7" t="s">
        <v>3926</v>
      </c>
      <c r="D882" s="5">
        <v>5</v>
      </c>
      <c r="E882" s="7" t="str">
        <f>_xlfn.XLOOKUP(B882,Customers!A882:A1881,Customers!B882:B1881,"Customer Not Found",0)</f>
        <v>Customer Not Found</v>
      </c>
      <c r="F882" s="7" t="str">
        <f>_xlfn.XLOOKUP(Orders!B882,Customers!A882:A1881,Customers!C882:C1881,"Country not Found",0)</f>
        <v>Country not Found</v>
      </c>
      <c r="G882" s="7" t="str">
        <f>_xlfn.XLOOKUP(C882,Products!A882:A1381,Products!B882:B1381,"Product Missing",0)</f>
        <v>Product Missing</v>
      </c>
      <c r="H882" s="7" t="str">
        <f>_xlfn.XLOOKUP(C882,Products!A882:A1381,Products!C882:C1381,"Category Missing",0)</f>
        <v>Category Missing</v>
      </c>
      <c r="I882" s="11" t="str">
        <f>_xlfn.XLOOKUP(Orders!C882,Products!A882:A1381,Products!D882:D1381,"Price Missing",0)</f>
        <v>Price Missing</v>
      </c>
      <c r="J882" s="19">
        <f t="shared" si="13"/>
        <v>0</v>
      </c>
    </row>
    <row r="883" spans="1:10" x14ac:dyDescent="0.35">
      <c r="A883" s="4" t="s">
        <v>4903</v>
      </c>
      <c r="B883" s="7" t="s">
        <v>2918</v>
      </c>
      <c r="C883" s="7" t="s">
        <v>3800</v>
      </c>
      <c r="D883" s="5">
        <v>2</v>
      </c>
      <c r="E883" s="7" t="str">
        <f>_xlfn.XLOOKUP(B883,Customers!A883:A1882,Customers!B883:B1882,"Customer Not Found",0)</f>
        <v>Customer_970</v>
      </c>
      <c r="F883" s="7" t="str">
        <f>_xlfn.XLOOKUP(Orders!B883,Customers!A883:A1882,Customers!C883:C1882,"Country not Found",0)</f>
        <v>UK</v>
      </c>
      <c r="G883" s="7" t="str">
        <f>_xlfn.XLOOKUP(C883,Products!A883:A1382,Products!B883:B1382,"Product Missing",0)</f>
        <v>Product Missing</v>
      </c>
      <c r="H883" s="7" t="str">
        <f>_xlfn.XLOOKUP(C883,Products!A883:A1382,Products!C883:C1382,"Category Missing",0)</f>
        <v>Category Missing</v>
      </c>
      <c r="I883" s="11" t="str">
        <f>_xlfn.XLOOKUP(Orders!C883,Products!A883:A1382,Products!D883:D1382,"Price Missing",0)</f>
        <v>Price Missing</v>
      </c>
      <c r="J883" s="19">
        <f t="shared" si="13"/>
        <v>0</v>
      </c>
    </row>
    <row r="884" spans="1:10" x14ac:dyDescent="0.35">
      <c r="A884" s="4" t="s">
        <v>4904</v>
      </c>
      <c r="B884" s="7" t="s">
        <v>1208</v>
      </c>
      <c r="C884" s="7" t="s">
        <v>3900</v>
      </c>
      <c r="D884" s="5">
        <v>2</v>
      </c>
      <c r="E884" s="7" t="str">
        <f>_xlfn.XLOOKUP(B884,Customers!A884:A1883,Customers!B884:B1883,"Customer Not Found",0)</f>
        <v>Customer Not Found</v>
      </c>
      <c r="F884" s="7" t="str">
        <f>_xlfn.XLOOKUP(Orders!B884,Customers!A884:A1883,Customers!C884:C1883,"Country not Found",0)</f>
        <v>Country not Found</v>
      </c>
      <c r="G884" s="7" t="str">
        <f>_xlfn.XLOOKUP(C884,Products!A884:A1383,Products!B884:B1383,"Product Missing",0)</f>
        <v>Product Missing</v>
      </c>
      <c r="H884" s="7" t="str">
        <f>_xlfn.XLOOKUP(C884,Products!A884:A1383,Products!C884:C1383,"Category Missing",0)</f>
        <v>Category Missing</v>
      </c>
      <c r="I884" s="11" t="str">
        <f>_xlfn.XLOOKUP(Orders!C884,Products!A884:A1383,Products!D884:D1383,"Price Missing",0)</f>
        <v>Price Missing</v>
      </c>
      <c r="J884" s="19">
        <f t="shared" si="13"/>
        <v>0</v>
      </c>
    </row>
    <row r="885" spans="1:10" x14ac:dyDescent="0.35">
      <c r="A885" s="4" t="s">
        <v>4905</v>
      </c>
      <c r="B885" s="7" t="s">
        <v>1445</v>
      </c>
      <c r="C885" s="7" t="s">
        <v>3818</v>
      </c>
      <c r="D885" s="5">
        <v>3</v>
      </c>
      <c r="E885" s="7" t="str">
        <f>_xlfn.XLOOKUP(B885,Customers!A885:A1884,Customers!B885:B1884,"Customer Not Found",0)</f>
        <v>Customer Not Found</v>
      </c>
      <c r="F885" s="7" t="str">
        <f>_xlfn.XLOOKUP(Orders!B885,Customers!A885:A1884,Customers!C885:C1884,"Country not Found",0)</f>
        <v>Country not Found</v>
      </c>
      <c r="G885" s="7" t="str">
        <f>_xlfn.XLOOKUP(C885,Products!A885:A1384,Products!B885:B1384,"Product Missing",0)</f>
        <v>Product Missing</v>
      </c>
      <c r="H885" s="7" t="str">
        <f>_xlfn.XLOOKUP(C885,Products!A885:A1384,Products!C885:C1384,"Category Missing",0)</f>
        <v>Category Missing</v>
      </c>
      <c r="I885" s="11" t="str">
        <f>_xlfn.XLOOKUP(Orders!C885,Products!A885:A1384,Products!D885:D1384,"Price Missing",0)</f>
        <v>Price Missing</v>
      </c>
      <c r="J885" s="19">
        <f t="shared" si="13"/>
        <v>0</v>
      </c>
    </row>
    <row r="886" spans="1:10" x14ac:dyDescent="0.35">
      <c r="A886" s="4" t="s">
        <v>4906</v>
      </c>
      <c r="B886" s="7" t="s">
        <v>2651</v>
      </c>
      <c r="C886" s="7" t="s">
        <v>3924</v>
      </c>
      <c r="D886" s="5">
        <v>8</v>
      </c>
      <c r="E886" s="7" t="str">
        <f>_xlfn.XLOOKUP(B886,Customers!A886:A1885,Customers!B886:B1885,"Customer Not Found",0)</f>
        <v>Customer Not Found</v>
      </c>
      <c r="F886" s="7" t="str">
        <f>_xlfn.XLOOKUP(Orders!B886,Customers!A886:A1885,Customers!C886:C1885,"Country not Found",0)</f>
        <v>Country not Found</v>
      </c>
      <c r="G886" s="7" t="str">
        <f>_xlfn.XLOOKUP(C886,Products!A886:A1385,Products!B886:B1385,"Product Missing",0)</f>
        <v>Product Missing</v>
      </c>
      <c r="H886" s="7" t="str">
        <f>_xlfn.XLOOKUP(C886,Products!A886:A1385,Products!C886:C1385,"Category Missing",0)</f>
        <v>Category Missing</v>
      </c>
      <c r="I886" s="11" t="str">
        <f>_xlfn.XLOOKUP(Orders!C886,Products!A886:A1385,Products!D886:D1385,"Price Missing",0)</f>
        <v>Price Missing</v>
      </c>
      <c r="J886" s="19">
        <f t="shared" si="13"/>
        <v>0</v>
      </c>
    </row>
    <row r="887" spans="1:10" x14ac:dyDescent="0.35">
      <c r="A887" s="4" t="s">
        <v>4907</v>
      </c>
      <c r="B887" s="7" t="s">
        <v>1424</v>
      </c>
      <c r="C887" s="7" t="s">
        <v>3388</v>
      </c>
      <c r="D887" s="5">
        <v>3</v>
      </c>
      <c r="E887" s="7" t="str">
        <f>_xlfn.XLOOKUP(B887,Customers!A887:A1886,Customers!B887:B1886,"Customer Not Found",0)</f>
        <v>Customer Not Found</v>
      </c>
      <c r="F887" s="7" t="str">
        <f>_xlfn.XLOOKUP(Orders!B887,Customers!A887:A1886,Customers!C887:C1886,"Country not Found",0)</f>
        <v>Country not Found</v>
      </c>
      <c r="G887" s="7" t="str">
        <f>_xlfn.XLOOKUP(C887,Products!A887:A1386,Products!B887:B1386,"Product Missing",0)</f>
        <v>Product Missing</v>
      </c>
      <c r="H887" s="7" t="str">
        <f>_xlfn.XLOOKUP(C887,Products!A887:A1386,Products!C887:C1386,"Category Missing",0)</f>
        <v>Category Missing</v>
      </c>
      <c r="I887" s="11" t="str">
        <f>_xlfn.XLOOKUP(Orders!C887,Products!A887:A1386,Products!D887:D1386,"Price Missing",0)</f>
        <v>Price Missing</v>
      </c>
      <c r="J887" s="19">
        <f t="shared" si="13"/>
        <v>0</v>
      </c>
    </row>
    <row r="888" spans="1:10" x14ac:dyDescent="0.35">
      <c r="A888" s="4" t="s">
        <v>4908</v>
      </c>
      <c r="B888" s="7" t="s">
        <v>992</v>
      </c>
      <c r="C888" s="7" t="s">
        <v>3556</v>
      </c>
      <c r="D888" s="5">
        <v>5</v>
      </c>
      <c r="E888" s="7" t="str">
        <f>_xlfn.XLOOKUP(B888,Customers!A888:A1887,Customers!B888:B1887,"Customer Not Found",0)</f>
        <v>Customer Not Found</v>
      </c>
      <c r="F888" s="7" t="str">
        <f>_xlfn.XLOOKUP(Orders!B888,Customers!A888:A1887,Customers!C888:C1887,"Country not Found",0)</f>
        <v>Country not Found</v>
      </c>
      <c r="G888" s="7" t="str">
        <f>_xlfn.XLOOKUP(C888,Products!A888:A1387,Products!B888:B1387,"Product Missing",0)</f>
        <v>Product Missing</v>
      </c>
      <c r="H888" s="7" t="str">
        <f>_xlfn.XLOOKUP(C888,Products!A888:A1387,Products!C888:C1387,"Category Missing",0)</f>
        <v>Category Missing</v>
      </c>
      <c r="I888" s="11" t="str">
        <f>_xlfn.XLOOKUP(Orders!C888,Products!A888:A1387,Products!D888:D1387,"Price Missing",0)</f>
        <v>Price Missing</v>
      </c>
      <c r="J888" s="19">
        <f t="shared" si="13"/>
        <v>0</v>
      </c>
    </row>
    <row r="889" spans="1:10" x14ac:dyDescent="0.35">
      <c r="A889" s="4" t="s">
        <v>4909</v>
      </c>
      <c r="B889" s="7" t="s">
        <v>1622</v>
      </c>
      <c r="C889" s="7" t="s">
        <v>3876</v>
      </c>
      <c r="D889" s="5">
        <v>10</v>
      </c>
      <c r="E889" s="7" t="str">
        <f>_xlfn.XLOOKUP(B889,Customers!A889:A1888,Customers!B889:B1888,"Customer Not Found",0)</f>
        <v>Customer Not Found</v>
      </c>
      <c r="F889" s="7" t="str">
        <f>_xlfn.XLOOKUP(Orders!B889,Customers!A889:A1888,Customers!C889:C1888,"Country not Found",0)</f>
        <v>Country not Found</v>
      </c>
      <c r="G889" s="7" t="str">
        <f>_xlfn.XLOOKUP(C889,Products!A889:A1388,Products!B889:B1388,"Product Missing",0)</f>
        <v>Product Missing</v>
      </c>
      <c r="H889" s="7" t="str">
        <f>_xlfn.XLOOKUP(C889,Products!A889:A1388,Products!C889:C1388,"Category Missing",0)</f>
        <v>Category Missing</v>
      </c>
      <c r="I889" s="11" t="str">
        <f>_xlfn.XLOOKUP(Orders!C889,Products!A889:A1388,Products!D889:D1388,"Price Missing",0)</f>
        <v>Price Missing</v>
      </c>
      <c r="J889" s="19">
        <f t="shared" si="13"/>
        <v>0</v>
      </c>
    </row>
    <row r="890" spans="1:10" x14ac:dyDescent="0.35">
      <c r="A890" s="4" t="s">
        <v>4910</v>
      </c>
      <c r="B890" s="7" t="s">
        <v>1838</v>
      </c>
      <c r="C890" s="7" t="s">
        <v>3874</v>
      </c>
      <c r="D890" s="5">
        <v>6</v>
      </c>
      <c r="E890" s="7" t="str">
        <f>_xlfn.XLOOKUP(B890,Customers!A890:A1889,Customers!B890:B1889,"Customer Not Found",0)</f>
        <v>Customer Not Found</v>
      </c>
      <c r="F890" s="7" t="str">
        <f>_xlfn.XLOOKUP(Orders!B890,Customers!A890:A1889,Customers!C890:C1889,"Country not Found",0)</f>
        <v>Country not Found</v>
      </c>
      <c r="G890" s="7" t="str">
        <f>_xlfn.XLOOKUP(C890,Products!A890:A1389,Products!B890:B1389,"Product Missing",0)</f>
        <v>Product Missing</v>
      </c>
      <c r="H890" s="7" t="str">
        <f>_xlfn.XLOOKUP(C890,Products!A890:A1389,Products!C890:C1389,"Category Missing",0)</f>
        <v>Category Missing</v>
      </c>
      <c r="I890" s="11" t="str">
        <f>_xlfn.XLOOKUP(Orders!C890,Products!A890:A1389,Products!D890:D1389,"Price Missing",0)</f>
        <v>Price Missing</v>
      </c>
      <c r="J890" s="19">
        <f t="shared" si="13"/>
        <v>0</v>
      </c>
    </row>
    <row r="891" spans="1:10" x14ac:dyDescent="0.35">
      <c r="A891" s="4" t="s">
        <v>4911</v>
      </c>
      <c r="B891" s="7" t="s">
        <v>2147</v>
      </c>
      <c r="C891" s="7" t="s">
        <v>3790</v>
      </c>
      <c r="D891" s="5">
        <v>8</v>
      </c>
      <c r="E891" s="7" t="str">
        <f>_xlfn.XLOOKUP(B891,Customers!A891:A1890,Customers!B891:B1890,"Customer Not Found",0)</f>
        <v>Customer Not Found</v>
      </c>
      <c r="F891" s="7" t="str">
        <f>_xlfn.XLOOKUP(Orders!B891,Customers!A891:A1890,Customers!C891:C1890,"Country not Found",0)</f>
        <v>Country not Found</v>
      </c>
      <c r="G891" s="7" t="str">
        <f>_xlfn.XLOOKUP(C891,Products!A891:A1390,Products!B891:B1390,"Product Missing",0)</f>
        <v>Product Missing</v>
      </c>
      <c r="H891" s="7" t="str">
        <f>_xlfn.XLOOKUP(C891,Products!A891:A1390,Products!C891:C1390,"Category Missing",0)</f>
        <v>Category Missing</v>
      </c>
      <c r="I891" s="11" t="str">
        <f>_xlfn.XLOOKUP(Orders!C891,Products!A891:A1390,Products!D891:D1390,"Price Missing",0)</f>
        <v>Price Missing</v>
      </c>
      <c r="J891" s="19">
        <f t="shared" si="13"/>
        <v>0</v>
      </c>
    </row>
    <row r="892" spans="1:10" x14ac:dyDescent="0.35">
      <c r="A892" s="4" t="s">
        <v>4912</v>
      </c>
      <c r="B892" s="7" t="s">
        <v>470</v>
      </c>
      <c r="C892" s="7" t="s">
        <v>3580</v>
      </c>
      <c r="D892" s="5">
        <v>4</v>
      </c>
      <c r="E892" s="7" t="str">
        <f>_xlfn.XLOOKUP(B892,Customers!A892:A1891,Customers!B892:B1891,"Customer Not Found",0)</f>
        <v>Customer Not Found</v>
      </c>
      <c r="F892" s="7" t="str">
        <f>_xlfn.XLOOKUP(Orders!B892,Customers!A892:A1891,Customers!C892:C1891,"Country not Found",0)</f>
        <v>Country not Found</v>
      </c>
      <c r="G892" s="7" t="str">
        <f>_xlfn.XLOOKUP(C892,Products!A892:A1391,Products!B892:B1391,"Product Missing",0)</f>
        <v>Product Missing</v>
      </c>
      <c r="H892" s="7" t="str">
        <f>_xlfn.XLOOKUP(C892,Products!A892:A1391,Products!C892:C1391,"Category Missing",0)</f>
        <v>Category Missing</v>
      </c>
      <c r="I892" s="11" t="str">
        <f>_xlfn.XLOOKUP(Orders!C892,Products!A892:A1391,Products!D892:D1391,"Price Missing",0)</f>
        <v>Price Missing</v>
      </c>
      <c r="J892" s="19">
        <f t="shared" si="13"/>
        <v>0</v>
      </c>
    </row>
    <row r="893" spans="1:10" x14ac:dyDescent="0.35">
      <c r="A893" s="4" t="s">
        <v>4913</v>
      </c>
      <c r="B893" s="7" t="s">
        <v>2207</v>
      </c>
      <c r="C893" s="7" t="s">
        <v>3454</v>
      </c>
      <c r="D893" s="5">
        <v>10</v>
      </c>
      <c r="E893" s="7" t="str">
        <f>_xlfn.XLOOKUP(B893,Customers!A893:A1892,Customers!B893:B1892,"Customer Not Found",0)</f>
        <v>Customer Not Found</v>
      </c>
      <c r="F893" s="7" t="str">
        <f>_xlfn.XLOOKUP(Orders!B893,Customers!A893:A1892,Customers!C893:C1892,"Country not Found",0)</f>
        <v>Country not Found</v>
      </c>
      <c r="G893" s="7" t="str">
        <f>_xlfn.XLOOKUP(C893,Products!A893:A1392,Products!B893:B1392,"Product Missing",0)</f>
        <v>Product Missing</v>
      </c>
      <c r="H893" s="7" t="str">
        <f>_xlfn.XLOOKUP(C893,Products!A893:A1392,Products!C893:C1392,"Category Missing",0)</f>
        <v>Category Missing</v>
      </c>
      <c r="I893" s="11" t="str">
        <f>_xlfn.XLOOKUP(Orders!C893,Products!A893:A1392,Products!D893:D1392,"Price Missing",0)</f>
        <v>Price Missing</v>
      </c>
      <c r="J893" s="19">
        <f t="shared" si="13"/>
        <v>0</v>
      </c>
    </row>
    <row r="894" spans="1:10" x14ac:dyDescent="0.35">
      <c r="A894" s="4" t="s">
        <v>4914</v>
      </c>
      <c r="B894" s="7" t="s">
        <v>2795</v>
      </c>
      <c r="C894" s="7" t="s">
        <v>3748</v>
      </c>
      <c r="D894" s="5">
        <v>3</v>
      </c>
      <c r="E894" s="7" t="str">
        <f>_xlfn.XLOOKUP(B894,Customers!A894:A1893,Customers!B894:B1893,"Customer Not Found",0)</f>
        <v>Customer_929</v>
      </c>
      <c r="F894" s="7" t="str">
        <f>_xlfn.XLOOKUP(Orders!B894,Customers!A894:A1893,Customers!C894:C1893,"Country not Found",0)</f>
        <v>Kenya</v>
      </c>
      <c r="G894" s="7" t="str">
        <f>_xlfn.XLOOKUP(C894,Products!A894:A1393,Products!B894:B1393,"Product Missing",0)</f>
        <v>Product Missing</v>
      </c>
      <c r="H894" s="7" t="str">
        <f>_xlfn.XLOOKUP(C894,Products!A894:A1393,Products!C894:C1393,"Category Missing",0)</f>
        <v>Category Missing</v>
      </c>
      <c r="I894" s="11" t="str">
        <f>_xlfn.XLOOKUP(Orders!C894,Products!A894:A1393,Products!D894:D1393,"Price Missing",0)</f>
        <v>Price Missing</v>
      </c>
      <c r="J894" s="19">
        <f t="shared" si="13"/>
        <v>0</v>
      </c>
    </row>
    <row r="895" spans="1:10" x14ac:dyDescent="0.35">
      <c r="A895" s="4" t="s">
        <v>4915</v>
      </c>
      <c r="B895" s="7" t="s">
        <v>539</v>
      </c>
      <c r="C895" s="7" t="s">
        <v>3392</v>
      </c>
      <c r="D895" s="5">
        <v>9</v>
      </c>
      <c r="E895" s="7" t="str">
        <f>_xlfn.XLOOKUP(B895,Customers!A895:A1894,Customers!B895:B1894,"Customer Not Found",0)</f>
        <v>Customer Not Found</v>
      </c>
      <c r="F895" s="7" t="str">
        <f>_xlfn.XLOOKUP(Orders!B895,Customers!A895:A1894,Customers!C895:C1894,"Country not Found",0)</f>
        <v>Country not Found</v>
      </c>
      <c r="G895" s="7" t="str">
        <f>_xlfn.XLOOKUP(C895,Products!A895:A1394,Products!B895:B1394,"Product Missing",0)</f>
        <v>Product Missing</v>
      </c>
      <c r="H895" s="7" t="str">
        <f>_xlfn.XLOOKUP(C895,Products!A895:A1394,Products!C895:C1394,"Category Missing",0)</f>
        <v>Category Missing</v>
      </c>
      <c r="I895" s="11" t="str">
        <f>_xlfn.XLOOKUP(Orders!C895,Products!A895:A1394,Products!D895:D1394,"Price Missing",0)</f>
        <v>Price Missing</v>
      </c>
      <c r="J895" s="19">
        <f t="shared" si="13"/>
        <v>0</v>
      </c>
    </row>
    <row r="896" spans="1:10" x14ac:dyDescent="0.35">
      <c r="A896" s="4" t="s">
        <v>4916</v>
      </c>
      <c r="B896" s="7" t="s">
        <v>1370</v>
      </c>
      <c r="C896" s="7" t="s">
        <v>3404</v>
      </c>
      <c r="D896" s="5">
        <v>6</v>
      </c>
      <c r="E896" s="7" t="str">
        <f>_xlfn.XLOOKUP(B896,Customers!A896:A1895,Customers!B896:B1895,"Customer Not Found",0)</f>
        <v>Customer Not Found</v>
      </c>
      <c r="F896" s="7" t="str">
        <f>_xlfn.XLOOKUP(Orders!B896,Customers!A896:A1895,Customers!C896:C1895,"Country not Found",0)</f>
        <v>Country not Found</v>
      </c>
      <c r="G896" s="7" t="str">
        <f>_xlfn.XLOOKUP(C896,Products!A896:A1395,Products!B896:B1395,"Product Missing",0)</f>
        <v>Product Missing</v>
      </c>
      <c r="H896" s="7" t="str">
        <f>_xlfn.XLOOKUP(C896,Products!A896:A1395,Products!C896:C1395,"Category Missing",0)</f>
        <v>Category Missing</v>
      </c>
      <c r="I896" s="11" t="str">
        <f>_xlfn.XLOOKUP(Orders!C896,Products!A896:A1395,Products!D896:D1395,"Price Missing",0)</f>
        <v>Price Missing</v>
      </c>
      <c r="J896" s="19">
        <f t="shared" si="13"/>
        <v>0</v>
      </c>
    </row>
    <row r="897" spans="1:10" x14ac:dyDescent="0.35">
      <c r="A897" s="4" t="s">
        <v>4917</v>
      </c>
      <c r="B897" s="7" t="s">
        <v>1589</v>
      </c>
      <c r="C897" s="7" t="s">
        <v>3878</v>
      </c>
      <c r="D897" s="5">
        <v>5</v>
      </c>
      <c r="E897" s="7" t="str">
        <f>_xlfn.XLOOKUP(B897,Customers!A897:A1896,Customers!B897:B1896,"Customer Not Found",0)</f>
        <v>Customer Not Found</v>
      </c>
      <c r="F897" s="7" t="str">
        <f>_xlfn.XLOOKUP(Orders!B897,Customers!A897:A1896,Customers!C897:C1896,"Country not Found",0)</f>
        <v>Country not Found</v>
      </c>
      <c r="G897" s="7" t="str">
        <f>_xlfn.XLOOKUP(C897,Products!A897:A1396,Products!B897:B1396,"Product Missing",0)</f>
        <v>Product Missing</v>
      </c>
      <c r="H897" s="7" t="str">
        <f>_xlfn.XLOOKUP(C897,Products!A897:A1396,Products!C897:C1396,"Category Missing",0)</f>
        <v>Category Missing</v>
      </c>
      <c r="I897" s="11" t="str">
        <f>_xlfn.XLOOKUP(Orders!C897,Products!A897:A1396,Products!D897:D1396,"Price Missing",0)</f>
        <v>Price Missing</v>
      </c>
      <c r="J897" s="19">
        <f t="shared" si="13"/>
        <v>0</v>
      </c>
    </row>
    <row r="898" spans="1:10" x14ac:dyDescent="0.35">
      <c r="A898" s="4" t="s">
        <v>4918</v>
      </c>
      <c r="B898" s="7" t="s">
        <v>2852</v>
      </c>
      <c r="C898" s="7" t="s">
        <v>3078</v>
      </c>
      <c r="D898" s="5">
        <v>1</v>
      </c>
      <c r="E898" s="7" t="str">
        <f>_xlfn.XLOOKUP(B898,Customers!A898:A1897,Customers!B898:B1897,"Customer Not Found",0)</f>
        <v>Customer_948</v>
      </c>
      <c r="F898" s="7" t="str">
        <f>_xlfn.XLOOKUP(Orders!B898,Customers!A898:A1897,Customers!C898:C1897,"Country not Found",0)</f>
        <v>USA</v>
      </c>
      <c r="G898" s="7" t="str">
        <f>_xlfn.XLOOKUP(C898,Products!A898:A1397,Products!B898:B1397,"Product Missing",0)</f>
        <v>Product Missing</v>
      </c>
      <c r="H898" s="7" t="str">
        <f>_xlfn.XLOOKUP(C898,Products!A898:A1397,Products!C898:C1397,"Category Missing",0)</f>
        <v>Category Missing</v>
      </c>
      <c r="I898" s="11" t="str">
        <f>_xlfn.XLOOKUP(Orders!C898,Products!A898:A1397,Products!D898:D1397,"Price Missing",0)</f>
        <v>Price Missing</v>
      </c>
      <c r="J898" s="19">
        <f t="shared" si="13"/>
        <v>0</v>
      </c>
    </row>
    <row r="899" spans="1:10" x14ac:dyDescent="0.35">
      <c r="A899" s="4" t="s">
        <v>4919</v>
      </c>
      <c r="B899" s="7" t="s">
        <v>2204</v>
      </c>
      <c r="C899" s="7" t="s">
        <v>3482</v>
      </c>
      <c r="D899" s="5">
        <v>8</v>
      </c>
      <c r="E899" s="7" t="str">
        <f>_xlfn.XLOOKUP(B899,Customers!A899:A1898,Customers!B899:B1898,"Customer Not Found",0)</f>
        <v>Customer Not Found</v>
      </c>
      <c r="F899" s="7" t="str">
        <f>_xlfn.XLOOKUP(Orders!B899,Customers!A899:A1898,Customers!C899:C1898,"Country not Found",0)</f>
        <v>Country not Found</v>
      </c>
      <c r="G899" s="7" t="str">
        <f>_xlfn.XLOOKUP(C899,Products!A899:A1398,Products!B899:B1398,"Product Missing",0)</f>
        <v>Product Missing</v>
      </c>
      <c r="H899" s="7" t="str">
        <f>_xlfn.XLOOKUP(C899,Products!A899:A1398,Products!C899:C1398,"Category Missing",0)</f>
        <v>Category Missing</v>
      </c>
      <c r="I899" s="11" t="str">
        <f>_xlfn.XLOOKUP(Orders!C899,Products!A899:A1398,Products!D899:D1398,"Price Missing",0)</f>
        <v>Price Missing</v>
      </c>
      <c r="J899" s="19">
        <f t="shared" ref="J899:J962" si="14">IFERROR(I899*D899,0)</f>
        <v>0</v>
      </c>
    </row>
    <row r="900" spans="1:10" x14ac:dyDescent="0.35">
      <c r="A900" s="4" t="s">
        <v>4920</v>
      </c>
      <c r="B900" s="7" t="s">
        <v>2051</v>
      </c>
      <c r="C900" s="7" t="s">
        <v>3858</v>
      </c>
      <c r="D900" s="5">
        <v>1</v>
      </c>
      <c r="E900" s="7" t="str">
        <f>_xlfn.XLOOKUP(B900,Customers!A900:A1899,Customers!B900:B1899,"Customer Not Found",0)</f>
        <v>Customer Not Found</v>
      </c>
      <c r="F900" s="7" t="str">
        <f>_xlfn.XLOOKUP(Orders!B900,Customers!A900:A1899,Customers!C900:C1899,"Country not Found",0)</f>
        <v>Country not Found</v>
      </c>
      <c r="G900" s="7" t="str">
        <f>_xlfn.XLOOKUP(C900,Products!A900:A1399,Products!B900:B1399,"Product Missing",0)</f>
        <v>Product Missing</v>
      </c>
      <c r="H900" s="7" t="str">
        <f>_xlfn.XLOOKUP(C900,Products!A900:A1399,Products!C900:C1399,"Category Missing",0)</f>
        <v>Category Missing</v>
      </c>
      <c r="I900" s="11" t="str">
        <f>_xlfn.XLOOKUP(Orders!C900,Products!A900:A1399,Products!D900:D1399,"Price Missing",0)</f>
        <v>Price Missing</v>
      </c>
      <c r="J900" s="19">
        <f t="shared" si="14"/>
        <v>0</v>
      </c>
    </row>
    <row r="901" spans="1:10" x14ac:dyDescent="0.35">
      <c r="A901" s="4" t="s">
        <v>4921</v>
      </c>
      <c r="B901" s="7" t="s">
        <v>2873</v>
      </c>
      <c r="C901" s="7" t="s">
        <v>3140</v>
      </c>
      <c r="D901" s="5">
        <v>1</v>
      </c>
      <c r="E901" s="7" t="str">
        <f>_xlfn.XLOOKUP(B901,Customers!A901:A1900,Customers!B901:B1900,"Customer Not Found",0)</f>
        <v>Customer_955</v>
      </c>
      <c r="F901" s="7" t="str">
        <f>_xlfn.XLOOKUP(Orders!B901,Customers!A901:A1900,Customers!C901:C1900,"Country not Found",0)</f>
        <v>USA</v>
      </c>
      <c r="G901" s="7" t="str">
        <f>_xlfn.XLOOKUP(C901,Products!A901:A1400,Products!B901:B1400,"Product Missing",0)</f>
        <v>Product Missing</v>
      </c>
      <c r="H901" s="7" t="str">
        <f>_xlfn.XLOOKUP(C901,Products!A901:A1400,Products!C901:C1400,"Category Missing",0)</f>
        <v>Category Missing</v>
      </c>
      <c r="I901" s="11" t="str">
        <f>_xlfn.XLOOKUP(Orders!C901,Products!A901:A1400,Products!D901:D1400,"Price Missing",0)</f>
        <v>Price Missing</v>
      </c>
      <c r="J901" s="19">
        <f t="shared" si="14"/>
        <v>0</v>
      </c>
    </row>
    <row r="902" spans="1:10" x14ac:dyDescent="0.35">
      <c r="A902" s="4" t="s">
        <v>4922</v>
      </c>
      <c r="B902" s="7" t="s">
        <v>1646</v>
      </c>
      <c r="C902" s="7" t="s">
        <v>3970</v>
      </c>
      <c r="D902" s="5">
        <v>4</v>
      </c>
      <c r="E902" s="7" t="str">
        <f>_xlfn.XLOOKUP(B902,Customers!A902:A1901,Customers!B902:B1901,"Customer Not Found",0)</f>
        <v>Customer Not Found</v>
      </c>
      <c r="F902" s="7" t="str">
        <f>_xlfn.XLOOKUP(Orders!B902,Customers!A902:A1901,Customers!C902:C1901,"Country not Found",0)</f>
        <v>Country not Found</v>
      </c>
      <c r="G902" s="7" t="str">
        <f>_xlfn.XLOOKUP(C902,Products!A902:A1401,Products!B902:B1401,"Product Missing",0)</f>
        <v>Product Missing</v>
      </c>
      <c r="H902" s="7" t="str">
        <f>_xlfn.XLOOKUP(C902,Products!A902:A1401,Products!C902:C1401,"Category Missing",0)</f>
        <v>Category Missing</v>
      </c>
      <c r="I902" s="11" t="str">
        <f>_xlfn.XLOOKUP(Orders!C902,Products!A902:A1401,Products!D902:D1401,"Price Missing",0)</f>
        <v>Price Missing</v>
      </c>
      <c r="J902" s="19">
        <f t="shared" si="14"/>
        <v>0</v>
      </c>
    </row>
    <row r="903" spans="1:10" x14ac:dyDescent="0.35">
      <c r="A903" s="4" t="s">
        <v>4923</v>
      </c>
      <c r="B903" s="7" t="s">
        <v>2303</v>
      </c>
      <c r="C903" s="7" t="s">
        <v>3776</v>
      </c>
      <c r="D903" s="5">
        <v>8</v>
      </c>
      <c r="E903" s="7" t="str">
        <f>_xlfn.XLOOKUP(B903,Customers!A903:A1902,Customers!B903:B1902,"Customer Not Found",0)</f>
        <v>Customer Not Found</v>
      </c>
      <c r="F903" s="7" t="str">
        <f>_xlfn.XLOOKUP(Orders!B903,Customers!A903:A1902,Customers!C903:C1902,"Country not Found",0)</f>
        <v>Country not Found</v>
      </c>
      <c r="G903" s="7" t="str">
        <f>_xlfn.XLOOKUP(C903,Products!A903:A1402,Products!B903:B1402,"Product Missing",0)</f>
        <v>Product Missing</v>
      </c>
      <c r="H903" s="7" t="str">
        <f>_xlfn.XLOOKUP(C903,Products!A903:A1402,Products!C903:C1402,"Category Missing",0)</f>
        <v>Category Missing</v>
      </c>
      <c r="I903" s="11" t="str">
        <f>_xlfn.XLOOKUP(Orders!C903,Products!A903:A1402,Products!D903:D1402,"Price Missing",0)</f>
        <v>Price Missing</v>
      </c>
      <c r="J903" s="19">
        <f t="shared" si="14"/>
        <v>0</v>
      </c>
    </row>
    <row r="904" spans="1:10" x14ac:dyDescent="0.35">
      <c r="A904" s="4" t="s">
        <v>4924</v>
      </c>
      <c r="B904" s="7" t="s">
        <v>1382</v>
      </c>
      <c r="C904" s="7" t="s">
        <v>3766</v>
      </c>
      <c r="D904" s="5">
        <v>5</v>
      </c>
      <c r="E904" s="7" t="str">
        <f>_xlfn.XLOOKUP(B904,Customers!A904:A1903,Customers!B904:B1903,"Customer Not Found",0)</f>
        <v>Customer Not Found</v>
      </c>
      <c r="F904" s="7" t="str">
        <f>_xlfn.XLOOKUP(Orders!B904,Customers!A904:A1903,Customers!C904:C1903,"Country not Found",0)</f>
        <v>Country not Found</v>
      </c>
      <c r="G904" s="7" t="str">
        <f>_xlfn.XLOOKUP(C904,Products!A904:A1403,Products!B904:B1403,"Product Missing",0)</f>
        <v>Product Missing</v>
      </c>
      <c r="H904" s="7" t="str">
        <f>_xlfn.XLOOKUP(C904,Products!A904:A1403,Products!C904:C1403,"Category Missing",0)</f>
        <v>Category Missing</v>
      </c>
      <c r="I904" s="11" t="str">
        <f>_xlfn.XLOOKUP(Orders!C904,Products!A904:A1403,Products!D904:D1403,"Price Missing",0)</f>
        <v>Price Missing</v>
      </c>
      <c r="J904" s="19">
        <f t="shared" si="14"/>
        <v>0</v>
      </c>
    </row>
    <row r="905" spans="1:10" x14ac:dyDescent="0.35">
      <c r="A905" s="4" t="s">
        <v>4925</v>
      </c>
      <c r="B905" s="7" t="s">
        <v>2738</v>
      </c>
      <c r="C905" s="7" t="s">
        <v>3496</v>
      </c>
      <c r="D905" s="5">
        <v>4</v>
      </c>
      <c r="E905" s="7" t="str">
        <f>_xlfn.XLOOKUP(B905,Customers!A905:A1904,Customers!B905:B1904,"Customer Not Found",0)</f>
        <v>Customer_910</v>
      </c>
      <c r="F905" s="7" t="str">
        <f>_xlfn.XLOOKUP(Orders!B905,Customers!A905:A1904,Customers!C905:C1904,"Country not Found",0)</f>
        <v>Ghana</v>
      </c>
      <c r="G905" s="7" t="str">
        <f>_xlfn.XLOOKUP(C905,Products!A905:A1404,Products!B905:B1404,"Product Missing",0)</f>
        <v>Product Missing</v>
      </c>
      <c r="H905" s="7" t="str">
        <f>_xlfn.XLOOKUP(C905,Products!A905:A1404,Products!C905:C1404,"Category Missing",0)</f>
        <v>Category Missing</v>
      </c>
      <c r="I905" s="11" t="str">
        <f>_xlfn.XLOOKUP(Orders!C905,Products!A905:A1404,Products!D905:D1404,"Price Missing",0)</f>
        <v>Price Missing</v>
      </c>
      <c r="J905" s="19">
        <f t="shared" si="14"/>
        <v>0</v>
      </c>
    </row>
    <row r="906" spans="1:10" x14ac:dyDescent="0.35">
      <c r="A906" s="4" t="s">
        <v>4926</v>
      </c>
      <c r="B906" s="7" t="s">
        <v>386</v>
      </c>
      <c r="C906" s="7" t="s">
        <v>3288</v>
      </c>
      <c r="D906" s="5">
        <v>3</v>
      </c>
      <c r="E906" s="7" t="str">
        <f>_xlfn.XLOOKUP(B906,Customers!A906:A1905,Customers!B906:B1905,"Customer Not Found",0)</f>
        <v>Customer Not Found</v>
      </c>
      <c r="F906" s="7" t="str">
        <f>_xlfn.XLOOKUP(Orders!B906,Customers!A906:A1905,Customers!C906:C1905,"Country not Found",0)</f>
        <v>Country not Found</v>
      </c>
      <c r="G906" s="7" t="str">
        <f>_xlfn.XLOOKUP(C906,Products!A906:A1405,Products!B906:B1405,"Product Missing",0)</f>
        <v>Product Missing</v>
      </c>
      <c r="H906" s="7" t="str">
        <f>_xlfn.XLOOKUP(C906,Products!A906:A1405,Products!C906:C1405,"Category Missing",0)</f>
        <v>Category Missing</v>
      </c>
      <c r="I906" s="11" t="str">
        <f>_xlfn.XLOOKUP(Orders!C906,Products!A906:A1405,Products!D906:D1405,"Price Missing",0)</f>
        <v>Price Missing</v>
      </c>
      <c r="J906" s="19">
        <f t="shared" si="14"/>
        <v>0</v>
      </c>
    </row>
    <row r="907" spans="1:10" x14ac:dyDescent="0.35">
      <c r="A907" s="4" t="s">
        <v>4927</v>
      </c>
      <c r="B907" s="7" t="s">
        <v>1343</v>
      </c>
      <c r="C907" s="7" t="s">
        <v>3800</v>
      </c>
      <c r="D907" s="5">
        <v>5</v>
      </c>
      <c r="E907" s="7" t="str">
        <f>_xlfn.XLOOKUP(B907,Customers!A907:A1906,Customers!B907:B1906,"Customer Not Found",0)</f>
        <v>Customer Not Found</v>
      </c>
      <c r="F907" s="7" t="str">
        <f>_xlfn.XLOOKUP(Orders!B907,Customers!A907:A1906,Customers!C907:C1906,"Country not Found",0)</f>
        <v>Country not Found</v>
      </c>
      <c r="G907" s="7" t="str">
        <f>_xlfn.XLOOKUP(C907,Products!A907:A1406,Products!B907:B1406,"Product Missing",0)</f>
        <v>Product Missing</v>
      </c>
      <c r="H907" s="7" t="str">
        <f>_xlfn.XLOOKUP(C907,Products!A907:A1406,Products!C907:C1406,"Category Missing",0)</f>
        <v>Category Missing</v>
      </c>
      <c r="I907" s="11" t="str">
        <f>_xlfn.XLOOKUP(Orders!C907,Products!A907:A1406,Products!D907:D1406,"Price Missing",0)</f>
        <v>Price Missing</v>
      </c>
      <c r="J907" s="19">
        <f t="shared" si="14"/>
        <v>0</v>
      </c>
    </row>
    <row r="908" spans="1:10" x14ac:dyDescent="0.35">
      <c r="A908" s="4" t="s">
        <v>4928</v>
      </c>
      <c r="B908" s="7" t="s">
        <v>2648</v>
      </c>
      <c r="C908" s="7" t="s">
        <v>3292</v>
      </c>
      <c r="D908" s="5">
        <v>8</v>
      </c>
      <c r="E908" s="7" t="str">
        <f>_xlfn.XLOOKUP(B908,Customers!A908:A1907,Customers!B908:B1907,"Customer Not Found",0)</f>
        <v>Customer Not Found</v>
      </c>
      <c r="F908" s="7" t="str">
        <f>_xlfn.XLOOKUP(Orders!B908,Customers!A908:A1907,Customers!C908:C1907,"Country not Found",0)</f>
        <v>Country not Found</v>
      </c>
      <c r="G908" s="7" t="str">
        <f>_xlfn.XLOOKUP(C908,Products!A908:A1407,Products!B908:B1407,"Product Missing",0)</f>
        <v>Product Missing</v>
      </c>
      <c r="H908" s="7" t="str">
        <f>_xlfn.XLOOKUP(C908,Products!A908:A1407,Products!C908:C1407,"Category Missing",0)</f>
        <v>Category Missing</v>
      </c>
      <c r="I908" s="11" t="str">
        <f>_xlfn.XLOOKUP(Orders!C908,Products!A908:A1407,Products!D908:D1407,"Price Missing",0)</f>
        <v>Price Missing</v>
      </c>
      <c r="J908" s="19">
        <f t="shared" si="14"/>
        <v>0</v>
      </c>
    </row>
    <row r="909" spans="1:10" x14ac:dyDescent="0.35">
      <c r="A909" s="4" t="s">
        <v>4929</v>
      </c>
      <c r="B909" s="7" t="s">
        <v>869</v>
      </c>
      <c r="C909" s="7" t="s">
        <v>3310</v>
      </c>
      <c r="D909" s="5">
        <v>10</v>
      </c>
      <c r="E909" s="7" t="str">
        <f>_xlfn.XLOOKUP(B909,Customers!A909:A1908,Customers!B909:B1908,"Customer Not Found",0)</f>
        <v>Customer Not Found</v>
      </c>
      <c r="F909" s="7" t="str">
        <f>_xlfn.XLOOKUP(Orders!B909,Customers!A909:A1908,Customers!C909:C1908,"Country not Found",0)</f>
        <v>Country not Found</v>
      </c>
      <c r="G909" s="7" t="str">
        <f>_xlfn.XLOOKUP(C909,Products!A909:A1408,Products!B909:B1408,"Product Missing",0)</f>
        <v>Product Missing</v>
      </c>
      <c r="H909" s="7" t="str">
        <f>_xlfn.XLOOKUP(C909,Products!A909:A1408,Products!C909:C1408,"Category Missing",0)</f>
        <v>Category Missing</v>
      </c>
      <c r="I909" s="11" t="str">
        <f>_xlfn.XLOOKUP(Orders!C909,Products!A909:A1408,Products!D909:D1408,"Price Missing",0)</f>
        <v>Price Missing</v>
      </c>
      <c r="J909" s="19">
        <f t="shared" si="14"/>
        <v>0</v>
      </c>
    </row>
    <row r="910" spans="1:10" x14ac:dyDescent="0.35">
      <c r="A910" s="4" t="s">
        <v>4930</v>
      </c>
      <c r="B910" s="7" t="s">
        <v>1985</v>
      </c>
      <c r="C910" s="7" t="s">
        <v>3312</v>
      </c>
      <c r="D910" s="5">
        <v>7</v>
      </c>
      <c r="E910" s="7" t="str">
        <f>_xlfn.XLOOKUP(B910,Customers!A910:A1909,Customers!B910:B1909,"Customer Not Found",0)</f>
        <v>Customer Not Found</v>
      </c>
      <c r="F910" s="7" t="str">
        <f>_xlfn.XLOOKUP(Orders!B910,Customers!A910:A1909,Customers!C910:C1909,"Country not Found",0)</f>
        <v>Country not Found</v>
      </c>
      <c r="G910" s="7" t="str">
        <f>_xlfn.XLOOKUP(C910,Products!A910:A1409,Products!B910:B1409,"Product Missing",0)</f>
        <v>Product Missing</v>
      </c>
      <c r="H910" s="7" t="str">
        <f>_xlfn.XLOOKUP(C910,Products!A910:A1409,Products!C910:C1409,"Category Missing",0)</f>
        <v>Category Missing</v>
      </c>
      <c r="I910" s="11" t="str">
        <f>_xlfn.XLOOKUP(Orders!C910,Products!A910:A1409,Products!D910:D1409,"Price Missing",0)</f>
        <v>Price Missing</v>
      </c>
      <c r="J910" s="19">
        <f t="shared" si="14"/>
        <v>0</v>
      </c>
    </row>
    <row r="911" spans="1:10" x14ac:dyDescent="0.35">
      <c r="A911" s="4" t="s">
        <v>4931</v>
      </c>
      <c r="B911" s="7" t="s">
        <v>203</v>
      </c>
      <c r="C911" s="7" t="s">
        <v>3198</v>
      </c>
      <c r="D911" s="5">
        <v>9</v>
      </c>
      <c r="E911" s="7" t="str">
        <f>_xlfn.XLOOKUP(B911,Customers!A911:A1910,Customers!B911:B1910,"Customer Not Found",0)</f>
        <v>Customer Not Found</v>
      </c>
      <c r="F911" s="7" t="str">
        <f>_xlfn.XLOOKUP(Orders!B911,Customers!A911:A1910,Customers!C911:C1910,"Country not Found",0)</f>
        <v>Country not Found</v>
      </c>
      <c r="G911" s="7" t="str">
        <f>_xlfn.XLOOKUP(C911,Products!A911:A1410,Products!B911:B1410,"Product Missing",0)</f>
        <v>Product Missing</v>
      </c>
      <c r="H911" s="7" t="str">
        <f>_xlfn.XLOOKUP(C911,Products!A911:A1410,Products!C911:C1410,"Category Missing",0)</f>
        <v>Category Missing</v>
      </c>
      <c r="I911" s="11" t="str">
        <f>_xlfn.XLOOKUP(Orders!C911,Products!A911:A1410,Products!D911:D1410,"Price Missing",0)</f>
        <v>Price Missing</v>
      </c>
      <c r="J911" s="19">
        <f t="shared" si="14"/>
        <v>0</v>
      </c>
    </row>
    <row r="912" spans="1:10" x14ac:dyDescent="0.35">
      <c r="A912" s="4" t="s">
        <v>4932</v>
      </c>
      <c r="B912" s="7" t="s">
        <v>578</v>
      </c>
      <c r="C912" s="7" t="s">
        <v>3050</v>
      </c>
      <c r="D912" s="5">
        <v>9</v>
      </c>
      <c r="E912" s="7" t="str">
        <f>_xlfn.XLOOKUP(B912,Customers!A912:A1911,Customers!B912:B1911,"Customer Not Found",0)</f>
        <v>Customer Not Found</v>
      </c>
      <c r="F912" s="7" t="str">
        <f>_xlfn.XLOOKUP(Orders!B912,Customers!A912:A1911,Customers!C912:C1911,"Country not Found",0)</f>
        <v>Country not Found</v>
      </c>
      <c r="G912" s="7" t="str">
        <f>_xlfn.XLOOKUP(C912,Products!A912:A1411,Products!B912:B1411,"Product Missing",0)</f>
        <v>Product Missing</v>
      </c>
      <c r="H912" s="7" t="str">
        <f>_xlfn.XLOOKUP(C912,Products!A912:A1411,Products!C912:C1411,"Category Missing",0)</f>
        <v>Category Missing</v>
      </c>
      <c r="I912" s="11" t="str">
        <f>_xlfn.XLOOKUP(Orders!C912,Products!A912:A1411,Products!D912:D1411,"Price Missing",0)</f>
        <v>Price Missing</v>
      </c>
      <c r="J912" s="19">
        <f t="shared" si="14"/>
        <v>0</v>
      </c>
    </row>
    <row r="913" spans="1:10" x14ac:dyDescent="0.35">
      <c r="A913" s="4" t="s">
        <v>4933</v>
      </c>
      <c r="B913" s="7" t="s">
        <v>2918</v>
      </c>
      <c r="C913" s="7" t="s">
        <v>3350</v>
      </c>
      <c r="D913" s="5">
        <v>9</v>
      </c>
      <c r="E913" s="7" t="str">
        <f>_xlfn.XLOOKUP(B913,Customers!A913:A1912,Customers!B913:B1912,"Customer Not Found",0)</f>
        <v>Customer_970</v>
      </c>
      <c r="F913" s="7" t="str">
        <f>_xlfn.XLOOKUP(Orders!B913,Customers!A913:A1912,Customers!C913:C1912,"Country not Found",0)</f>
        <v>UK</v>
      </c>
      <c r="G913" s="7" t="str">
        <f>_xlfn.XLOOKUP(C913,Products!A913:A1412,Products!B913:B1412,"Product Missing",0)</f>
        <v>Product Missing</v>
      </c>
      <c r="H913" s="7" t="str">
        <f>_xlfn.XLOOKUP(C913,Products!A913:A1412,Products!C913:C1412,"Category Missing",0)</f>
        <v>Category Missing</v>
      </c>
      <c r="I913" s="11" t="str">
        <f>_xlfn.XLOOKUP(Orders!C913,Products!A913:A1412,Products!D913:D1412,"Price Missing",0)</f>
        <v>Price Missing</v>
      </c>
      <c r="J913" s="19">
        <f t="shared" si="14"/>
        <v>0</v>
      </c>
    </row>
    <row r="914" spans="1:10" x14ac:dyDescent="0.35">
      <c r="A914" s="4" t="s">
        <v>4934</v>
      </c>
      <c r="B914" s="7" t="s">
        <v>2708</v>
      </c>
      <c r="C914" s="7" t="s">
        <v>3868</v>
      </c>
      <c r="D914" s="5">
        <v>8</v>
      </c>
      <c r="E914" s="7" t="str">
        <f>_xlfn.XLOOKUP(B914,Customers!A914:A1913,Customers!B914:B1913,"Customer Not Found",0)</f>
        <v>Customer Not Found</v>
      </c>
      <c r="F914" s="7" t="str">
        <f>_xlfn.XLOOKUP(Orders!B914,Customers!A914:A1913,Customers!C914:C1913,"Country not Found",0)</f>
        <v>Country not Found</v>
      </c>
      <c r="G914" s="7" t="str">
        <f>_xlfn.XLOOKUP(C914,Products!A914:A1413,Products!B914:B1413,"Product Missing",0)</f>
        <v>Product Missing</v>
      </c>
      <c r="H914" s="7" t="str">
        <f>_xlfn.XLOOKUP(C914,Products!A914:A1413,Products!C914:C1413,"Category Missing",0)</f>
        <v>Category Missing</v>
      </c>
      <c r="I914" s="11" t="str">
        <f>_xlfn.XLOOKUP(Orders!C914,Products!A914:A1413,Products!D914:D1413,"Price Missing",0)</f>
        <v>Price Missing</v>
      </c>
      <c r="J914" s="19">
        <f t="shared" si="14"/>
        <v>0</v>
      </c>
    </row>
    <row r="915" spans="1:10" x14ac:dyDescent="0.35">
      <c r="A915" s="4" t="s">
        <v>4935</v>
      </c>
      <c r="B915" s="7" t="s">
        <v>2000</v>
      </c>
      <c r="C915" s="7" t="s">
        <v>3714</v>
      </c>
      <c r="D915" s="5">
        <v>1</v>
      </c>
      <c r="E915" s="7" t="str">
        <f>_xlfn.XLOOKUP(B915,Customers!A915:A1914,Customers!B915:B1914,"Customer Not Found",0)</f>
        <v>Customer Not Found</v>
      </c>
      <c r="F915" s="7" t="str">
        <f>_xlfn.XLOOKUP(Orders!B915,Customers!A915:A1914,Customers!C915:C1914,"Country not Found",0)</f>
        <v>Country not Found</v>
      </c>
      <c r="G915" s="7" t="str">
        <f>_xlfn.XLOOKUP(C915,Products!A915:A1414,Products!B915:B1414,"Product Missing",0)</f>
        <v>Product Missing</v>
      </c>
      <c r="H915" s="7" t="str">
        <f>_xlfn.XLOOKUP(C915,Products!A915:A1414,Products!C915:C1414,"Category Missing",0)</f>
        <v>Category Missing</v>
      </c>
      <c r="I915" s="11" t="str">
        <f>_xlfn.XLOOKUP(Orders!C915,Products!A915:A1414,Products!D915:D1414,"Price Missing",0)</f>
        <v>Price Missing</v>
      </c>
      <c r="J915" s="19">
        <f t="shared" si="14"/>
        <v>0</v>
      </c>
    </row>
    <row r="916" spans="1:10" x14ac:dyDescent="0.35">
      <c r="A916" s="4" t="s">
        <v>4936</v>
      </c>
      <c r="B916" s="7" t="s">
        <v>1838</v>
      </c>
      <c r="C916" s="7" t="s">
        <v>3498</v>
      </c>
      <c r="D916" s="5">
        <v>2</v>
      </c>
      <c r="E916" s="7" t="str">
        <f>_xlfn.XLOOKUP(B916,Customers!A916:A1915,Customers!B916:B1915,"Customer Not Found",0)</f>
        <v>Customer Not Found</v>
      </c>
      <c r="F916" s="7" t="str">
        <f>_xlfn.XLOOKUP(Orders!B916,Customers!A916:A1915,Customers!C916:C1915,"Country not Found",0)</f>
        <v>Country not Found</v>
      </c>
      <c r="G916" s="7" t="str">
        <f>_xlfn.XLOOKUP(C916,Products!A916:A1415,Products!B916:B1415,"Product Missing",0)</f>
        <v>Product Missing</v>
      </c>
      <c r="H916" s="7" t="str">
        <f>_xlfn.XLOOKUP(C916,Products!A916:A1415,Products!C916:C1415,"Category Missing",0)</f>
        <v>Category Missing</v>
      </c>
      <c r="I916" s="11" t="str">
        <f>_xlfn.XLOOKUP(Orders!C916,Products!A916:A1415,Products!D916:D1415,"Price Missing",0)</f>
        <v>Price Missing</v>
      </c>
      <c r="J916" s="19">
        <f t="shared" si="14"/>
        <v>0</v>
      </c>
    </row>
    <row r="917" spans="1:10" x14ac:dyDescent="0.35">
      <c r="A917" s="4" t="s">
        <v>4937</v>
      </c>
      <c r="B917" s="7" t="s">
        <v>269</v>
      </c>
      <c r="C917" s="7" t="s">
        <v>3104</v>
      </c>
      <c r="D917" s="5">
        <v>8</v>
      </c>
      <c r="E917" s="7" t="str">
        <f>_xlfn.XLOOKUP(B917,Customers!A917:A1916,Customers!B917:B1916,"Customer Not Found",0)</f>
        <v>Customer Not Found</v>
      </c>
      <c r="F917" s="7" t="str">
        <f>_xlfn.XLOOKUP(Orders!B917,Customers!A917:A1916,Customers!C917:C1916,"Country not Found",0)</f>
        <v>Country not Found</v>
      </c>
      <c r="G917" s="7" t="str">
        <f>_xlfn.XLOOKUP(C917,Products!A917:A1416,Products!B917:B1416,"Product Missing",0)</f>
        <v>Product Missing</v>
      </c>
      <c r="H917" s="7" t="str">
        <f>_xlfn.XLOOKUP(C917,Products!A917:A1416,Products!C917:C1416,"Category Missing",0)</f>
        <v>Category Missing</v>
      </c>
      <c r="I917" s="11" t="str">
        <f>_xlfn.XLOOKUP(Orders!C917,Products!A917:A1416,Products!D917:D1416,"Price Missing",0)</f>
        <v>Price Missing</v>
      </c>
      <c r="J917" s="19">
        <f t="shared" si="14"/>
        <v>0</v>
      </c>
    </row>
    <row r="918" spans="1:10" x14ac:dyDescent="0.35">
      <c r="A918" s="4" t="s">
        <v>4938</v>
      </c>
      <c r="B918" s="7" t="s">
        <v>2690</v>
      </c>
      <c r="C918" s="7" t="s">
        <v>3432</v>
      </c>
      <c r="D918" s="5">
        <v>10</v>
      </c>
      <c r="E918" s="7" t="str">
        <f>_xlfn.XLOOKUP(B918,Customers!A918:A1917,Customers!B918:B1917,"Customer Not Found",0)</f>
        <v>Customer Not Found</v>
      </c>
      <c r="F918" s="7" t="str">
        <f>_xlfn.XLOOKUP(Orders!B918,Customers!A918:A1917,Customers!C918:C1917,"Country not Found",0)</f>
        <v>Country not Found</v>
      </c>
      <c r="G918" s="7" t="str">
        <f>_xlfn.XLOOKUP(C918,Products!A918:A1417,Products!B918:B1417,"Product Missing",0)</f>
        <v>Product Missing</v>
      </c>
      <c r="H918" s="7" t="str">
        <f>_xlfn.XLOOKUP(C918,Products!A918:A1417,Products!C918:C1417,"Category Missing",0)</f>
        <v>Category Missing</v>
      </c>
      <c r="I918" s="11" t="str">
        <f>_xlfn.XLOOKUP(Orders!C918,Products!A918:A1417,Products!D918:D1417,"Price Missing",0)</f>
        <v>Price Missing</v>
      </c>
      <c r="J918" s="19">
        <f t="shared" si="14"/>
        <v>0</v>
      </c>
    </row>
    <row r="919" spans="1:10" x14ac:dyDescent="0.35">
      <c r="A919" s="4" t="s">
        <v>4939</v>
      </c>
      <c r="B919" s="7" t="s">
        <v>263</v>
      </c>
      <c r="C919" s="7" t="s">
        <v>3426</v>
      </c>
      <c r="D919" s="5">
        <v>9</v>
      </c>
      <c r="E919" s="7" t="str">
        <f>_xlfn.XLOOKUP(B919,Customers!A919:A1918,Customers!B919:B1918,"Customer Not Found",0)</f>
        <v>Customer Not Found</v>
      </c>
      <c r="F919" s="7" t="str">
        <f>_xlfn.XLOOKUP(Orders!B919,Customers!A919:A1918,Customers!C919:C1918,"Country not Found",0)</f>
        <v>Country not Found</v>
      </c>
      <c r="G919" s="7" t="str">
        <f>_xlfn.XLOOKUP(C919,Products!A919:A1418,Products!B919:B1418,"Product Missing",0)</f>
        <v>Product Missing</v>
      </c>
      <c r="H919" s="7" t="str">
        <f>_xlfn.XLOOKUP(C919,Products!A919:A1418,Products!C919:C1418,"Category Missing",0)</f>
        <v>Category Missing</v>
      </c>
      <c r="I919" s="11" t="str">
        <f>_xlfn.XLOOKUP(Orders!C919,Products!A919:A1418,Products!D919:D1418,"Price Missing",0)</f>
        <v>Price Missing</v>
      </c>
      <c r="J919" s="19">
        <f t="shared" si="14"/>
        <v>0</v>
      </c>
    </row>
    <row r="920" spans="1:10" x14ac:dyDescent="0.35">
      <c r="A920" s="4" t="s">
        <v>4940</v>
      </c>
      <c r="B920" s="7" t="s">
        <v>353</v>
      </c>
      <c r="C920" s="7" t="s">
        <v>3568</v>
      </c>
      <c r="D920" s="5">
        <v>4</v>
      </c>
      <c r="E920" s="7" t="str">
        <f>_xlfn.XLOOKUP(B920,Customers!A920:A1919,Customers!B920:B1919,"Customer Not Found",0)</f>
        <v>Customer Not Found</v>
      </c>
      <c r="F920" s="7" t="str">
        <f>_xlfn.XLOOKUP(Orders!B920,Customers!A920:A1919,Customers!C920:C1919,"Country not Found",0)</f>
        <v>Country not Found</v>
      </c>
      <c r="G920" s="7" t="str">
        <f>_xlfn.XLOOKUP(C920,Products!A920:A1419,Products!B920:B1419,"Product Missing",0)</f>
        <v>Product Missing</v>
      </c>
      <c r="H920" s="7" t="str">
        <f>_xlfn.XLOOKUP(C920,Products!A920:A1419,Products!C920:C1419,"Category Missing",0)</f>
        <v>Category Missing</v>
      </c>
      <c r="I920" s="11" t="str">
        <f>_xlfn.XLOOKUP(Orders!C920,Products!A920:A1419,Products!D920:D1419,"Price Missing",0)</f>
        <v>Price Missing</v>
      </c>
      <c r="J920" s="19">
        <f t="shared" si="14"/>
        <v>0</v>
      </c>
    </row>
    <row r="921" spans="1:10" x14ac:dyDescent="0.35">
      <c r="A921" s="4" t="s">
        <v>4941</v>
      </c>
      <c r="B921" s="7" t="s">
        <v>1364</v>
      </c>
      <c r="C921" s="7" t="s">
        <v>3092</v>
      </c>
      <c r="D921" s="5">
        <v>7</v>
      </c>
      <c r="E921" s="7" t="str">
        <f>_xlfn.XLOOKUP(B921,Customers!A921:A1920,Customers!B921:B1920,"Customer Not Found",0)</f>
        <v>Customer Not Found</v>
      </c>
      <c r="F921" s="7" t="str">
        <f>_xlfn.XLOOKUP(Orders!B921,Customers!A921:A1920,Customers!C921:C1920,"Country not Found",0)</f>
        <v>Country not Found</v>
      </c>
      <c r="G921" s="7" t="str">
        <f>_xlfn.XLOOKUP(C921,Products!A921:A1420,Products!B921:B1420,"Product Missing",0)</f>
        <v>Product Missing</v>
      </c>
      <c r="H921" s="7" t="str">
        <f>_xlfn.XLOOKUP(C921,Products!A921:A1420,Products!C921:C1420,"Category Missing",0)</f>
        <v>Category Missing</v>
      </c>
      <c r="I921" s="11" t="str">
        <f>_xlfn.XLOOKUP(Orders!C921,Products!A921:A1420,Products!D921:D1420,"Price Missing",0)</f>
        <v>Price Missing</v>
      </c>
      <c r="J921" s="19">
        <f t="shared" si="14"/>
        <v>0</v>
      </c>
    </row>
    <row r="922" spans="1:10" x14ac:dyDescent="0.35">
      <c r="A922" s="4" t="s">
        <v>4942</v>
      </c>
      <c r="B922" s="7" t="s">
        <v>1193</v>
      </c>
      <c r="C922" s="7" t="s">
        <v>3570</v>
      </c>
      <c r="D922" s="5">
        <v>2</v>
      </c>
      <c r="E922" s="7" t="str">
        <f>_xlfn.XLOOKUP(B922,Customers!A922:A1921,Customers!B922:B1921,"Customer Not Found",0)</f>
        <v>Customer Not Found</v>
      </c>
      <c r="F922" s="7" t="str">
        <f>_xlfn.XLOOKUP(Orders!B922,Customers!A922:A1921,Customers!C922:C1921,"Country not Found",0)</f>
        <v>Country not Found</v>
      </c>
      <c r="G922" s="7" t="str">
        <f>_xlfn.XLOOKUP(C922,Products!A922:A1421,Products!B922:B1421,"Product Missing",0)</f>
        <v>Product Missing</v>
      </c>
      <c r="H922" s="7" t="str">
        <f>_xlfn.XLOOKUP(C922,Products!A922:A1421,Products!C922:C1421,"Category Missing",0)</f>
        <v>Category Missing</v>
      </c>
      <c r="I922" s="11" t="str">
        <f>_xlfn.XLOOKUP(Orders!C922,Products!A922:A1421,Products!D922:D1421,"Price Missing",0)</f>
        <v>Price Missing</v>
      </c>
      <c r="J922" s="19">
        <f t="shared" si="14"/>
        <v>0</v>
      </c>
    </row>
    <row r="923" spans="1:10" x14ac:dyDescent="0.35">
      <c r="A923" s="4" t="s">
        <v>4943</v>
      </c>
      <c r="B923" s="7" t="s">
        <v>1736</v>
      </c>
      <c r="C923" s="7" t="s">
        <v>3856</v>
      </c>
      <c r="D923" s="5">
        <v>8</v>
      </c>
      <c r="E923" s="7" t="str">
        <f>_xlfn.XLOOKUP(B923,Customers!A923:A1922,Customers!B923:B1922,"Customer Not Found",0)</f>
        <v>Customer Not Found</v>
      </c>
      <c r="F923" s="7" t="str">
        <f>_xlfn.XLOOKUP(Orders!B923,Customers!A923:A1922,Customers!C923:C1922,"Country not Found",0)</f>
        <v>Country not Found</v>
      </c>
      <c r="G923" s="7" t="str">
        <f>_xlfn.XLOOKUP(C923,Products!A923:A1422,Products!B923:B1422,"Product Missing",0)</f>
        <v>Product Missing</v>
      </c>
      <c r="H923" s="7" t="str">
        <f>_xlfn.XLOOKUP(C923,Products!A923:A1422,Products!C923:C1422,"Category Missing",0)</f>
        <v>Category Missing</v>
      </c>
      <c r="I923" s="11" t="str">
        <f>_xlfn.XLOOKUP(Orders!C923,Products!A923:A1422,Products!D923:D1422,"Price Missing",0)</f>
        <v>Price Missing</v>
      </c>
      <c r="J923" s="19">
        <f t="shared" si="14"/>
        <v>0</v>
      </c>
    </row>
    <row r="924" spans="1:10" x14ac:dyDescent="0.35">
      <c r="A924" s="4" t="s">
        <v>4944</v>
      </c>
      <c r="B924" s="7" t="s">
        <v>2903</v>
      </c>
      <c r="C924" s="7" t="s">
        <v>3466</v>
      </c>
      <c r="D924" s="5">
        <v>2</v>
      </c>
      <c r="E924" s="7" t="str">
        <f>_xlfn.XLOOKUP(B924,Customers!A924:A1923,Customers!B924:B1923,"Customer Not Found",0)</f>
        <v>Customer_965</v>
      </c>
      <c r="F924" s="7" t="str">
        <f>_xlfn.XLOOKUP(Orders!B924,Customers!A924:A1923,Customers!C924:C1923,"Country not Found",0)</f>
        <v>Canada</v>
      </c>
      <c r="G924" s="7" t="str">
        <f>_xlfn.XLOOKUP(C924,Products!A924:A1423,Products!B924:B1423,"Product Missing",0)</f>
        <v>Product Missing</v>
      </c>
      <c r="H924" s="7" t="str">
        <f>_xlfn.XLOOKUP(C924,Products!A924:A1423,Products!C924:C1423,"Category Missing",0)</f>
        <v>Category Missing</v>
      </c>
      <c r="I924" s="11" t="str">
        <f>_xlfn.XLOOKUP(Orders!C924,Products!A924:A1423,Products!D924:D1423,"Price Missing",0)</f>
        <v>Price Missing</v>
      </c>
      <c r="J924" s="19">
        <f t="shared" si="14"/>
        <v>0</v>
      </c>
    </row>
    <row r="925" spans="1:10" x14ac:dyDescent="0.35">
      <c r="A925" s="4" t="s">
        <v>4945</v>
      </c>
      <c r="B925" s="7" t="s">
        <v>2597</v>
      </c>
      <c r="C925" s="7" t="s">
        <v>3336</v>
      </c>
      <c r="D925" s="5">
        <v>6</v>
      </c>
      <c r="E925" s="7" t="str">
        <f>_xlfn.XLOOKUP(B925,Customers!A925:A1924,Customers!B925:B1924,"Customer Not Found",0)</f>
        <v>Customer Not Found</v>
      </c>
      <c r="F925" s="7" t="str">
        <f>_xlfn.XLOOKUP(Orders!B925,Customers!A925:A1924,Customers!C925:C1924,"Country not Found",0)</f>
        <v>Country not Found</v>
      </c>
      <c r="G925" s="7" t="str">
        <f>_xlfn.XLOOKUP(C925,Products!A925:A1424,Products!B925:B1424,"Product Missing",0)</f>
        <v>Product Missing</v>
      </c>
      <c r="H925" s="7" t="str">
        <f>_xlfn.XLOOKUP(C925,Products!A925:A1424,Products!C925:C1424,"Category Missing",0)</f>
        <v>Category Missing</v>
      </c>
      <c r="I925" s="11" t="str">
        <f>_xlfn.XLOOKUP(Orders!C925,Products!A925:A1424,Products!D925:D1424,"Price Missing",0)</f>
        <v>Price Missing</v>
      </c>
      <c r="J925" s="19">
        <f t="shared" si="14"/>
        <v>0</v>
      </c>
    </row>
    <row r="926" spans="1:10" x14ac:dyDescent="0.35">
      <c r="A926" s="4" t="s">
        <v>4946</v>
      </c>
      <c r="B926" s="7" t="s">
        <v>2159</v>
      </c>
      <c r="C926" s="7" t="s">
        <v>3734</v>
      </c>
      <c r="D926" s="5">
        <v>6</v>
      </c>
      <c r="E926" s="7" t="str">
        <f>_xlfn.XLOOKUP(B926,Customers!A926:A1925,Customers!B926:B1925,"Customer Not Found",0)</f>
        <v>Customer Not Found</v>
      </c>
      <c r="F926" s="7" t="str">
        <f>_xlfn.XLOOKUP(Orders!B926,Customers!A926:A1925,Customers!C926:C1925,"Country not Found",0)</f>
        <v>Country not Found</v>
      </c>
      <c r="G926" s="7" t="str">
        <f>_xlfn.XLOOKUP(C926,Products!A926:A1425,Products!B926:B1425,"Product Missing",0)</f>
        <v>Product Missing</v>
      </c>
      <c r="H926" s="7" t="str">
        <f>_xlfn.XLOOKUP(C926,Products!A926:A1425,Products!C926:C1425,"Category Missing",0)</f>
        <v>Category Missing</v>
      </c>
      <c r="I926" s="11" t="str">
        <f>_xlfn.XLOOKUP(Orders!C926,Products!A926:A1425,Products!D926:D1425,"Price Missing",0)</f>
        <v>Price Missing</v>
      </c>
      <c r="J926" s="19">
        <f t="shared" si="14"/>
        <v>0</v>
      </c>
    </row>
    <row r="927" spans="1:10" x14ac:dyDescent="0.35">
      <c r="A927" s="4" t="s">
        <v>4947</v>
      </c>
      <c r="B927" s="7" t="s">
        <v>353</v>
      </c>
      <c r="C927" s="7" t="s">
        <v>3986</v>
      </c>
      <c r="D927" s="5">
        <v>9</v>
      </c>
      <c r="E927" s="7" t="str">
        <f>_xlfn.XLOOKUP(B927,Customers!A927:A1926,Customers!B927:B1926,"Customer Not Found",0)</f>
        <v>Customer Not Found</v>
      </c>
      <c r="F927" s="7" t="str">
        <f>_xlfn.XLOOKUP(Orders!B927,Customers!A927:A1926,Customers!C927:C1926,"Country not Found",0)</f>
        <v>Country not Found</v>
      </c>
      <c r="G927" s="7" t="str">
        <f>_xlfn.XLOOKUP(C927,Products!A927:A1426,Products!B927:B1426,"Product Missing",0)</f>
        <v>Product Missing</v>
      </c>
      <c r="H927" s="7" t="str">
        <f>_xlfn.XLOOKUP(C927,Products!A927:A1426,Products!C927:C1426,"Category Missing",0)</f>
        <v>Category Missing</v>
      </c>
      <c r="I927" s="11" t="str">
        <f>_xlfn.XLOOKUP(Orders!C927,Products!A927:A1426,Products!D927:D1426,"Price Missing",0)</f>
        <v>Price Missing</v>
      </c>
      <c r="J927" s="19">
        <f t="shared" si="14"/>
        <v>0</v>
      </c>
    </row>
    <row r="928" spans="1:10" x14ac:dyDescent="0.35">
      <c r="A928" s="4" t="s">
        <v>4948</v>
      </c>
      <c r="B928" s="7" t="s">
        <v>2999</v>
      </c>
      <c r="C928" s="7" t="s">
        <v>3794</v>
      </c>
      <c r="D928" s="5">
        <v>9</v>
      </c>
      <c r="E928" s="7" t="str">
        <f>_xlfn.XLOOKUP(B928,Customers!A928:A1927,Customers!B928:B1927,"Customer Not Found",0)</f>
        <v>Customer_997</v>
      </c>
      <c r="F928" s="7" t="str">
        <f>_xlfn.XLOOKUP(Orders!B928,Customers!A928:A1927,Customers!C928:C1927,"Country not Found",0)</f>
        <v>South Africa</v>
      </c>
      <c r="G928" s="7" t="str">
        <f>_xlfn.XLOOKUP(C928,Products!A928:A1427,Products!B928:B1427,"Product Missing",0)</f>
        <v>Product Missing</v>
      </c>
      <c r="H928" s="7" t="str">
        <f>_xlfn.XLOOKUP(C928,Products!A928:A1427,Products!C928:C1427,"Category Missing",0)</f>
        <v>Category Missing</v>
      </c>
      <c r="I928" s="11" t="str">
        <f>_xlfn.XLOOKUP(Orders!C928,Products!A928:A1427,Products!D928:D1427,"Price Missing",0)</f>
        <v>Price Missing</v>
      </c>
      <c r="J928" s="19">
        <f t="shared" si="14"/>
        <v>0</v>
      </c>
    </row>
    <row r="929" spans="1:10" x14ac:dyDescent="0.35">
      <c r="A929" s="4" t="s">
        <v>4949</v>
      </c>
      <c r="B929" s="7" t="s">
        <v>2186</v>
      </c>
      <c r="C929" s="7" t="s">
        <v>3330</v>
      </c>
      <c r="D929" s="5">
        <v>9</v>
      </c>
      <c r="E929" s="7" t="str">
        <f>_xlfn.XLOOKUP(B929,Customers!A929:A1928,Customers!B929:B1928,"Customer Not Found",0)</f>
        <v>Customer Not Found</v>
      </c>
      <c r="F929" s="7" t="str">
        <f>_xlfn.XLOOKUP(Orders!B929,Customers!A929:A1928,Customers!C929:C1928,"Country not Found",0)</f>
        <v>Country not Found</v>
      </c>
      <c r="G929" s="7" t="str">
        <f>_xlfn.XLOOKUP(C929,Products!A929:A1428,Products!B929:B1428,"Product Missing",0)</f>
        <v>Product Missing</v>
      </c>
      <c r="H929" s="7" t="str">
        <f>_xlfn.XLOOKUP(C929,Products!A929:A1428,Products!C929:C1428,"Category Missing",0)</f>
        <v>Category Missing</v>
      </c>
      <c r="I929" s="11" t="str">
        <f>_xlfn.XLOOKUP(Orders!C929,Products!A929:A1428,Products!D929:D1428,"Price Missing",0)</f>
        <v>Price Missing</v>
      </c>
      <c r="J929" s="19">
        <f t="shared" si="14"/>
        <v>0</v>
      </c>
    </row>
    <row r="930" spans="1:10" x14ac:dyDescent="0.35">
      <c r="A930" s="4" t="s">
        <v>4950</v>
      </c>
      <c r="B930" s="7" t="s">
        <v>1613</v>
      </c>
      <c r="C930" s="7" t="s">
        <v>3524</v>
      </c>
      <c r="D930" s="5">
        <v>3</v>
      </c>
      <c r="E930" s="7" t="str">
        <f>_xlfn.XLOOKUP(B930,Customers!A930:A1929,Customers!B930:B1929,"Customer Not Found",0)</f>
        <v>Customer Not Found</v>
      </c>
      <c r="F930" s="7" t="str">
        <f>_xlfn.XLOOKUP(Orders!B930,Customers!A930:A1929,Customers!C930:C1929,"Country not Found",0)</f>
        <v>Country not Found</v>
      </c>
      <c r="G930" s="7" t="str">
        <f>_xlfn.XLOOKUP(C930,Products!A930:A1429,Products!B930:B1429,"Product Missing",0)</f>
        <v>Product Missing</v>
      </c>
      <c r="H930" s="7" t="str">
        <f>_xlfn.XLOOKUP(C930,Products!A930:A1429,Products!C930:C1429,"Category Missing",0)</f>
        <v>Category Missing</v>
      </c>
      <c r="I930" s="11" t="str">
        <f>_xlfn.XLOOKUP(Orders!C930,Products!A930:A1429,Products!D930:D1429,"Price Missing",0)</f>
        <v>Price Missing</v>
      </c>
      <c r="J930" s="19">
        <f t="shared" si="14"/>
        <v>0</v>
      </c>
    </row>
    <row r="931" spans="1:10" x14ac:dyDescent="0.35">
      <c r="A931" s="4" t="s">
        <v>4951</v>
      </c>
      <c r="B931" s="7" t="s">
        <v>2489</v>
      </c>
      <c r="C931" s="7" t="s">
        <v>3440</v>
      </c>
      <c r="D931" s="5">
        <v>4</v>
      </c>
      <c r="E931" s="7" t="str">
        <f>_xlfn.XLOOKUP(B931,Customers!A931:A1930,Customers!B931:B1930,"Customer Not Found",0)</f>
        <v>Customer Not Found</v>
      </c>
      <c r="F931" s="7" t="str">
        <f>_xlfn.XLOOKUP(Orders!B931,Customers!A931:A1930,Customers!C931:C1930,"Country not Found",0)</f>
        <v>Country not Found</v>
      </c>
      <c r="G931" s="7" t="str">
        <f>_xlfn.XLOOKUP(C931,Products!A931:A1430,Products!B931:B1430,"Product Missing",0)</f>
        <v>Product Missing</v>
      </c>
      <c r="H931" s="7" t="str">
        <f>_xlfn.XLOOKUP(C931,Products!A931:A1430,Products!C931:C1430,"Category Missing",0)</f>
        <v>Category Missing</v>
      </c>
      <c r="I931" s="11" t="str">
        <f>_xlfn.XLOOKUP(Orders!C931,Products!A931:A1430,Products!D931:D1430,"Price Missing",0)</f>
        <v>Price Missing</v>
      </c>
      <c r="J931" s="19">
        <f t="shared" si="14"/>
        <v>0</v>
      </c>
    </row>
    <row r="932" spans="1:10" x14ac:dyDescent="0.35">
      <c r="A932" s="4" t="s">
        <v>4952</v>
      </c>
      <c r="B932" s="7" t="s">
        <v>305</v>
      </c>
      <c r="C932" s="7" t="s">
        <v>3652</v>
      </c>
      <c r="D932" s="5">
        <v>5</v>
      </c>
      <c r="E932" s="7" t="str">
        <f>_xlfn.XLOOKUP(B932,Customers!A932:A1931,Customers!B932:B1931,"Customer Not Found",0)</f>
        <v>Customer Not Found</v>
      </c>
      <c r="F932" s="7" t="str">
        <f>_xlfn.XLOOKUP(Orders!B932,Customers!A932:A1931,Customers!C932:C1931,"Country not Found",0)</f>
        <v>Country not Found</v>
      </c>
      <c r="G932" s="7" t="str">
        <f>_xlfn.XLOOKUP(C932,Products!A932:A1431,Products!B932:B1431,"Product Missing",0)</f>
        <v>Product Missing</v>
      </c>
      <c r="H932" s="7" t="str">
        <f>_xlfn.XLOOKUP(C932,Products!A932:A1431,Products!C932:C1431,"Category Missing",0)</f>
        <v>Category Missing</v>
      </c>
      <c r="I932" s="11" t="str">
        <f>_xlfn.XLOOKUP(Orders!C932,Products!A932:A1431,Products!D932:D1431,"Price Missing",0)</f>
        <v>Price Missing</v>
      </c>
      <c r="J932" s="19">
        <f t="shared" si="14"/>
        <v>0</v>
      </c>
    </row>
    <row r="933" spans="1:10" x14ac:dyDescent="0.35">
      <c r="A933" s="4" t="s">
        <v>4953</v>
      </c>
      <c r="B933" s="7" t="s">
        <v>893</v>
      </c>
      <c r="C933" s="7" t="s">
        <v>3494</v>
      </c>
      <c r="D933" s="5">
        <v>3</v>
      </c>
      <c r="E933" s="7" t="str">
        <f>_xlfn.XLOOKUP(B933,Customers!A933:A1932,Customers!B933:B1932,"Customer Not Found",0)</f>
        <v>Customer Not Found</v>
      </c>
      <c r="F933" s="7" t="str">
        <f>_xlfn.XLOOKUP(Orders!B933,Customers!A933:A1932,Customers!C933:C1932,"Country not Found",0)</f>
        <v>Country not Found</v>
      </c>
      <c r="G933" s="7" t="str">
        <f>_xlfn.XLOOKUP(C933,Products!A933:A1432,Products!B933:B1432,"Product Missing",0)</f>
        <v>Product Missing</v>
      </c>
      <c r="H933" s="7" t="str">
        <f>_xlfn.XLOOKUP(C933,Products!A933:A1432,Products!C933:C1432,"Category Missing",0)</f>
        <v>Category Missing</v>
      </c>
      <c r="I933" s="11" t="str">
        <f>_xlfn.XLOOKUP(Orders!C933,Products!A933:A1432,Products!D933:D1432,"Price Missing",0)</f>
        <v>Price Missing</v>
      </c>
      <c r="J933" s="19">
        <f t="shared" si="14"/>
        <v>0</v>
      </c>
    </row>
    <row r="934" spans="1:10" x14ac:dyDescent="0.35">
      <c r="A934" s="4" t="s">
        <v>4954</v>
      </c>
      <c r="B934" s="7" t="s">
        <v>1961</v>
      </c>
      <c r="C934" s="7" t="s">
        <v>3624</v>
      </c>
      <c r="D934" s="5">
        <v>1</v>
      </c>
      <c r="E934" s="7" t="str">
        <f>_xlfn.XLOOKUP(B934,Customers!A934:A1933,Customers!B934:B1933,"Customer Not Found",0)</f>
        <v>Customer Not Found</v>
      </c>
      <c r="F934" s="7" t="str">
        <f>_xlfn.XLOOKUP(Orders!B934,Customers!A934:A1933,Customers!C934:C1933,"Country not Found",0)</f>
        <v>Country not Found</v>
      </c>
      <c r="G934" s="7" t="str">
        <f>_xlfn.XLOOKUP(C934,Products!A934:A1433,Products!B934:B1433,"Product Missing",0)</f>
        <v>Product Missing</v>
      </c>
      <c r="H934" s="7" t="str">
        <f>_xlfn.XLOOKUP(C934,Products!A934:A1433,Products!C934:C1433,"Category Missing",0)</f>
        <v>Category Missing</v>
      </c>
      <c r="I934" s="11" t="str">
        <f>_xlfn.XLOOKUP(Orders!C934,Products!A934:A1433,Products!D934:D1433,"Price Missing",0)</f>
        <v>Price Missing</v>
      </c>
      <c r="J934" s="19">
        <f t="shared" si="14"/>
        <v>0</v>
      </c>
    </row>
    <row r="935" spans="1:10" x14ac:dyDescent="0.35">
      <c r="A935" s="4" t="s">
        <v>4955</v>
      </c>
      <c r="B935" s="7" t="s">
        <v>662</v>
      </c>
      <c r="C935" s="7" t="s">
        <v>3892</v>
      </c>
      <c r="D935" s="5">
        <v>7</v>
      </c>
      <c r="E935" s="7" t="str">
        <f>_xlfn.XLOOKUP(B935,Customers!A935:A1934,Customers!B935:B1934,"Customer Not Found",0)</f>
        <v>Customer Not Found</v>
      </c>
      <c r="F935" s="7" t="str">
        <f>_xlfn.XLOOKUP(Orders!B935,Customers!A935:A1934,Customers!C935:C1934,"Country not Found",0)</f>
        <v>Country not Found</v>
      </c>
      <c r="G935" s="7" t="str">
        <f>_xlfn.XLOOKUP(C935,Products!A935:A1434,Products!B935:B1434,"Product Missing",0)</f>
        <v>Product Missing</v>
      </c>
      <c r="H935" s="7" t="str">
        <f>_xlfn.XLOOKUP(C935,Products!A935:A1434,Products!C935:C1434,"Category Missing",0)</f>
        <v>Category Missing</v>
      </c>
      <c r="I935" s="11" t="str">
        <f>_xlfn.XLOOKUP(Orders!C935,Products!A935:A1434,Products!D935:D1434,"Price Missing",0)</f>
        <v>Price Missing</v>
      </c>
      <c r="J935" s="19">
        <f t="shared" si="14"/>
        <v>0</v>
      </c>
    </row>
    <row r="936" spans="1:10" x14ac:dyDescent="0.35">
      <c r="A936" s="4" t="s">
        <v>4956</v>
      </c>
      <c r="B936" s="7" t="s">
        <v>1763</v>
      </c>
      <c r="C936" s="7" t="s">
        <v>3160</v>
      </c>
      <c r="D936" s="5">
        <v>10</v>
      </c>
      <c r="E936" s="7" t="str">
        <f>_xlfn.XLOOKUP(B936,Customers!A936:A1935,Customers!B936:B1935,"Customer Not Found",0)</f>
        <v>Customer Not Found</v>
      </c>
      <c r="F936" s="7" t="str">
        <f>_xlfn.XLOOKUP(Orders!B936,Customers!A936:A1935,Customers!C936:C1935,"Country not Found",0)</f>
        <v>Country not Found</v>
      </c>
      <c r="G936" s="7" t="str">
        <f>_xlfn.XLOOKUP(C936,Products!A936:A1435,Products!B936:B1435,"Product Missing",0)</f>
        <v>Product Missing</v>
      </c>
      <c r="H936" s="7" t="str">
        <f>_xlfn.XLOOKUP(C936,Products!A936:A1435,Products!C936:C1435,"Category Missing",0)</f>
        <v>Category Missing</v>
      </c>
      <c r="I936" s="11" t="str">
        <f>_xlfn.XLOOKUP(Orders!C936,Products!A936:A1435,Products!D936:D1435,"Price Missing",0)</f>
        <v>Price Missing</v>
      </c>
      <c r="J936" s="19">
        <f t="shared" si="14"/>
        <v>0</v>
      </c>
    </row>
    <row r="937" spans="1:10" x14ac:dyDescent="0.35">
      <c r="A937" s="4" t="s">
        <v>4957</v>
      </c>
      <c r="B937" s="7" t="s">
        <v>2849</v>
      </c>
      <c r="C937" s="7" t="s">
        <v>3078</v>
      </c>
      <c r="D937" s="5">
        <v>1</v>
      </c>
      <c r="E937" s="7" t="str">
        <f>_xlfn.XLOOKUP(B937,Customers!A937:A1936,Customers!B937:B1936,"Customer Not Found",0)</f>
        <v>Customer_947</v>
      </c>
      <c r="F937" s="7" t="str">
        <f>_xlfn.XLOOKUP(Orders!B937,Customers!A937:A1936,Customers!C937:C1936,"Country not Found",0)</f>
        <v>Kenya</v>
      </c>
      <c r="G937" s="7" t="str">
        <f>_xlfn.XLOOKUP(C937,Products!A937:A1436,Products!B937:B1436,"Product Missing",0)</f>
        <v>Product Missing</v>
      </c>
      <c r="H937" s="7" t="str">
        <f>_xlfn.XLOOKUP(C937,Products!A937:A1436,Products!C937:C1436,"Category Missing",0)</f>
        <v>Category Missing</v>
      </c>
      <c r="I937" s="11" t="str">
        <f>_xlfn.XLOOKUP(Orders!C937,Products!A937:A1436,Products!D937:D1436,"Price Missing",0)</f>
        <v>Price Missing</v>
      </c>
      <c r="J937" s="19">
        <f t="shared" si="14"/>
        <v>0</v>
      </c>
    </row>
    <row r="938" spans="1:10" x14ac:dyDescent="0.35">
      <c r="A938" s="4" t="s">
        <v>4958</v>
      </c>
      <c r="B938" s="7" t="s">
        <v>2057</v>
      </c>
      <c r="C938" s="7" t="s">
        <v>3918</v>
      </c>
      <c r="D938" s="5">
        <v>3</v>
      </c>
      <c r="E938" s="7" t="str">
        <f>_xlfn.XLOOKUP(B938,Customers!A938:A1937,Customers!B938:B1937,"Customer Not Found",0)</f>
        <v>Customer Not Found</v>
      </c>
      <c r="F938" s="7" t="str">
        <f>_xlfn.XLOOKUP(Orders!B938,Customers!A938:A1937,Customers!C938:C1937,"Country not Found",0)</f>
        <v>Country not Found</v>
      </c>
      <c r="G938" s="7" t="str">
        <f>_xlfn.XLOOKUP(C938,Products!A938:A1437,Products!B938:B1437,"Product Missing",0)</f>
        <v>Product Missing</v>
      </c>
      <c r="H938" s="7" t="str">
        <f>_xlfn.XLOOKUP(C938,Products!A938:A1437,Products!C938:C1437,"Category Missing",0)</f>
        <v>Category Missing</v>
      </c>
      <c r="I938" s="11" t="str">
        <f>_xlfn.XLOOKUP(Orders!C938,Products!A938:A1437,Products!D938:D1437,"Price Missing",0)</f>
        <v>Price Missing</v>
      </c>
      <c r="J938" s="19">
        <f t="shared" si="14"/>
        <v>0</v>
      </c>
    </row>
    <row r="939" spans="1:10" x14ac:dyDescent="0.35">
      <c r="A939" s="4" t="s">
        <v>4959</v>
      </c>
      <c r="B939" s="7" t="s">
        <v>620</v>
      </c>
      <c r="C939" s="7" t="s">
        <v>3802</v>
      </c>
      <c r="D939" s="5">
        <v>8</v>
      </c>
      <c r="E939" s="7" t="str">
        <f>_xlfn.XLOOKUP(B939,Customers!A939:A1938,Customers!B939:B1938,"Customer Not Found",0)</f>
        <v>Customer Not Found</v>
      </c>
      <c r="F939" s="7" t="str">
        <f>_xlfn.XLOOKUP(Orders!B939,Customers!A939:A1938,Customers!C939:C1938,"Country not Found",0)</f>
        <v>Country not Found</v>
      </c>
      <c r="G939" s="7" t="str">
        <f>_xlfn.XLOOKUP(C939,Products!A939:A1438,Products!B939:B1438,"Product Missing",0)</f>
        <v>Product Missing</v>
      </c>
      <c r="H939" s="7" t="str">
        <f>_xlfn.XLOOKUP(C939,Products!A939:A1438,Products!C939:C1438,"Category Missing",0)</f>
        <v>Category Missing</v>
      </c>
      <c r="I939" s="11" t="str">
        <f>_xlfn.XLOOKUP(Orders!C939,Products!A939:A1438,Products!D939:D1438,"Price Missing",0)</f>
        <v>Price Missing</v>
      </c>
      <c r="J939" s="19">
        <f t="shared" si="14"/>
        <v>0</v>
      </c>
    </row>
    <row r="940" spans="1:10" x14ac:dyDescent="0.35">
      <c r="A940" s="4" t="s">
        <v>4960</v>
      </c>
      <c r="B940" s="7" t="s">
        <v>1505</v>
      </c>
      <c r="C940" s="7" t="s">
        <v>3454</v>
      </c>
      <c r="D940" s="5">
        <v>7</v>
      </c>
      <c r="E940" s="7" t="str">
        <f>_xlfn.XLOOKUP(B940,Customers!A940:A1939,Customers!B940:B1939,"Customer Not Found",0)</f>
        <v>Customer Not Found</v>
      </c>
      <c r="F940" s="7" t="str">
        <f>_xlfn.XLOOKUP(Orders!B940,Customers!A940:A1939,Customers!C940:C1939,"Country not Found",0)</f>
        <v>Country not Found</v>
      </c>
      <c r="G940" s="7" t="str">
        <f>_xlfn.XLOOKUP(C940,Products!A940:A1439,Products!B940:B1439,"Product Missing",0)</f>
        <v>Product Missing</v>
      </c>
      <c r="H940" s="7" t="str">
        <f>_xlfn.XLOOKUP(C940,Products!A940:A1439,Products!C940:C1439,"Category Missing",0)</f>
        <v>Category Missing</v>
      </c>
      <c r="I940" s="11" t="str">
        <f>_xlfn.XLOOKUP(Orders!C940,Products!A940:A1439,Products!D940:D1439,"Price Missing",0)</f>
        <v>Price Missing</v>
      </c>
      <c r="J940" s="19">
        <f t="shared" si="14"/>
        <v>0</v>
      </c>
    </row>
    <row r="941" spans="1:10" x14ac:dyDescent="0.35">
      <c r="A941" s="4" t="s">
        <v>4961</v>
      </c>
      <c r="B941" s="7" t="s">
        <v>2471</v>
      </c>
      <c r="C941" s="7" t="s">
        <v>3800</v>
      </c>
      <c r="D941" s="5">
        <v>8</v>
      </c>
      <c r="E941" s="7" t="str">
        <f>_xlfn.XLOOKUP(B941,Customers!A941:A1940,Customers!B941:B1940,"Customer Not Found",0)</f>
        <v>Customer Not Found</v>
      </c>
      <c r="F941" s="7" t="str">
        <f>_xlfn.XLOOKUP(Orders!B941,Customers!A941:A1940,Customers!C941:C1940,"Country not Found",0)</f>
        <v>Country not Found</v>
      </c>
      <c r="G941" s="7" t="str">
        <f>_xlfn.XLOOKUP(C941,Products!A941:A1440,Products!B941:B1440,"Product Missing",0)</f>
        <v>Product Missing</v>
      </c>
      <c r="H941" s="7" t="str">
        <f>_xlfn.XLOOKUP(C941,Products!A941:A1440,Products!C941:C1440,"Category Missing",0)</f>
        <v>Category Missing</v>
      </c>
      <c r="I941" s="11" t="str">
        <f>_xlfn.XLOOKUP(Orders!C941,Products!A941:A1440,Products!D941:D1440,"Price Missing",0)</f>
        <v>Price Missing</v>
      </c>
      <c r="J941" s="19">
        <f t="shared" si="14"/>
        <v>0</v>
      </c>
    </row>
    <row r="942" spans="1:10" x14ac:dyDescent="0.35">
      <c r="A942" s="4" t="s">
        <v>4962</v>
      </c>
      <c r="B942" s="7" t="s">
        <v>2105</v>
      </c>
      <c r="C942" s="7" t="s">
        <v>3866</v>
      </c>
      <c r="D942" s="5">
        <v>7</v>
      </c>
      <c r="E942" s="7" t="str">
        <f>_xlfn.XLOOKUP(B942,Customers!A942:A1941,Customers!B942:B1941,"Customer Not Found",0)</f>
        <v>Customer Not Found</v>
      </c>
      <c r="F942" s="7" t="str">
        <f>_xlfn.XLOOKUP(Orders!B942,Customers!A942:A1941,Customers!C942:C1941,"Country not Found",0)</f>
        <v>Country not Found</v>
      </c>
      <c r="G942" s="7" t="str">
        <f>_xlfn.XLOOKUP(C942,Products!A942:A1441,Products!B942:B1441,"Product Missing",0)</f>
        <v>Product Missing</v>
      </c>
      <c r="H942" s="7" t="str">
        <f>_xlfn.XLOOKUP(C942,Products!A942:A1441,Products!C942:C1441,"Category Missing",0)</f>
        <v>Category Missing</v>
      </c>
      <c r="I942" s="11" t="str">
        <f>_xlfn.XLOOKUP(Orders!C942,Products!A942:A1441,Products!D942:D1441,"Price Missing",0)</f>
        <v>Price Missing</v>
      </c>
      <c r="J942" s="19">
        <f t="shared" si="14"/>
        <v>0</v>
      </c>
    </row>
    <row r="943" spans="1:10" x14ac:dyDescent="0.35">
      <c r="A943" s="4" t="s">
        <v>4963</v>
      </c>
      <c r="B943" s="7" t="s">
        <v>1739</v>
      </c>
      <c r="C943" s="7" t="s">
        <v>3118</v>
      </c>
      <c r="D943" s="5">
        <v>2</v>
      </c>
      <c r="E943" s="7" t="str">
        <f>_xlfn.XLOOKUP(B943,Customers!A943:A1942,Customers!B943:B1942,"Customer Not Found",0)</f>
        <v>Customer Not Found</v>
      </c>
      <c r="F943" s="7" t="str">
        <f>_xlfn.XLOOKUP(Orders!B943,Customers!A943:A1942,Customers!C943:C1942,"Country not Found",0)</f>
        <v>Country not Found</v>
      </c>
      <c r="G943" s="7" t="str">
        <f>_xlfn.XLOOKUP(C943,Products!A943:A1442,Products!B943:B1442,"Product Missing",0)</f>
        <v>Product Missing</v>
      </c>
      <c r="H943" s="7" t="str">
        <f>_xlfn.XLOOKUP(C943,Products!A943:A1442,Products!C943:C1442,"Category Missing",0)</f>
        <v>Category Missing</v>
      </c>
      <c r="I943" s="11" t="str">
        <f>_xlfn.XLOOKUP(Orders!C943,Products!A943:A1442,Products!D943:D1442,"Price Missing",0)</f>
        <v>Price Missing</v>
      </c>
      <c r="J943" s="19">
        <f t="shared" si="14"/>
        <v>0</v>
      </c>
    </row>
    <row r="944" spans="1:10" x14ac:dyDescent="0.35">
      <c r="A944" s="4" t="s">
        <v>4964</v>
      </c>
      <c r="B944" s="7" t="s">
        <v>2990</v>
      </c>
      <c r="C944" s="7" t="s">
        <v>3952</v>
      </c>
      <c r="D944" s="5">
        <v>4</v>
      </c>
      <c r="E944" s="7" t="str">
        <f>_xlfn.XLOOKUP(B944,Customers!A944:A1943,Customers!B944:B1943,"Customer Not Found",0)</f>
        <v>Customer_994</v>
      </c>
      <c r="F944" s="7" t="str">
        <f>_xlfn.XLOOKUP(Orders!B944,Customers!A944:A1943,Customers!C944:C1943,"Country not Found",0)</f>
        <v>Nigeria</v>
      </c>
      <c r="G944" s="7" t="str">
        <f>_xlfn.XLOOKUP(C944,Products!A944:A1443,Products!B944:B1443,"Product Missing",0)</f>
        <v>Product Missing</v>
      </c>
      <c r="H944" s="7" t="str">
        <f>_xlfn.XLOOKUP(C944,Products!A944:A1443,Products!C944:C1443,"Category Missing",0)</f>
        <v>Category Missing</v>
      </c>
      <c r="I944" s="11" t="str">
        <f>_xlfn.XLOOKUP(Orders!C944,Products!A944:A1443,Products!D944:D1443,"Price Missing",0)</f>
        <v>Price Missing</v>
      </c>
      <c r="J944" s="19">
        <f t="shared" si="14"/>
        <v>0</v>
      </c>
    </row>
    <row r="945" spans="1:10" x14ac:dyDescent="0.35">
      <c r="A945" s="4" t="s">
        <v>4965</v>
      </c>
      <c r="B945" s="7" t="s">
        <v>209</v>
      </c>
      <c r="C945" s="7" t="s">
        <v>3948</v>
      </c>
      <c r="D945" s="5">
        <v>2</v>
      </c>
      <c r="E945" s="7" t="str">
        <f>_xlfn.XLOOKUP(B945,Customers!A945:A1944,Customers!B945:B1944,"Customer Not Found",0)</f>
        <v>Customer Not Found</v>
      </c>
      <c r="F945" s="7" t="str">
        <f>_xlfn.XLOOKUP(Orders!B945,Customers!A945:A1944,Customers!C945:C1944,"Country not Found",0)</f>
        <v>Country not Found</v>
      </c>
      <c r="G945" s="7" t="str">
        <f>_xlfn.XLOOKUP(C945,Products!A945:A1444,Products!B945:B1444,"Product Missing",0)</f>
        <v>Product Missing</v>
      </c>
      <c r="H945" s="7" t="str">
        <f>_xlfn.XLOOKUP(C945,Products!A945:A1444,Products!C945:C1444,"Category Missing",0)</f>
        <v>Category Missing</v>
      </c>
      <c r="I945" s="11" t="str">
        <f>_xlfn.XLOOKUP(Orders!C945,Products!A945:A1444,Products!D945:D1444,"Price Missing",0)</f>
        <v>Price Missing</v>
      </c>
      <c r="J945" s="19">
        <f t="shared" si="14"/>
        <v>0</v>
      </c>
    </row>
    <row r="946" spans="1:10" x14ac:dyDescent="0.35">
      <c r="A946" s="4" t="s">
        <v>4966</v>
      </c>
      <c r="B946" s="7" t="s">
        <v>2138</v>
      </c>
      <c r="C946" s="7" t="s">
        <v>3230</v>
      </c>
      <c r="D946" s="5">
        <v>3</v>
      </c>
      <c r="E946" s="7" t="str">
        <f>_xlfn.XLOOKUP(B946,Customers!A946:A1945,Customers!B946:B1945,"Customer Not Found",0)</f>
        <v>Customer Not Found</v>
      </c>
      <c r="F946" s="7" t="str">
        <f>_xlfn.XLOOKUP(Orders!B946,Customers!A946:A1945,Customers!C946:C1945,"Country not Found",0)</f>
        <v>Country not Found</v>
      </c>
      <c r="G946" s="7" t="str">
        <f>_xlfn.XLOOKUP(C946,Products!A946:A1445,Products!B946:B1445,"Product Missing",0)</f>
        <v>Product Missing</v>
      </c>
      <c r="H946" s="7" t="str">
        <f>_xlfn.XLOOKUP(C946,Products!A946:A1445,Products!C946:C1445,"Category Missing",0)</f>
        <v>Category Missing</v>
      </c>
      <c r="I946" s="11" t="str">
        <f>_xlfn.XLOOKUP(Orders!C946,Products!A946:A1445,Products!D946:D1445,"Price Missing",0)</f>
        <v>Price Missing</v>
      </c>
      <c r="J946" s="19">
        <f t="shared" si="14"/>
        <v>0</v>
      </c>
    </row>
    <row r="947" spans="1:10" x14ac:dyDescent="0.35">
      <c r="A947" s="4" t="s">
        <v>4967</v>
      </c>
      <c r="B947" s="7" t="s">
        <v>356</v>
      </c>
      <c r="C947" s="7" t="s">
        <v>3724</v>
      </c>
      <c r="D947" s="5">
        <v>8</v>
      </c>
      <c r="E947" s="7" t="str">
        <f>_xlfn.XLOOKUP(B947,Customers!A947:A1946,Customers!B947:B1946,"Customer Not Found",0)</f>
        <v>Customer Not Found</v>
      </c>
      <c r="F947" s="7" t="str">
        <f>_xlfn.XLOOKUP(Orders!B947,Customers!A947:A1946,Customers!C947:C1946,"Country not Found",0)</f>
        <v>Country not Found</v>
      </c>
      <c r="G947" s="7" t="str">
        <f>_xlfn.XLOOKUP(C947,Products!A947:A1446,Products!B947:B1446,"Product Missing",0)</f>
        <v>Product Missing</v>
      </c>
      <c r="H947" s="7" t="str">
        <f>_xlfn.XLOOKUP(C947,Products!A947:A1446,Products!C947:C1446,"Category Missing",0)</f>
        <v>Category Missing</v>
      </c>
      <c r="I947" s="11" t="str">
        <f>_xlfn.XLOOKUP(Orders!C947,Products!A947:A1446,Products!D947:D1446,"Price Missing",0)</f>
        <v>Price Missing</v>
      </c>
      <c r="J947" s="19">
        <f t="shared" si="14"/>
        <v>0</v>
      </c>
    </row>
    <row r="948" spans="1:10" x14ac:dyDescent="0.35">
      <c r="A948" s="4" t="s">
        <v>4968</v>
      </c>
      <c r="B948" s="7" t="s">
        <v>1616</v>
      </c>
      <c r="C948" s="7" t="s">
        <v>3536</v>
      </c>
      <c r="D948" s="5">
        <v>4</v>
      </c>
      <c r="E948" s="7" t="str">
        <f>_xlfn.XLOOKUP(B948,Customers!A948:A1947,Customers!B948:B1947,"Customer Not Found",0)</f>
        <v>Customer Not Found</v>
      </c>
      <c r="F948" s="7" t="str">
        <f>_xlfn.XLOOKUP(Orders!B948,Customers!A948:A1947,Customers!C948:C1947,"Country not Found",0)</f>
        <v>Country not Found</v>
      </c>
      <c r="G948" s="7" t="str">
        <f>_xlfn.XLOOKUP(C948,Products!A948:A1447,Products!B948:B1447,"Product Missing",0)</f>
        <v>Product Missing</v>
      </c>
      <c r="H948" s="7" t="str">
        <f>_xlfn.XLOOKUP(C948,Products!A948:A1447,Products!C948:C1447,"Category Missing",0)</f>
        <v>Category Missing</v>
      </c>
      <c r="I948" s="11" t="str">
        <f>_xlfn.XLOOKUP(Orders!C948,Products!A948:A1447,Products!D948:D1447,"Price Missing",0)</f>
        <v>Price Missing</v>
      </c>
      <c r="J948" s="19">
        <f t="shared" si="14"/>
        <v>0</v>
      </c>
    </row>
    <row r="949" spans="1:10" x14ac:dyDescent="0.35">
      <c r="A949" s="4" t="s">
        <v>4969</v>
      </c>
      <c r="B949" s="7" t="s">
        <v>1910</v>
      </c>
      <c r="C949" s="7" t="s">
        <v>3992</v>
      </c>
      <c r="D949" s="5">
        <v>3</v>
      </c>
      <c r="E949" s="7" t="str">
        <f>_xlfn.XLOOKUP(B949,Customers!A949:A1948,Customers!B949:B1948,"Customer Not Found",0)</f>
        <v>Customer Not Found</v>
      </c>
      <c r="F949" s="7" t="str">
        <f>_xlfn.XLOOKUP(Orders!B949,Customers!A949:A1948,Customers!C949:C1948,"Country not Found",0)</f>
        <v>Country not Found</v>
      </c>
      <c r="G949" s="7" t="str">
        <f>_xlfn.XLOOKUP(C949,Products!A949:A1448,Products!B949:B1448,"Product Missing",0)</f>
        <v>Product Missing</v>
      </c>
      <c r="H949" s="7" t="str">
        <f>_xlfn.XLOOKUP(C949,Products!A949:A1448,Products!C949:C1448,"Category Missing",0)</f>
        <v>Category Missing</v>
      </c>
      <c r="I949" s="11" t="str">
        <f>_xlfn.XLOOKUP(Orders!C949,Products!A949:A1448,Products!D949:D1448,"Price Missing",0)</f>
        <v>Price Missing</v>
      </c>
      <c r="J949" s="19">
        <f t="shared" si="14"/>
        <v>0</v>
      </c>
    </row>
    <row r="950" spans="1:10" x14ac:dyDescent="0.35">
      <c r="A950" s="4" t="s">
        <v>4970</v>
      </c>
      <c r="B950" s="7" t="s">
        <v>599</v>
      </c>
      <c r="C950" s="7" t="s">
        <v>3916</v>
      </c>
      <c r="D950" s="5">
        <v>3</v>
      </c>
      <c r="E950" s="7" t="str">
        <f>_xlfn.XLOOKUP(B950,Customers!A950:A1949,Customers!B950:B1949,"Customer Not Found",0)</f>
        <v>Customer Not Found</v>
      </c>
      <c r="F950" s="7" t="str">
        <f>_xlfn.XLOOKUP(Orders!B950,Customers!A950:A1949,Customers!C950:C1949,"Country not Found",0)</f>
        <v>Country not Found</v>
      </c>
      <c r="G950" s="7" t="str">
        <f>_xlfn.XLOOKUP(C950,Products!A950:A1449,Products!B950:B1449,"Product Missing",0)</f>
        <v>Product Missing</v>
      </c>
      <c r="H950" s="7" t="str">
        <f>_xlfn.XLOOKUP(C950,Products!A950:A1449,Products!C950:C1449,"Category Missing",0)</f>
        <v>Category Missing</v>
      </c>
      <c r="I950" s="11" t="str">
        <f>_xlfn.XLOOKUP(Orders!C950,Products!A950:A1449,Products!D950:D1449,"Price Missing",0)</f>
        <v>Price Missing</v>
      </c>
      <c r="J950" s="19">
        <f t="shared" si="14"/>
        <v>0</v>
      </c>
    </row>
    <row r="951" spans="1:10" x14ac:dyDescent="0.35">
      <c r="A951" s="4" t="s">
        <v>4971</v>
      </c>
      <c r="B951" s="7" t="s">
        <v>1445</v>
      </c>
      <c r="C951" s="7" t="s">
        <v>3876</v>
      </c>
      <c r="D951" s="5">
        <v>4</v>
      </c>
      <c r="E951" s="7" t="str">
        <f>_xlfn.XLOOKUP(B951,Customers!A951:A1950,Customers!B951:B1950,"Customer Not Found",0)</f>
        <v>Customer Not Found</v>
      </c>
      <c r="F951" s="7" t="str">
        <f>_xlfn.XLOOKUP(Orders!B951,Customers!A951:A1950,Customers!C951:C1950,"Country not Found",0)</f>
        <v>Country not Found</v>
      </c>
      <c r="G951" s="7" t="str">
        <f>_xlfn.XLOOKUP(C951,Products!A951:A1450,Products!B951:B1450,"Product Missing",0)</f>
        <v>Product Missing</v>
      </c>
      <c r="H951" s="7" t="str">
        <f>_xlfn.XLOOKUP(C951,Products!A951:A1450,Products!C951:C1450,"Category Missing",0)</f>
        <v>Category Missing</v>
      </c>
      <c r="I951" s="11" t="str">
        <f>_xlfn.XLOOKUP(Orders!C951,Products!A951:A1450,Products!D951:D1450,"Price Missing",0)</f>
        <v>Price Missing</v>
      </c>
      <c r="J951" s="19">
        <f t="shared" si="14"/>
        <v>0</v>
      </c>
    </row>
    <row r="952" spans="1:10" x14ac:dyDescent="0.35">
      <c r="A952" s="4" t="s">
        <v>4972</v>
      </c>
      <c r="B952" s="7" t="s">
        <v>287</v>
      </c>
      <c r="C952" s="7" t="s">
        <v>3660</v>
      </c>
      <c r="D952" s="5">
        <v>4</v>
      </c>
      <c r="E952" s="7" t="str">
        <f>_xlfn.XLOOKUP(B952,Customers!A952:A1951,Customers!B952:B1951,"Customer Not Found",0)</f>
        <v>Customer Not Found</v>
      </c>
      <c r="F952" s="7" t="str">
        <f>_xlfn.XLOOKUP(Orders!B952,Customers!A952:A1951,Customers!C952:C1951,"Country not Found",0)</f>
        <v>Country not Found</v>
      </c>
      <c r="G952" s="7" t="str">
        <f>_xlfn.XLOOKUP(C952,Products!A952:A1451,Products!B952:B1451,"Product Missing",0)</f>
        <v>Product Missing</v>
      </c>
      <c r="H952" s="7" t="str">
        <f>_xlfn.XLOOKUP(C952,Products!A952:A1451,Products!C952:C1451,"Category Missing",0)</f>
        <v>Category Missing</v>
      </c>
      <c r="I952" s="11" t="str">
        <f>_xlfn.XLOOKUP(Orders!C952,Products!A952:A1451,Products!D952:D1451,"Price Missing",0)</f>
        <v>Price Missing</v>
      </c>
      <c r="J952" s="19">
        <f t="shared" si="14"/>
        <v>0</v>
      </c>
    </row>
    <row r="953" spans="1:10" x14ac:dyDescent="0.35">
      <c r="A953" s="4" t="s">
        <v>4973</v>
      </c>
      <c r="B953" s="7" t="s">
        <v>1892</v>
      </c>
      <c r="C953" s="7" t="s">
        <v>3462</v>
      </c>
      <c r="D953" s="5">
        <v>5</v>
      </c>
      <c r="E953" s="7" t="str">
        <f>_xlfn.XLOOKUP(B953,Customers!A953:A1952,Customers!B953:B1952,"Customer Not Found",0)</f>
        <v>Customer Not Found</v>
      </c>
      <c r="F953" s="7" t="str">
        <f>_xlfn.XLOOKUP(Orders!B953,Customers!A953:A1952,Customers!C953:C1952,"Country not Found",0)</f>
        <v>Country not Found</v>
      </c>
      <c r="G953" s="7" t="str">
        <f>_xlfn.XLOOKUP(C953,Products!A953:A1452,Products!B953:B1452,"Product Missing",0)</f>
        <v>Product Missing</v>
      </c>
      <c r="H953" s="7" t="str">
        <f>_xlfn.XLOOKUP(C953,Products!A953:A1452,Products!C953:C1452,"Category Missing",0)</f>
        <v>Category Missing</v>
      </c>
      <c r="I953" s="11" t="str">
        <f>_xlfn.XLOOKUP(Orders!C953,Products!A953:A1452,Products!D953:D1452,"Price Missing",0)</f>
        <v>Price Missing</v>
      </c>
      <c r="J953" s="19">
        <f t="shared" si="14"/>
        <v>0</v>
      </c>
    </row>
    <row r="954" spans="1:10" x14ac:dyDescent="0.35">
      <c r="A954" s="4" t="s">
        <v>4974</v>
      </c>
      <c r="B954" s="7" t="s">
        <v>2576</v>
      </c>
      <c r="C954" s="7" t="s">
        <v>3658</v>
      </c>
      <c r="D954" s="5">
        <v>1</v>
      </c>
      <c r="E954" s="7" t="str">
        <f>_xlfn.XLOOKUP(B954,Customers!A954:A1953,Customers!B954:B1953,"Customer Not Found",0)</f>
        <v>Customer Not Found</v>
      </c>
      <c r="F954" s="7" t="str">
        <f>_xlfn.XLOOKUP(Orders!B954,Customers!A954:A1953,Customers!C954:C1953,"Country not Found",0)</f>
        <v>Country not Found</v>
      </c>
      <c r="G954" s="7" t="str">
        <f>_xlfn.XLOOKUP(C954,Products!A954:A1453,Products!B954:B1453,"Product Missing",0)</f>
        <v>Product Missing</v>
      </c>
      <c r="H954" s="7" t="str">
        <f>_xlfn.XLOOKUP(C954,Products!A954:A1453,Products!C954:C1453,"Category Missing",0)</f>
        <v>Category Missing</v>
      </c>
      <c r="I954" s="11" t="str">
        <f>_xlfn.XLOOKUP(Orders!C954,Products!A954:A1453,Products!D954:D1453,"Price Missing",0)</f>
        <v>Price Missing</v>
      </c>
      <c r="J954" s="19">
        <f t="shared" si="14"/>
        <v>0</v>
      </c>
    </row>
    <row r="955" spans="1:10" x14ac:dyDescent="0.35">
      <c r="A955" s="4" t="s">
        <v>4975</v>
      </c>
      <c r="B955" s="7" t="s">
        <v>2309</v>
      </c>
      <c r="C955" s="7" t="s">
        <v>3352</v>
      </c>
      <c r="D955" s="5">
        <v>7</v>
      </c>
      <c r="E955" s="7" t="str">
        <f>_xlfn.XLOOKUP(B955,Customers!A955:A1954,Customers!B955:B1954,"Customer Not Found",0)</f>
        <v>Customer Not Found</v>
      </c>
      <c r="F955" s="7" t="str">
        <f>_xlfn.XLOOKUP(Orders!B955,Customers!A955:A1954,Customers!C955:C1954,"Country not Found",0)</f>
        <v>Country not Found</v>
      </c>
      <c r="G955" s="7" t="str">
        <f>_xlfn.XLOOKUP(C955,Products!A955:A1454,Products!B955:B1454,"Product Missing",0)</f>
        <v>Product Missing</v>
      </c>
      <c r="H955" s="7" t="str">
        <f>_xlfn.XLOOKUP(C955,Products!A955:A1454,Products!C955:C1454,"Category Missing",0)</f>
        <v>Category Missing</v>
      </c>
      <c r="I955" s="11" t="str">
        <f>_xlfn.XLOOKUP(Orders!C955,Products!A955:A1454,Products!D955:D1454,"Price Missing",0)</f>
        <v>Price Missing</v>
      </c>
      <c r="J955" s="19">
        <f t="shared" si="14"/>
        <v>0</v>
      </c>
    </row>
    <row r="956" spans="1:10" x14ac:dyDescent="0.35">
      <c r="A956" s="4" t="s">
        <v>4976</v>
      </c>
      <c r="B956" s="7" t="s">
        <v>1694</v>
      </c>
      <c r="C956" s="7" t="s">
        <v>3550</v>
      </c>
      <c r="D956" s="5">
        <v>4</v>
      </c>
      <c r="E956" s="7" t="str">
        <f>_xlfn.XLOOKUP(B956,Customers!A956:A1955,Customers!B956:B1955,"Customer Not Found",0)</f>
        <v>Customer Not Found</v>
      </c>
      <c r="F956" s="7" t="str">
        <f>_xlfn.XLOOKUP(Orders!B956,Customers!A956:A1955,Customers!C956:C1955,"Country not Found",0)</f>
        <v>Country not Found</v>
      </c>
      <c r="G956" s="7" t="str">
        <f>_xlfn.XLOOKUP(C956,Products!A956:A1455,Products!B956:B1455,"Product Missing",0)</f>
        <v>Product Missing</v>
      </c>
      <c r="H956" s="7" t="str">
        <f>_xlfn.XLOOKUP(C956,Products!A956:A1455,Products!C956:C1455,"Category Missing",0)</f>
        <v>Category Missing</v>
      </c>
      <c r="I956" s="11" t="str">
        <f>_xlfn.XLOOKUP(Orders!C956,Products!A956:A1455,Products!D956:D1455,"Price Missing",0)</f>
        <v>Price Missing</v>
      </c>
      <c r="J956" s="19">
        <f t="shared" si="14"/>
        <v>0</v>
      </c>
    </row>
    <row r="957" spans="1:10" x14ac:dyDescent="0.35">
      <c r="A957" s="4" t="s">
        <v>4977</v>
      </c>
      <c r="B957" s="7" t="s">
        <v>89</v>
      </c>
      <c r="C957" s="7" t="s">
        <v>3970</v>
      </c>
      <c r="D957" s="5">
        <v>5</v>
      </c>
      <c r="E957" s="7" t="str">
        <f>_xlfn.XLOOKUP(B957,Customers!A957:A1956,Customers!B957:B1956,"Customer Not Found",0)</f>
        <v>Customer Not Found</v>
      </c>
      <c r="F957" s="7" t="str">
        <f>_xlfn.XLOOKUP(Orders!B957,Customers!A957:A1956,Customers!C957:C1956,"Country not Found",0)</f>
        <v>Country not Found</v>
      </c>
      <c r="G957" s="7" t="str">
        <f>_xlfn.XLOOKUP(C957,Products!A957:A1456,Products!B957:B1456,"Product Missing",0)</f>
        <v>Product Missing</v>
      </c>
      <c r="H957" s="7" t="str">
        <f>_xlfn.XLOOKUP(C957,Products!A957:A1456,Products!C957:C1456,"Category Missing",0)</f>
        <v>Category Missing</v>
      </c>
      <c r="I957" s="11" t="str">
        <f>_xlfn.XLOOKUP(Orders!C957,Products!A957:A1456,Products!D957:D1456,"Price Missing",0)</f>
        <v>Price Missing</v>
      </c>
      <c r="J957" s="19">
        <f t="shared" si="14"/>
        <v>0</v>
      </c>
    </row>
    <row r="958" spans="1:10" x14ac:dyDescent="0.35">
      <c r="A958" s="4" t="s">
        <v>4978</v>
      </c>
      <c r="B958" s="7" t="s">
        <v>908</v>
      </c>
      <c r="C958" s="7" t="s">
        <v>3448</v>
      </c>
      <c r="D958" s="5">
        <v>9</v>
      </c>
      <c r="E958" s="7" t="str">
        <f>_xlfn.XLOOKUP(B958,Customers!A958:A1957,Customers!B958:B1957,"Customer Not Found",0)</f>
        <v>Customer Not Found</v>
      </c>
      <c r="F958" s="7" t="str">
        <f>_xlfn.XLOOKUP(Orders!B958,Customers!A958:A1957,Customers!C958:C1957,"Country not Found",0)</f>
        <v>Country not Found</v>
      </c>
      <c r="G958" s="7" t="str">
        <f>_xlfn.XLOOKUP(C958,Products!A958:A1457,Products!B958:B1457,"Product Missing",0)</f>
        <v>Product Missing</v>
      </c>
      <c r="H958" s="7" t="str">
        <f>_xlfn.XLOOKUP(C958,Products!A958:A1457,Products!C958:C1457,"Category Missing",0)</f>
        <v>Category Missing</v>
      </c>
      <c r="I958" s="11" t="str">
        <f>_xlfn.XLOOKUP(Orders!C958,Products!A958:A1457,Products!D958:D1457,"Price Missing",0)</f>
        <v>Price Missing</v>
      </c>
      <c r="J958" s="19">
        <f t="shared" si="14"/>
        <v>0</v>
      </c>
    </row>
    <row r="959" spans="1:10" x14ac:dyDescent="0.35">
      <c r="A959" s="4" t="s">
        <v>4979</v>
      </c>
      <c r="B959" s="7" t="s">
        <v>1253</v>
      </c>
      <c r="C959" s="7" t="s">
        <v>3134</v>
      </c>
      <c r="D959" s="5">
        <v>1</v>
      </c>
      <c r="E959" s="7" t="str">
        <f>_xlfn.XLOOKUP(B959,Customers!A959:A1958,Customers!B959:B1958,"Customer Not Found",0)</f>
        <v>Customer Not Found</v>
      </c>
      <c r="F959" s="7" t="str">
        <f>_xlfn.XLOOKUP(Orders!B959,Customers!A959:A1958,Customers!C959:C1958,"Country not Found",0)</f>
        <v>Country not Found</v>
      </c>
      <c r="G959" s="7" t="str">
        <f>_xlfn.XLOOKUP(C959,Products!A959:A1458,Products!B959:B1458,"Product Missing",0)</f>
        <v>Product Missing</v>
      </c>
      <c r="H959" s="7" t="str">
        <f>_xlfn.XLOOKUP(C959,Products!A959:A1458,Products!C959:C1458,"Category Missing",0)</f>
        <v>Category Missing</v>
      </c>
      <c r="I959" s="11" t="str">
        <f>_xlfn.XLOOKUP(Orders!C959,Products!A959:A1458,Products!D959:D1458,"Price Missing",0)</f>
        <v>Price Missing</v>
      </c>
      <c r="J959" s="19">
        <f t="shared" si="14"/>
        <v>0</v>
      </c>
    </row>
    <row r="960" spans="1:10" x14ac:dyDescent="0.35">
      <c r="A960" s="4" t="s">
        <v>4980</v>
      </c>
      <c r="B960" s="7" t="s">
        <v>527</v>
      </c>
      <c r="C960" s="7" t="s">
        <v>3438</v>
      </c>
      <c r="D960" s="5">
        <v>3</v>
      </c>
      <c r="E960" s="7" t="str">
        <f>_xlfn.XLOOKUP(B960,Customers!A960:A1959,Customers!B960:B1959,"Customer Not Found",0)</f>
        <v>Customer Not Found</v>
      </c>
      <c r="F960" s="7" t="str">
        <f>_xlfn.XLOOKUP(Orders!B960,Customers!A960:A1959,Customers!C960:C1959,"Country not Found",0)</f>
        <v>Country not Found</v>
      </c>
      <c r="G960" s="7" t="str">
        <f>_xlfn.XLOOKUP(C960,Products!A960:A1459,Products!B960:B1459,"Product Missing",0)</f>
        <v>Product Missing</v>
      </c>
      <c r="H960" s="7" t="str">
        <f>_xlfn.XLOOKUP(C960,Products!A960:A1459,Products!C960:C1459,"Category Missing",0)</f>
        <v>Category Missing</v>
      </c>
      <c r="I960" s="11" t="str">
        <f>_xlfn.XLOOKUP(Orders!C960,Products!A960:A1459,Products!D960:D1459,"Price Missing",0)</f>
        <v>Price Missing</v>
      </c>
      <c r="J960" s="19">
        <f t="shared" si="14"/>
        <v>0</v>
      </c>
    </row>
    <row r="961" spans="1:10" x14ac:dyDescent="0.35">
      <c r="A961" s="4" t="s">
        <v>4981</v>
      </c>
      <c r="B961" s="7" t="s">
        <v>1811</v>
      </c>
      <c r="C961" s="7" t="s">
        <v>3522</v>
      </c>
      <c r="D961" s="5">
        <v>9</v>
      </c>
      <c r="E961" s="7" t="str">
        <f>_xlfn.XLOOKUP(B961,Customers!A961:A1960,Customers!B961:B1960,"Customer Not Found",0)</f>
        <v>Customer Not Found</v>
      </c>
      <c r="F961" s="7" t="str">
        <f>_xlfn.XLOOKUP(Orders!B961,Customers!A961:A1960,Customers!C961:C1960,"Country not Found",0)</f>
        <v>Country not Found</v>
      </c>
      <c r="G961" s="7" t="str">
        <f>_xlfn.XLOOKUP(C961,Products!A961:A1460,Products!B961:B1460,"Product Missing",0)</f>
        <v>Product Missing</v>
      </c>
      <c r="H961" s="7" t="str">
        <f>_xlfn.XLOOKUP(C961,Products!A961:A1460,Products!C961:C1460,"Category Missing",0)</f>
        <v>Category Missing</v>
      </c>
      <c r="I961" s="11" t="str">
        <f>_xlfn.XLOOKUP(Orders!C961,Products!A961:A1460,Products!D961:D1460,"Price Missing",0)</f>
        <v>Price Missing</v>
      </c>
      <c r="J961" s="19">
        <f t="shared" si="14"/>
        <v>0</v>
      </c>
    </row>
    <row r="962" spans="1:10" x14ac:dyDescent="0.35">
      <c r="A962" s="4" t="s">
        <v>4982</v>
      </c>
      <c r="B962" s="7" t="s">
        <v>89</v>
      </c>
      <c r="C962" s="7" t="s">
        <v>3296</v>
      </c>
      <c r="D962" s="5">
        <v>10</v>
      </c>
      <c r="E962" s="7" t="str">
        <f>_xlfn.XLOOKUP(B962,Customers!A962:A1961,Customers!B962:B1961,"Customer Not Found",0)</f>
        <v>Customer Not Found</v>
      </c>
      <c r="F962" s="7" t="str">
        <f>_xlfn.XLOOKUP(Orders!B962,Customers!A962:A1961,Customers!C962:C1961,"Country not Found",0)</f>
        <v>Country not Found</v>
      </c>
      <c r="G962" s="7" t="str">
        <f>_xlfn.XLOOKUP(C962,Products!A962:A1461,Products!B962:B1461,"Product Missing",0)</f>
        <v>Product Missing</v>
      </c>
      <c r="H962" s="7" t="str">
        <f>_xlfn.XLOOKUP(C962,Products!A962:A1461,Products!C962:C1461,"Category Missing",0)</f>
        <v>Category Missing</v>
      </c>
      <c r="I962" s="11" t="str">
        <f>_xlfn.XLOOKUP(Orders!C962,Products!A962:A1461,Products!D962:D1461,"Price Missing",0)</f>
        <v>Price Missing</v>
      </c>
      <c r="J962" s="19">
        <f t="shared" si="14"/>
        <v>0</v>
      </c>
    </row>
    <row r="963" spans="1:10" x14ac:dyDescent="0.35">
      <c r="A963" s="4" t="s">
        <v>4983</v>
      </c>
      <c r="B963" s="7" t="s">
        <v>1187</v>
      </c>
      <c r="C963" s="7" t="s">
        <v>3948</v>
      </c>
      <c r="D963" s="5">
        <v>1</v>
      </c>
      <c r="E963" s="7" t="str">
        <f>_xlfn.XLOOKUP(B963,Customers!A963:A1962,Customers!B963:B1962,"Customer Not Found",0)</f>
        <v>Customer Not Found</v>
      </c>
      <c r="F963" s="7" t="str">
        <f>_xlfn.XLOOKUP(Orders!B963,Customers!A963:A1962,Customers!C963:C1962,"Country not Found",0)</f>
        <v>Country not Found</v>
      </c>
      <c r="G963" s="7" t="str">
        <f>_xlfn.XLOOKUP(C963,Products!A963:A1462,Products!B963:B1462,"Product Missing",0)</f>
        <v>Product Missing</v>
      </c>
      <c r="H963" s="7" t="str">
        <f>_xlfn.XLOOKUP(C963,Products!A963:A1462,Products!C963:C1462,"Category Missing",0)</f>
        <v>Category Missing</v>
      </c>
      <c r="I963" s="11" t="str">
        <f>_xlfn.XLOOKUP(Orders!C963,Products!A963:A1462,Products!D963:D1462,"Price Missing",0)</f>
        <v>Price Missing</v>
      </c>
      <c r="J963" s="19">
        <f t="shared" ref="J963:J1026" si="15">IFERROR(I963*D963,0)</f>
        <v>0</v>
      </c>
    </row>
    <row r="964" spans="1:10" x14ac:dyDescent="0.35">
      <c r="A964" s="4" t="s">
        <v>4984</v>
      </c>
      <c r="B964" s="7" t="s">
        <v>107</v>
      </c>
      <c r="C964" s="7" t="s">
        <v>3244</v>
      </c>
      <c r="D964" s="5">
        <v>10</v>
      </c>
      <c r="E964" s="7" t="str">
        <f>_xlfn.XLOOKUP(B964,Customers!A964:A1963,Customers!B964:B1963,"Customer Not Found",0)</f>
        <v>Customer Not Found</v>
      </c>
      <c r="F964" s="7" t="str">
        <f>_xlfn.XLOOKUP(Orders!B964,Customers!A964:A1963,Customers!C964:C1963,"Country not Found",0)</f>
        <v>Country not Found</v>
      </c>
      <c r="G964" s="7" t="str">
        <f>_xlfn.XLOOKUP(C964,Products!A964:A1463,Products!B964:B1463,"Product Missing",0)</f>
        <v>Product Missing</v>
      </c>
      <c r="H964" s="7" t="str">
        <f>_xlfn.XLOOKUP(C964,Products!A964:A1463,Products!C964:C1463,"Category Missing",0)</f>
        <v>Category Missing</v>
      </c>
      <c r="I964" s="11" t="str">
        <f>_xlfn.XLOOKUP(Orders!C964,Products!A964:A1463,Products!D964:D1463,"Price Missing",0)</f>
        <v>Price Missing</v>
      </c>
      <c r="J964" s="19">
        <f t="shared" si="15"/>
        <v>0</v>
      </c>
    </row>
    <row r="965" spans="1:10" x14ac:dyDescent="0.35">
      <c r="A965" s="4" t="s">
        <v>4985</v>
      </c>
      <c r="B965" s="7" t="s">
        <v>296</v>
      </c>
      <c r="C965" s="7" t="s">
        <v>3200</v>
      </c>
      <c r="D965" s="5">
        <v>2</v>
      </c>
      <c r="E965" s="7" t="str">
        <f>_xlfn.XLOOKUP(B965,Customers!A965:A1964,Customers!B965:B1964,"Customer Not Found",0)</f>
        <v>Customer Not Found</v>
      </c>
      <c r="F965" s="7" t="str">
        <f>_xlfn.XLOOKUP(Orders!B965,Customers!A965:A1964,Customers!C965:C1964,"Country not Found",0)</f>
        <v>Country not Found</v>
      </c>
      <c r="G965" s="7" t="str">
        <f>_xlfn.XLOOKUP(C965,Products!A965:A1464,Products!B965:B1464,"Product Missing",0)</f>
        <v>Product Missing</v>
      </c>
      <c r="H965" s="7" t="str">
        <f>_xlfn.XLOOKUP(C965,Products!A965:A1464,Products!C965:C1464,"Category Missing",0)</f>
        <v>Category Missing</v>
      </c>
      <c r="I965" s="11" t="str">
        <f>_xlfn.XLOOKUP(Orders!C965,Products!A965:A1464,Products!D965:D1464,"Price Missing",0)</f>
        <v>Price Missing</v>
      </c>
      <c r="J965" s="19">
        <f t="shared" si="15"/>
        <v>0</v>
      </c>
    </row>
    <row r="966" spans="1:10" x14ac:dyDescent="0.35">
      <c r="A966" s="4" t="s">
        <v>4986</v>
      </c>
      <c r="B966" s="7" t="s">
        <v>1577</v>
      </c>
      <c r="C966" s="7" t="s">
        <v>3924</v>
      </c>
      <c r="D966" s="5">
        <v>5</v>
      </c>
      <c r="E966" s="7" t="str">
        <f>_xlfn.XLOOKUP(B966,Customers!A966:A1965,Customers!B966:B1965,"Customer Not Found",0)</f>
        <v>Customer Not Found</v>
      </c>
      <c r="F966" s="7" t="str">
        <f>_xlfn.XLOOKUP(Orders!B966,Customers!A966:A1965,Customers!C966:C1965,"Country not Found",0)</f>
        <v>Country not Found</v>
      </c>
      <c r="G966" s="7" t="str">
        <f>_xlfn.XLOOKUP(C966,Products!A966:A1465,Products!B966:B1465,"Product Missing",0)</f>
        <v>Product Missing</v>
      </c>
      <c r="H966" s="7" t="str">
        <f>_xlfn.XLOOKUP(C966,Products!A966:A1465,Products!C966:C1465,"Category Missing",0)</f>
        <v>Category Missing</v>
      </c>
      <c r="I966" s="11" t="str">
        <f>_xlfn.XLOOKUP(Orders!C966,Products!A966:A1465,Products!D966:D1465,"Price Missing",0)</f>
        <v>Price Missing</v>
      </c>
      <c r="J966" s="19">
        <f t="shared" si="15"/>
        <v>0</v>
      </c>
    </row>
    <row r="967" spans="1:10" x14ac:dyDescent="0.35">
      <c r="A967" s="4" t="s">
        <v>4987</v>
      </c>
      <c r="B967" s="7" t="s">
        <v>1250</v>
      </c>
      <c r="C967" s="7" t="s">
        <v>3272</v>
      </c>
      <c r="D967" s="5">
        <v>10</v>
      </c>
      <c r="E967" s="7" t="str">
        <f>_xlfn.XLOOKUP(B967,Customers!A967:A1966,Customers!B967:B1966,"Customer Not Found",0)</f>
        <v>Customer Not Found</v>
      </c>
      <c r="F967" s="7" t="str">
        <f>_xlfn.XLOOKUP(Orders!B967,Customers!A967:A1966,Customers!C967:C1966,"Country not Found",0)</f>
        <v>Country not Found</v>
      </c>
      <c r="G967" s="7" t="str">
        <f>_xlfn.XLOOKUP(C967,Products!A967:A1466,Products!B967:B1466,"Product Missing",0)</f>
        <v>Product Missing</v>
      </c>
      <c r="H967" s="7" t="str">
        <f>_xlfn.XLOOKUP(C967,Products!A967:A1466,Products!C967:C1466,"Category Missing",0)</f>
        <v>Category Missing</v>
      </c>
      <c r="I967" s="11" t="str">
        <f>_xlfn.XLOOKUP(Orders!C967,Products!A967:A1466,Products!D967:D1466,"Price Missing",0)</f>
        <v>Price Missing</v>
      </c>
      <c r="J967" s="19">
        <f t="shared" si="15"/>
        <v>0</v>
      </c>
    </row>
    <row r="968" spans="1:10" x14ac:dyDescent="0.35">
      <c r="A968" s="4" t="s">
        <v>4988</v>
      </c>
      <c r="B968" s="7" t="s">
        <v>119</v>
      </c>
      <c r="C968" s="7" t="s">
        <v>3962</v>
      </c>
      <c r="D968" s="5">
        <v>10</v>
      </c>
      <c r="E968" s="7" t="str">
        <f>_xlfn.XLOOKUP(B968,Customers!A968:A1967,Customers!B968:B1967,"Customer Not Found",0)</f>
        <v>Customer Not Found</v>
      </c>
      <c r="F968" s="7" t="str">
        <f>_xlfn.XLOOKUP(Orders!B968,Customers!A968:A1967,Customers!C968:C1967,"Country not Found",0)</f>
        <v>Country not Found</v>
      </c>
      <c r="G968" s="7" t="str">
        <f>_xlfn.XLOOKUP(C968,Products!A968:A1467,Products!B968:B1467,"Product Missing",0)</f>
        <v>Product Missing</v>
      </c>
      <c r="H968" s="7" t="str">
        <f>_xlfn.XLOOKUP(C968,Products!A968:A1467,Products!C968:C1467,"Category Missing",0)</f>
        <v>Category Missing</v>
      </c>
      <c r="I968" s="11" t="str">
        <f>_xlfn.XLOOKUP(Orders!C968,Products!A968:A1467,Products!D968:D1467,"Price Missing",0)</f>
        <v>Price Missing</v>
      </c>
      <c r="J968" s="19">
        <f t="shared" si="15"/>
        <v>0</v>
      </c>
    </row>
    <row r="969" spans="1:10" x14ac:dyDescent="0.35">
      <c r="A969" s="4" t="s">
        <v>4989</v>
      </c>
      <c r="B969" s="7" t="s">
        <v>1898</v>
      </c>
      <c r="C969" s="7" t="s">
        <v>3294</v>
      </c>
      <c r="D969" s="5">
        <v>5</v>
      </c>
      <c r="E969" s="7" t="str">
        <f>_xlfn.XLOOKUP(B969,Customers!A969:A1968,Customers!B969:B1968,"Customer Not Found",0)</f>
        <v>Customer Not Found</v>
      </c>
      <c r="F969" s="7" t="str">
        <f>_xlfn.XLOOKUP(Orders!B969,Customers!A969:A1968,Customers!C969:C1968,"Country not Found",0)</f>
        <v>Country not Found</v>
      </c>
      <c r="G969" s="7" t="str">
        <f>_xlfn.XLOOKUP(C969,Products!A969:A1468,Products!B969:B1468,"Product Missing",0)</f>
        <v>Product Missing</v>
      </c>
      <c r="H969" s="7" t="str">
        <f>_xlfn.XLOOKUP(C969,Products!A969:A1468,Products!C969:C1468,"Category Missing",0)</f>
        <v>Category Missing</v>
      </c>
      <c r="I969" s="11" t="str">
        <f>_xlfn.XLOOKUP(Orders!C969,Products!A969:A1468,Products!D969:D1468,"Price Missing",0)</f>
        <v>Price Missing</v>
      </c>
      <c r="J969" s="19">
        <f t="shared" si="15"/>
        <v>0</v>
      </c>
    </row>
    <row r="970" spans="1:10" x14ac:dyDescent="0.35">
      <c r="A970" s="4" t="s">
        <v>4990</v>
      </c>
      <c r="B970" s="7" t="s">
        <v>632</v>
      </c>
      <c r="C970" s="7" t="s">
        <v>3210</v>
      </c>
      <c r="D970" s="5">
        <v>9</v>
      </c>
      <c r="E970" s="7" t="str">
        <f>_xlfn.XLOOKUP(B970,Customers!A970:A1969,Customers!B970:B1969,"Customer Not Found",0)</f>
        <v>Customer Not Found</v>
      </c>
      <c r="F970" s="7" t="str">
        <f>_xlfn.XLOOKUP(Orders!B970,Customers!A970:A1969,Customers!C970:C1969,"Country not Found",0)</f>
        <v>Country not Found</v>
      </c>
      <c r="G970" s="7" t="str">
        <f>_xlfn.XLOOKUP(C970,Products!A970:A1469,Products!B970:B1469,"Product Missing",0)</f>
        <v>Product Missing</v>
      </c>
      <c r="H970" s="7" t="str">
        <f>_xlfn.XLOOKUP(C970,Products!A970:A1469,Products!C970:C1469,"Category Missing",0)</f>
        <v>Category Missing</v>
      </c>
      <c r="I970" s="11" t="str">
        <f>_xlfn.XLOOKUP(Orders!C970,Products!A970:A1469,Products!D970:D1469,"Price Missing",0)</f>
        <v>Price Missing</v>
      </c>
      <c r="J970" s="19">
        <f t="shared" si="15"/>
        <v>0</v>
      </c>
    </row>
    <row r="971" spans="1:10" x14ac:dyDescent="0.35">
      <c r="A971" s="4" t="s">
        <v>4991</v>
      </c>
      <c r="B971" s="7" t="s">
        <v>1970</v>
      </c>
      <c r="C971" s="7" t="s">
        <v>3506</v>
      </c>
      <c r="D971" s="5">
        <v>3</v>
      </c>
      <c r="E971" s="7" t="str">
        <f>_xlfn.XLOOKUP(B971,Customers!A971:A1970,Customers!B971:B1970,"Customer Not Found",0)</f>
        <v>Customer Not Found</v>
      </c>
      <c r="F971" s="7" t="str">
        <f>_xlfn.XLOOKUP(Orders!B971,Customers!A971:A1970,Customers!C971:C1970,"Country not Found",0)</f>
        <v>Country not Found</v>
      </c>
      <c r="G971" s="7" t="str">
        <f>_xlfn.XLOOKUP(C971,Products!A971:A1470,Products!B971:B1470,"Product Missing",0)</f>
        <v>Product Missing</v>
      </c>
      <c r="H971" s="7" t="str">
        <f>_xlfn.XLOOKUP(C971,Products!A971:A1470,Products!C971:C1470,"Category Missing",0)</f>
        <v>Category Missing</v>
      </c>
      <c r="I971" s="11" t="str">
        <f>_xlfn.XLOOKUP(Orders!C971,Products!A971:A1470,Products!D971:D1470,"Price Missing",0)</f>
        <v>Price Missing</v>
      </c>
      <c r="J971" s="19">
        <f t="shared" si="15"/>
        <v>0</v>
      </c>
    </row>
    <row r="972" spans="1:10" x14ac:dyDescent="0.35">
      <c r="A972" s="4" t="s">
        <v>4992</v>
      </c>
      <c r="B972" s="7" t="s">
        <v>1916</v>
      </c>
      <c r="C972" s="7" t="s">
        <v>3124</v>
      </c>
      <c r="D972" s="5">
        <v>9</v>
      </c>
      <c r="E972" s="7" t="str">
        <f>_xlfn.XLOOKUP(B972,Customers!A972:A1971,Customers!B972:B1971,"Customer Not Found",0)</f>
        <v>Customer Not Found</v>
      </c>
      <c r="F972" s="7" t="str">
        <f>_xlfn.XLOOKUP(Orders!B972,Customers!A972:A1971,Customers!C972:C1971,"Country not Found",0)</f>
        <v>Country not Found</v>
      </c>
      <c r="G972" s="7" t="str">
        <f>_xlfn.XLOOKUP(C972,Products!A972:A1471,Products!B972:B1471,"Product Missing",0)</f>
        <v>Product Missing</v>
      </c>
      <c r="H972" s="7" t="str">
        <f>_xlfn.XLOOKUP(C972,Products!A972:A1471,Products!C972:C1471,"Category Missing",0)</f>
        <v>Category Missing</v>
      </c>
      <c r="I972" s="11" t="str">
        <f>_xlfn.XLOOKUP(Orders!C972,Products!A972:A1471,Products!D972:D1471,"Price Missing",0)</f>
        <v>Price Missing</v>
      </c>
      <c r="J972" s="19">
        <f t="shared" si="15"/>
        <v>0</v>
      </c>
    </row>
    <row r="973" spans="1:10" x14ac:dyDescent="0.35">
      <c r="A973" s="4" t="s">
        <v>4993</v>
      </c>
      <c r="B973" s="7" t="s">
        <v>179</v>
      </c>
      <c r="C973" s="7" t="s">
        <v>3692</v>
      </c>
      <c r="D973" s="5">
        <v>5</v>
      </c>
      <c r="E973" s="7" t="str">
        <f>_xlfn.XLOOKUP(B973,Customers!A973:A1972,Customers!B973:B1972,"Customer Not Found",0)</f>
        <v>Customer Not Found</v>
      </c>
      <c r="F973" s="7" t="str">
        <f>_xlfn.XLOOKUP(Orders!B973,Customers!A973:A1972,Customers!C973:C1972,"Country not Found",0)</f>
        <v>Country not Found</v>
      </c>
      <c r="G973" s="7" t="str">
        <f>_xlfn.XLOOKUP(C973,Products!A973:A1472,Products!B973:B1472,"Product Missing",0)</f>
        <v>Product Missing</v>
      </c>
      <c r="H973" s="7" t="str">
        <f>_xlfn.XLOOKUP(C973,Products!A973:A1472,Products!C973:C1472,"Category Missing",0)</f>
        <v>Category Missing</v>
      </c>
      <c r="I973" s="11" t="str">
        <f>_xlfn.XLOOKUP(Orders!C973,Products!A973:A1472,Products!D973:D1472,"Price Missing",0)</f>
        <v>Price Missing</v>
      </c>
      <c r="J973" s="19">
        <f t="shared" si="15"/>
        <v>0</v>
      </c>
    </row>
    <row r="974" spans="1:10" x14ac:dyDescent="0.35">
      <c r="A974" s="4" t="s">
        <v>4994</v>
      </c>
      <c r="B974" s="7" t="s">
        <v>2075</v>
      </c>
      <c r="C974" s="7" t="s">
        <v>3064</v>
      </c>
      <c r="D974" s="5">
        <v>6</v>
      </c>
      <c r="E974" s="7" t="str">
        <f>_xlfn.XLOOKUP(B974,Customers!A974:A1973,Customers!B974:B1973,"Customer Not Found",0)</f>
        <v>Customer Not Found</v>
      </c>
      <c r="F974" s="7" t="str">
        <f>_xlfn.XLOOKUP(Orders!B974,Customers!A974:A1973,Customers!C974:C1973,"Country not Found",0)</f>
        <v>Country not Found</v>
      </c>
      <c r="G974" s="7" t="str">
        <f>_xlfn.XLOOKUP(C974,Products!A974:A1473,Products!B974:B1473,"Product Missing",0)</f>
        <v>Product Missing</v>
      </c>
      <c r="H974" s="7" t="str">
        <f>_xlfn.XLOOKUP(C974,Products!A974:A1473,Products!C974:C1473,"Category Missing",0)</f>
        <v>Category Missing</v>
      </c>
      <c r="I974" s="11" t="str">
        <f>_xlfn.XLOOKUP(Orders!C974,Products!A974:A1473,Products!D974:D1473,"Price Missing",0)</f>
        <v>Price Missing</v>
      </c>
      <c r="J974" s="19">
        <f t="shared" si="15"/>
        <v>0</v>
      </c>
    </row>
    <row r="975" spans="1:10" x14ac:dyDescent="0.35">
      <c r="A975" s="4" t="s">
        <v>4995</v>
      </c>
      <c r="B975" s="7" t="s">
        <v>2720</v>
      </c>
      <c r="C975" s="7" t="s">
        <v>3778</v>
      </c>
      <c r="D975" s="5">
        <v>5</v>
      </c>
      <c r="E975" s="7" t="str">
        <f>_xlfn.XLOOKUP(B975,Customers!A975:A1974,Customers!B975:B1974,"Customer Not Found",0)</f>
        <v>Customer Not Found</v>
      </c>
      <c r="F975" s="7" t="str">
        <f>_xlfn.XLOOKUP(Orders!B975,Customers!A975:A1974,Customers!C975:C1974,"Country not Found",0)</f>
        <v>Country not Found</v>
      </c>
      <c r="G975" s="7" t="str">
        <f>_xlfn.XLOOKUP(C975,Products!A975:A1474,Products!B975:B1474,"Product Missing",0)</f>
        <v>Product Missing</v>
      </c>
      <c r="H975" s="7" t="str">
        <f>_xlfn.XLOOKUP(C975,Products!A975:A1474,Products!C975:C1474,"Category Missing",0)</f>
        <v>Category Missing</v>
      </c>
      <c r="I975" s="11" t="str">
        <f>_xlfn.XLOOKUP(Orders!C975,Products!A975:A1474,Products!D975:D1474,"Price Missing",0)</f>
        <v>Price Missing</v>
      </c>
      <c r="J975" s="19">
        <f t="shared" si="15"/>
        <v>0</v>
      </c>
    </row>
    <row r="976" spans="1:10" x14ac:dyDescent="0.35">
      <c r="A976" s="4" t="s">
        <v>4996</v>
      </c>
      <c r="B976" s="7" t="s">
        <v>1544</v>
      </c>
      <c r="C976" s="7" t="s">
        <v>3092</v>
      </c>
      <c r="D976" s="5">
        <v>3</v>
      </c>
      <c r="E976" s="7" t="str">
        <f>_xlfn.XLOOKUP(B976,Customers!A976:A1975,Customers!B976:B1975,"Customer Not Found",0)</f>
        <v>Customer Not Found</v>
      </c>
      <c r="F976" s="7" t="str">
        <f>_xlfn.XLOOKUP(Orders!B976,Customers!A976:A1975,Customers!C976:C1975,"Country not Found",0)</f>
        <v>Country not Found</v>
      </c>
      <c r="G976" s="7" t="str">
        <f>_xlfn.XLOOKUP(C976,Products!A976:A1475,Products!B976:B1475,"Product Missing",0)</f>
        <v>Product Missing</v>
      </c>
      <c r="H976" s="7" t="str">
        <f>_xlfn.XLOOKUP(C976,Products!A976:A1475,Products!C976:C1475,"Category Missing",0)</f>
        <v>Category Missing</v>
      </c>
      <c r="I976" s="11" t="str">
        <f>_xlfn.XLOOKUP(Orders!C976,Products!A976:A1475,Products!D976:D1475,"Price Missing",0)</f>
        <v>Price Missing</v>
      </c>
      <c r="J976" s="19">
        <f t="shared" si="15"/>
        <v>0</v>
      </c>
    </row>
    <row r="977" spans="1:10" x14ac:dyDescent="0.35">
      <c r="A977" s="4" t="s">
        <v>4997</v>
      </c>
      <c r="B977" s="7" t="s">
        <v>2885</v>
      </c>
      <c r="C977" s="7" t="s">
        <v>3884</v>
      </c>
      <c r="D977" s="5">
        <v>6</v>
      </c>
      <c r="E977" s="7" t="str">
        <f>_xlfn.XLOOKUP(B977,Customers!A977:A1976,Customers!B977:B1976,"Customer Not Found",0)</f>
        <v>Customer Not Found</v>
      </c>
      <c r="F977" s="7" t="str">
        <f>_xlfn.XLOOKUP(Orders!B977,Customers!A977:A1976,Customers!C977:C1976,"Country not Found",0)</f>
        <v>Country not Found</v>
      </c>
      <c r="G977" s="7" t="str">
        <f>_xlfn.XLOOKUP(C977,Products!A977:A1476,Products!B977:B1476,"Product Missing",0)</f>
        <v>Product Missing</v>
      </c>
      <c r="H977" s="7" t="str">
        <f>_xlfn.XLOOKUP(C977,Products!A977:A1476,Products!C977:C1476,"Category Missing",0)</f>
        <v>Category Missing</v>
      </c>
      <c r="I977" s="11" t="str">
        <f>_xlfn.XLOOKUP(Orders!C977,Products!A977:A1476,Products!D977:D1476,"Price Missing",0)</f>
        <v>Price Missing</v>
      </c>
      <c r="J977" s="19">
        <f t="shared" si="15"/>
        <v>0</v>
      </c>
    </row>
    <row r="978" spans="1:10" x14ac:dyDescent="0.35">
      <c r="A978" s="4" t="s">
        <v>4998</v>
      </c>
      <c r="B978" s="7" t="s">
        <v>2060</v>
      </c>
      <c r="C978" s="7" t="s">
        <v>3350</v>
      </c>
      <c r="D978" s="5">
        <v>1</v>
      </c>
      <c r="E978" s="7" t="str">
        <f>_xlfn.XLOOKUP(B978,Customers!A978:A1977,Customers!B978:B1977,"Customer Not Found",0)</f>
        <v>Customer Not Found</v>
      </c>
      <c r="F978" s="7" t="str">
        <f>_xlfn.XLOOKUP(Orders!B978,Customers!A978:A1977,Customers!C978:C1977,"Country not Found",0)</f>
        <v>Country not Found</v>
      </c>
      <c r="G978" s="7" t="str">
        <f>_xlfn.XLOOKUP(C978,Products!A978:A1477,Products!B978:B1477,"Product Missing",0)</f>
        <v>Product Missing</v>
      </c>
      <c r="H978" s="7" t="str">
        <f>_xlfn.XLOOKUP(C978,Products!A978:A1477,Products!C978:C1477,"Category Missing",0)</f>
        <v>Category Missing</v>
      </c>
      <c r="I978" s="11" t="str">
        <f>_xlfn.XLOOKUP(Orders!C978,Products!A978:A1477,Products!D978:D1477,"Price Missing",0)</f>
        <v>Price Missing</v>
      </c>
      <c r="J978" s="19">
        <f t="shared" si="15"/>
        <v>0</v>
      </c>
    </row>
    <row r="979" spans="1:10" x14ac:dyDescent="0.35">
      <c r="A979" s="4" t="s">
        <v>4999</v>
      </c>
      <c r="B979" s="7" t="s">
        <v>425</v>
      </c>
      <c r="C979" s="7" t="s">
        <v>3118</v>
      </c>
      <c r="D979" s="5">
        <v>10</v>
      </c>
      <c r="E979" s="7" t="str">
        <f>_xlfn.XLOOKUP(B979,Customers!A979:A1978,Customers!B979:B1978,"Customer Not Found",0)</f>
        <v>Customer Not Found</v>
      </c>
      <c r="F979" s="7" t="str">
        <f>_xlfn.XLOOKUP(Orders!B979,Customers!A979:A1978,Customers!C979:C1978,"Country not Found",0)</f>
        <v>Country not Found</v>
      </c>
      <c r="G979" s="7" t="str">
        <f>_xlfn.XLOOKUP(C979,Products!A979:A1478,Products!B979:B1478,"Product Missing",0)</f>
        <v>Product Missing</v>
      </c>
      <c r="H979" s="7" t="str">
        <f>_xlfn.XLOOKUP(C979,Products!A979:A1478,Products!C979:C1478,"Category Missing",0)</f>
        <v>Category Missing</v>
      </c>
      <c r="I979" s="11" t="str">
        <f>_xlfn.XLOOKUP(Orders!C979,Products!A979:A1478,Products!D979:D1478,"Price Missing",0)</f>
        <v>Price Missing</v>
      </c>
      <c r="J979" s="19">
        <f t="shared" si="15"/>
        <v>0</v>
      </c>
    </row>
    <row r="980" spans="1:10" x14ac:dyDescent="0.35">
      <c r="A980" s="4" t="s">
        <v>5000</v>
      </c>
      <c r="B980" s="7" t="s">
        <v>2075</v>
      </c>
      <c r="C980" s="7" t="s">
        <v>3842</v>
      </c>
      <c r="D980" s="5">
        <v>1</v>
      </c>
      <c r="E980" s="7" t="str">
        <f>_xlfn.XLOOKUP(B980,Customers!A980:A1979,Customers!B980:B1979,"Customer Not Found",0)</f>
        <v>Customer Not Found</v>
      </c>
      <c r="F980" s="7" t="str">
        <f>_xlfn.XLOOKUP(Orders!B980,Customers!A980:A1979,Customers!C980:C1979,"Country not Found",0)</f>
        <v>Country not Found</v>
      </c>
      <c r="G980" s="7" t="str">
        <f>_xlfn.XLOOKUP(C980,Products!A980:A1479,Products!B980:B1479,"Product Missing",0)</f>
        <v>Product Missing</v>
      </c>
      <c r="H980" s="7" t="str">
        <f>_xlfn.XLOOKUP(C980,Products!A980:A1479,Products!C980:C1479,"Category Missing",0)</f>
        <v>Category Missing</v>
      </c>
      <c r="I980" s="11" t="str">
        <f>_xlfn.XLOOKUP(Orders!C980,Products!A980:A1479,Products!D980:D1479,"Price Missing",0)</f>
        <v>Price Missing</v>
      </c>
      <c r="J980" s="19">
        <f t="shared" si="15"/>
        <v>0</v>
      </c>
    </row>
    <row r="981" spans="1:10" x14ac:dyDescent="0.35">
      <c r="A981" s="4" t="s">
        <v>5001</v>
      </c>
      <c r="B981" s="7" t="s">
        <v>2846</v>
      </c>
      <c r="C981" s="7" t="s">
        <v>3408</v>
      </c>
      <c r="D981" s="5">
        <v>3</v>
      </c>
      <c r="E981" s="7" t="str">
        <f>_xlfn.XLOOKUP(B981,Customers!A981:A1980,Customers!B981:B1980,"Customer Not Found",0)</f>
        <v>Customer Not Found</v>
      </c>
      <c r="F981" s="7" t="str">
        <f>_xlfn.XLOOKUP(Orders!B981,Customers!A981:A1980,Customers!C981:C1980,"Country not Found",0)</f>
        <v>Country not Found</v>
      </c>
      <c r="G981" s="7" t="str">
        <f>_xlfn.XLOOKUP(C981,Products!A981:A1480,Products!B981:B1480,"Product Missing",0)</f>
        <v>Product Missing</v>
      </c>
      <c r="H981" s="7" t="str">
        <f>_xlfn.XLOOKUP(C981,Products!A981:A1480,Products!C981:C1480,"Category Missing",0)</f>
        <v>Category Missing</v>
      </c>
      <c r="I981" s="11" t="str">
        <f>_xlfn.XLOOKUP(Orders!C981,Products!A981:A1480,Products!D981:D1480,"Price Missing",0)</f>
        <v>Price Missing</v>
      </c>
      <c r="J981" s="19">
        <f t="shared" si="15"/>
        <v>0</v>
      </c>
    </row>
    <row r="982" spans="1:10" x14ac:dyDescent="0.35">
      <c r="A982" s="4" t="s">
        <v>5002</v>
      </c>
      <c r="B982" s="7" t="s">
        <v>2027</v>
      </c>
      <c r="C982" s="7" t="s">
        <v>3944</v>
      </c>
      <c r="D982" s="5">
        <v>8</v>
      </c>
      <c r="E982" s="7" t="str">
        <f>_xlfn.XLOOKUP(B982,Customers!A982:A1981,Customers!B982:B1981,"Customer Not Found",0)</f>
        <v>Customer Not Found</v>
      </c>
      <c r="F982" s="7" t="str">
        <f>_xlfn.XLOOKUP(Orders!B982,Customers!A982:A1981,Customers!C982:C1981,"Country not Found",0)</f>
        <v>Country not Found</v>
      </c>
      <c r="G982" s="7" t="str">
        <f>_xlfn.XLOOKUP(C982,Products!A982:A1481,Products!B982:B1481,"Product Missing",0)</f>
        <v>Product Missing</v>
      </c>
      <c r="H982" s="7" t="str">
        <f>_xlfn.XLOOKUP(C982,Products!A982:A1481,Products!C982:C1481,"Category Missing",0)</f>
        <v>Category Missing</v>
      </c>
      <c r="I982" s="11" t="str">
        <f>_xlfn.XLOOKUP(Orders!C982,Products!A982:A1481,Products!D982:D1481,"Price Missing",0)</f>
        <v>Price Missing</v>
      </c>
      <c r="J982" s="19">
        <f t="shared" si="15"/>
        <v>0</v>
      </c>
    </row>
    <row r="983" spans="1:10" x14ac:dyDescent="0.35">
      <c r="A983" s="4" t="s">
        <v>5003</v>
      </c>
      <c r="B983" s="7" t="s">
        <v>2225</v>
      </c>
      <c r="C983" s="7" t="s">
        <v>3080</v>
      </c>
      <c r="D983" s="5">
        <v>8</v>
      </c>
      <c r="E983" s="7" t="str">
        <f>_xlfn.XLOOKUP(B983,Customers!A983:A1982,Customers!B983:B1982,"Customer Not Found",0)</f>
        <v>Customer Not Found</v>
      </c>
      <c r="F983" s="7" t="str">
        <f>_xlfn.XLOOKUP(Orders!B983,Customers!A983:A1982,Customers!C983:C1982,"Country not Found",0)</f>
        <v>Country not Found</v>
      </c>
      <c r="G983" s="7" t="str">
        <f>_xlfn.XLOOKUP(C983,Products!A983:A1482,Products!B983:B1482,"Product Missing",0)</f>
        <v>Product Missing</v>
      </c>
      <c r="H983" s="7" t="str">
        <f>_xlfn.XLOOKUP(C983,Products!A983:A1482,Products!C983:C1482,"Category Missing",0)</f>
        <v>Category Missing</v>
      </c>
      <c r="I983" s="11" t="str">
        <f>_xlfn.XLOOKUP(Orders!C983,Products!A983:A1482,Products!D983:D1482,"Price Missing",0)</f>
        <v>Price Missing</v>
      </c>
      <c r="J983" s="19">
        <f t="shared" si="15"/>
        <v>0</v>
      </c>
    </row>
    <row r="984" spans="1:10" x14ac:dyDescent="0.35">
      <c r="A984" s="4" t="s">
        <v>5004</v>
      </c>
      <c r="B984" s="7" t="s">
        <v>1157</v>
      </c>
      <c r="C984" s="7" t="s">
        <v>3510</v>
      </c>
      <c r="D984" s="5">
        <v>8</v>
      </c>
      <c r="E984" s="7" t="str">
        <f>_xlfn.XLOOKUP(B984,Customers!A984:A1983,Customers!B984:B1983,"Customer Not Found",0)</f>
        <v>Customer Not Found</v>
      </c>
      <c r="F984" s="7" t="str">
        <f>_xlfn.XLOOKUP(Orders!B984,Customers!A984:A1983,Customers!C984:C1983,"Country not Found",0)</f>
        <v>Country not Found</v>
      </c>
      <c r="G984" s="7" t="str">
        <f>_xlfn.XLOOKUP(C984,Products!A984:A1483,Products!B984:B1483,"Product Missing",0)</f>
        <v>Product Missing</v>
      </c>
      <c r="H984" s="7" t="str">
        <f>_xlfn.XLOOKUP(C984,Products!A984:A1483,Products!C984:C1483,"Category Missing",0)</f>
        <v>Category Missing</v>
      </c>
      <c r="I984" s="11" t="str">
        <f>_xlfn.XLOOKUP(Orders!C984,Products!A984:A1483,Products!D984:D1483,"Price Missing",0)</f>
        <v>Price Missing</v>
      </c>
      <c r="J984" s="19">
        <f t="shared" si="15"/>
        <v>0</v>
      </c>
    </row>
    <row r="985" spans="1:10" x14ac:dyDescent="0.35">
      <c r="A985" s="4" t="s">
        <v>5005</v>
      </c>
      <c r="B985" s="7" t="s">
        <v>1544</v>
      </c>
      <c r="C985" s="7" t="s">
        <v>3200</v>
      </c>
      <c r="D985" s="5">
        <v>4</v>
      </c>
      <c r="E985" s="7" t="str">
        <f>_xlfn.XLOOKUP(B985,Customers!A985:A1984,Customers!B985:B1984,"Customer Not Found",0)</f>
        <v>Customer Not Found</v>
      </c>
      <c r="F985" s="7" t="str">
        <f>_xlfn.XLOOKUP(Orders!B985,Customers!A985:A1984,Customers!C985:C1984,"Country not Found",0)</f>
        <v>Country not Found</v>
      </c>
      <c r="G985" s="7" t="str">
        <f>_xlfn.XLOOKUP(C985,Products!A985:A1484,Products!B985:B1484,"Product Missing",0)</f>
        <v>Product Missing</v>
      </c>
      <c r="H985" s="7" t="str">
        <f>_xlfn.XLOOKUP(C985,Products!A985:A1484,Products!C985:C1484,"Category Missing",0)</f>
        <v>Category Missing</v>
      </c>
      <c r="I985" s="11" t="str">
        <f>_xlfn.XLOOKUP(Orders!C985,Products!A985:A1484,Products!D985:D1484,"Price Missing",0)</f>
        <v>Price Missing</v>
      </c>
      <c r="J985" s="19">
        <f t="shared" si="15"/>
        <v>0</v>
      </c>
    </row>
    <row r="986" spans="1:10" x14ac:dyDescent="0.35">
      <c r="A986" s="4" t="s">
        <v>5006</v>
      </c>
      <c r="B986" s="7" t="s">
        <v>1508</v>
      </c>
      <c r="C986" s="7" t="s">
        <v>3430</v>
      </c>
      <c r="D986" s="5">
        <v>2</v>
      </c>
      <c r="E986" s="7" t="str">
        <f>_xlfn.XLOOKUP(B986,Customers!A986:A1985,Customers!B986:B1985,"Customer Not Found",0)</f>
        <v>Customer Not Found</v>
      </c>
      <c r="F986" s="7" t="str">
        <f>_xlfn.XLOOKUP(Orders!B986,Customers!A986:A1985,Customers!C986:C1985,"Country not Found",0)</f>
        <v>Country not Found</v>
      </c>
      <c r="G986" s="7" t="str">
        <f>_xlfn.XLOOKUP(C986,Products!A986:A1485,Products!B986:B1485,"Product Missing",0)</f>
        <v>Product Missing</v>
      </c>
      <c r="H986" s="7" t="str">
        <f>_xlfn.XLOOKUP(C986,Products!A986:A1485,Products!C986:C1485,"Category Missing",0)</f>
        <v>Category Missing</v>
      </c>
      <c r="I986" s="11" t="str">
        <f>_xlfn.XLOOKUP(Orders!C986,Products!A986:A1485,Products!D986:D1485,"Price Missing",0)</f>
        <v>Price Missing</v>
      </c>
      <c r="J986" s="19">
        <f t="shared" si="15"/>
        <v>0</v>
      </c>
    </row>
    <row r="987" spans="1:10" x14ac:dyDescent="0.35">
      <c r="A987" s="4" t="s">
        <v>5007</v>
      </c>
      <c r="B987" s="7" t="s">
        <v>1517</v>
      </c>
      <c r="C987" s="7" t="s">
        <v>3504</v>
      </c>
      <c r="D987" s="5">
        <v>2</v>
      </c>
      <c r="E987" s="7" t="str">
        <f>_xlfn.XLOOKUP(B987,Customers!A987:A1986,Customers!B987:B1986,"Customer Not Found",0)</f>
        <v>Customer Not Found</v>
      </c>
      <c r="F987" s="7" t="str">
        <f>_xlfn.XLOOKUP(Orders!B987,Customers!A987:A1986,Customers!C987:C1986,"Country not Found",0)</f>
        <v>Country not Found</v>
      </c>
      <c r="G987" s="7" t="str">
        <f>_xlfn.XLOOKUP(C987,Products!A987:A1486,Products!B987:B1486,"Product Missing",0)</f>
        <v>Product Missing</v>
      </c>
      <c r="H987" s="7" t="str">
        <f>_xlfn.XLOOKUP(C987,Products!A987:A1486,Products!C987:C1486,"Category Missing",0)</f>
        <v>Category Missing</v>
      </c>
      <c r="I987" s="11" t="str">
        <f>_xlfn.XLOOKUP(Orders!C987,Products!A987:A1486,Products!D987:D1486,"Price Missing",0)</f>
        <v>Price Missing</v>
      </c>
      <c r="J987" s="19">
        <f t="shared" si="15"/>
        <v>0</v>
      </c>
    </row>
    <row r="988" spans="1:10" x14ac:dyDescent="0.35">
      <c r="A988" s="4" t="s">
        <v>5008</v>
      </c>
      <c r="B988" s="7" t="s">
        <v>2480</v>
      </c>
      <c r="C988" s="7" t="s">
        <v>3088</v>
      </c>
      <c r="D988" s="5">
        <v>5</v>
      </c>
      <c r="E988" s="7" t="str">
        <f>_xlfn.XLOOKUP(B988,Customers!A988:A1987,Customers!B988:B1987,"Customer Not Found",0)</f>
        <v>Customer Not Found</v>
      </c>
      <c r="F988" s="7" t="str">
        <f>_xlfn.XLOOKUP(Orders!B988,Customers!A988:A1987,Customers!C988:C1987,"Country not Found",0)</f>
        <v>Country not Found</v>
      </c>
      <c r="G988" s="7" t="str">
        <f>_xlfn.XLOOKUP(C988,Products!A988:A1487,Products!B988:B1487,"Product Missing",0)</f>
        <v>Product Missing</v>
      </c>
      <c r="H988" s="7" t="str">
        <f>_xlfn.XLOOKUP(C988,Products!A988:A1487,Products!C988:C1487,"Category Missing",0)</f>
        <v>Category Missing</v>
      </c>
      <c r="I988" s="11" t="str">
        <f>_xlfn.XLOOKUP(Orders!C988,Products!A988:A1487,Products!D988:D1487,"Price Missing",0)</f>
        <v>Price Missing</v>
      </c>
      <c r="J988" s="19">
        <f t="shared" si="15"/>
        <v>0</v>
      </c>
    </row>
    <row r="989" spans="1:10" x14ac:dyDescent="0.35">
      <c r="A989" s="4" t="s">
        <v>5009</v>
      </c>
      <c r="B989" s="7" t="s">
        <v>1586</v>
      </c>
      <c r="C989" s="7" t="s">
        <v>3432</v>
      </c>
      <c r="D989" s="5">
        <v>7</v>
      </c>
      <c r="E989" s="7" t="str">
        <f>_xlfn.XLOOKUP(B989,Customers!A989:A1988,Customers!B989:B1988,"Customer Not Found",0)</f>
        <v>Customer Not Found</v>
      </c>
      <c r="F989" s="7" t="str">
        <f>_xlfn.XLOOKUP(Orders!B989,Customers!A989:A1988,Customers!C989:C1988,"Country not Found",0)</f>
        <v>Country not Found</v>
      </c>
      <c r="G989" s="7" t="str">
        <f>_xlfn.XLOOKUP(C989,Products!A989:A1488,Products!B989:B1488,"Product Missing",0)</f>
        <v>Product Missing</v>
      </c>
      <c r="H989" s="7" t="str">
        <f>_xlfn.XLOOKUP(C989,Products!A989:A1488,Products!C989:C1488,"Category Missing",0)</f>
        <v>Category Missing</v>
      </c>
      <c r="I989" s="11" t="str">
        <f>_xlfn.XLOOKUP(Orders!C989,Products!A989:A1488,Products!D989:D1488,"Price Missing",0)</f>
        <v>Price Missing</v>
      </c>
      <c r="J989" s="19">
        <f t="shared" si="15"/>
        <v>0</v>
      </c>
    </row>
    <row r="990" spans="1:10" x14ac:dyDescent="0.35">
      <c r="A990" s="4" t="s">
        <v>5010</v>
      </c>
      <c r="B990" s="7" t="s">
        <v>2831</v>
      </c>
      <c r="C990" s="7" t="s">
        <v>3246</v>
      </c>
      <c r="D990" s="5">
        <v>1</v>
      </c>
      <c r="E990" s="7" t="str">
        <f>_xlfn.XLOOKUP(B990,Customers!A990:A1989,Customers!B990:B1989,"Customer Not Found",0)</f>
        <v>Customer Not Found</v>
      </c>
      <c r="F990" s="7" t="str">
        <f>_xlfn.XLOOKUP(Orders!B990,Customers!A990:A1989,Customers!C990:C1989,"Country not Found",0)</f>
        <v>Country not Found</v>
      </c>
      <c r="G990" s="7" t="str">
        <f>_xlfn.XLOOKUP(C990,Products!A990:A1489,Products!B990:B1489,"Product Missing",0)</f>
        <v>Product Missing</v>
      </c>
      <c r="H990" s="7" t="str">
        <f>_xlfn.XLOOKUP(C990,Products!A990:A1489,Products!C990:C1489,"Category Missing",0)</f>
        <v>Category Missing</v>
      </c>
      <c r="I990" s="11" t="str">
        <f>_xlfn.XLOOKUP(Orders!C990,Products!A990:A1489,Products!D990:D1489,"Price Missing",0)</f>
        <v>Price Missing</v>
      </c>
      <c r="J990" s="19">
        <f t="shared" si="15"/>
        <v>0</v>
      </c>
    </row>
    <row r="991" spans="1:10" x14ac:dyDescent="0.35">
      <c r="A991" s="4" t="s">
        <v>5011</v>
      </c>
      <c r="B991" s="7" t="s">
        <v>1175</v>
      </c>
      <c r="C991" s="7" t="s">
        <v>3386</v>
      </c>
      <c r="D991" s="5">
        <v>1</v>
      </c>
      <c r="E991" s="7" t="str">
        <f>_xlfn.XLOOKUP(B991,Customers!A991:A1990,Customers!B991:B1990,"Customer Not Found",0)</f>
        <v>Customer Not Found</v>
      </c>
      <c r="F991" s="7" t="str">
        <f>_xlfn.XLOOKUP(Orders!B991,Customers!A991:A1990,Customers!C991:C1990,"Country not Found",0)</f>
        <v>Country not Found</v>
      </c>
      <c r="G991" s="7" t="str">
        <f>_xlfn.XLOOKUP(C991,Products!A991:A1490,Products!B991:B1490,"Product Missing",0)</f>
        <v>Product Missing</v>
      </c>
      <c r="H991" s="7" t="str">
        <f>_xlfn.XLOOKUP(C991,Products!A991:A1490,Products!C991:C1490,"Category Missing",0)</f>
        <v>Category Missing</v>
      </c>
      <c r="I991" s="11" t="str">
        <f>_xlfn.XLOOKUP(Orders!C991,Products!A991:A1490,Products!D991:D1490,"Price Missing",0)</f>
        <v>Price Missing</v>
      </c>
      <c r="J991" s="19">
        <f t="shared" si="15"/>
        <v>0</v>
      </c>
    </row>
    <row r="992" spans="1:10" x14ac:dyDescent="0.35">
      <c r="A992" s="4" t="s">
        <v>5012</v>
      </c>
      <c r="B992" s="7" t="s">
        <v>758</v>
      </c>
      <c r="C992" s="7" t="s">
        <v>3728</v>
      </c>
      <c r="D992" s="5">
        <v>3</v>
      </c>
      <c r="E992" s="7" t="str">
        <f>_xlfn.XLOOKUP(B992,Customers!A992:A1991,Customers!B992:B1991,"Customer Not Found",0)</f>
        <v>Customer Not Found</v>
      </c>
      <c r="F992" s="7" t="str">
        <f>_xlfn.XLOOKUP(Orders!B992,Customers!A992:A1991,Customers!C992:C1991,"Country not Found",0)</f>
        <v>Country not Found</v>
      </c>
      <c r="G992" s="7" t="str">
        <f>_xlfn.XLOOKUP(C992,Products!A992:A1491,Products!B992:B1491,"Product Missing",0)</f>
        <v>Product Missing</v>
      </c>
      <c r="H992" s="7" t="str">
        <f>_xlfn.XLOOKUP(C992,Products!A992:A1491,Products!C992:C1491,"Category Missing",0)</f>
        <v>Category Missing</v>
      </c>
      <c r="I992" s="11" t="str">
        <f>_xlfn.XLOOKUP(Orders!C992,Products!A992:A1491,Products!D992:D1491,"Price Missing",0)</f>
        <v>Price Missing</v>
      </c>
      <c r="J992" s="19">
        <f t="shared" si="15"/>
        <v>0</v>
      </c>
    </row>
    <row r="993" spans="1:10" x14ac:dyDescent="0.35">
      <c r="A993" s="4" t="s">
        <v>5013</v>
      </c>
      <c r="B993" s="7" t="s">
        <v>1091</v>
      </c>
      <c r="C993" s="7" t="s">
        <v>3316</v>
      </c>
      <c r="D993" s="5">
        <v>8</v>
      </c>
      <c r="E993" s="7" t="str">
        <f>_xlfn.XLOOKUP(B993,Customers!A993:A1992,Customers!B993:B1992,"Customer Not Found",0)</f>
        <v>Customer Not Found</v>
      </c>
      <c r="F993" s="7" t="str">
        <f>_xlfn.XLOOKUP(Orders!B993,Customers!A993:A1992,Customers!C993:C1992,"Country not Found",0)</f>
        <v>Country not Found</v>
      </c>
      <c r="G993" s="7" t="str">
        <f>_xlfn.XLOOKUP(C993,Products!A993:A1492,Products!B993:B1492,"Product Missing",0)</f>
        <v>Product Missing</v>
      </c>
      <c r="H993" s="7" t="str">
        <f>_xlfn.XLOOKUP(C993,Products!A993:A1492,Products!C993:C1492,"Category Missing",0)</f>
        <v>Category Missing</v>
      </c>
      <c r="I993" s="11" t="str">
        <f>_xlfn.XLOOKUP(Orders!C993,Products!A993:A1492,Products!D993:D1492,"Price Missing",0)</f>
        <v>Price Missing</v>
      </c>
      <c r="J993" s="19">
        <f t="shared" si="15"/>
        <v>0</v>
      </c>
    </row>
    <row r="994" spans="1:10" x14ac:dyDescent="0.35">
      <c r="A994" s="4" t="s">
        <v>5014</v>
      </c>
      <c r="B994" s="7" t="s">
        <v>1262</v>
      </c>
      <c r="C994" s="7" t="s">
        <v>3468</v>
      </c>
      <c r="D994" s="5">
        <v>4</v>
      </c>
      <c r="E994" s="7" t="str">
        <f>_xlfn.XLOOKUP(B994,Customers!A994:A1993,Customers!B994:B1993,"Customer Not Found",0)</f>
        <v>Customer Not Found</v>
      </c>
      <c r="F994" s="7" t="str">
        <f>_xlfn.XLOOKUP(Orders!B994,Customers!A994:A1993,Customers!C994:C1993,"Country not Found",0)</f>
        <v>Country not Found</v>
      </c>
      <c r="G994" s="7" t="str">
        <f>_xlfn.XLOOKUP(C994,Products!A994:A1493,Products!B994:B1493,"Product Missing",0)</f>
        <v>Product Missing</v>
      </c>
      <c r="H994" s="7" t="str">
        <f>_xlfn.XLOOKUP(C994,Products!A994:A1493,Products!C994:C1493,"Category Missing",0)</f>
        <v>Category Missing</v>
      </c>
      <c r="I994" s="11" t="str">
        <f>_xlfn.XLOOKUP(Orders!C994,Products!A994:A1493,Products!D994:D1493,"Price Missing",0)</f>
        <v>Price Missing</v>
      </c>
      <c r="J994" s="19">
        <f t="shared" si="15"/>
        <v>0</v>
      </c>
    </row>
    <row r="995" spans="1:10" x14ac:dyDescent="0.35">
      <c r="A995" s="4" t="s">
        <v>5015</v>
      </c>
      <c r="B995" s="7" t="s">
        <v>2918</v>
      </c>
      <c r="C995" s="7" t="s">
        <v>3494</v>
      </c>
      <c r="D995" s="5">
        <v>3</v>
      </c>
      <c r="E995" s="7" t="str">
        <f>_xlfn.XLOOKUP(B995,Customers!A995:A1994,Customers!B995:B1994,"Customer Not Found",0)</f>
        <v>Customer Not Found</v>
      </c>
      <c r="F995" s="7" t="str">
        <f>_xlfn.XLOOKUP(Orders!B995,Customers!A995:A1994,Customers!C995:C1994,"Country not Found",0)</f>
        <v>Country not Found</v>
      </c>
      <c r="G995" s="7" t="str">
        <f>_xlfn.XLOOKUP(C995,Products!A995:A1494,Products!B995:B1494,"Product Missing",0)</f>
        <v>Product Missing</v>
      </c>
      <c r="H995" s="7" t="str">
        <f>_xlfn.XLOOKUP(C995,Products!A995:A1494,Products!C995:C1494,"Category Missing",0)</f>
        <v>Category Missing</v>
      </c>
      <c r="I995" s="11" t="str">
        <f>_xlfn.XLOOKUP(Orders!C995,Products!A995:A1494,Products!D995:D1494,"Price Missing",0)</f>
        <v>Price Missing</v>
      </c>
      <c r="J995" s="19">
        <f t="shared" si="15"/>
        <v>0</v>
      </c>
    </row>
    <row r="996" spans="1:10" x14ac:dyDescent="0.35">
      <c r="A996" s="4" t="s">
        <v>5016</v>
      </c>
      <c r="B996" s="7" t="s">
        <v>1418</v>
      </c>
      <c r="C996" s="7" t="s">
        <v>3104</v>
      </c>
      <c r="D996" s="5">
        <v>10</v>
      </c>
      <c r="E996" s="7" t="str">
        <f>_xlfn.XLOOKUP(B996,Customers!A996:A1995,Customers!B996:B1995,"Customer Not Found",0)</f>
        <v>Customer Not Found</v>
      </c>
      <c r="F996" s="7" t="str">
        <f>_xlfn.XLOOKUP(Orders!B996,Customers!A996:A1995,Customers!C996:C1995,"Country not Found",0)</f>
        <v>Country not Found</v>
      </c>
      <c r="G996" s="7" t="str">
        <f>_xlfn.XLOOKUP(C996,Products!A996:A1495,Products!B996:B1495,"Product Missing",0)</f>
        <v>Product Missing</v>
      </c>
      <c r="H996" s="7" t="str">
        <f>_xlfn.XLOOKUP(C996,Products!A996:A1495,Products!C996:C1495,"Category Missing",0)</f>
        <v>Category Missing</v>
      </c>
      <c r="I996" s="11" t="str">
        <f>_xlfn.XLOOKUP(Orders!C996,Products!A996:A1495,Products!D996:D1495,"Price Missing",0)</f>
        <v>Price Missing</v>
      </c>
      <c r="J996" s="19">
        <f t="shared" si="15"/>
        <v>0</v>
      </c>
    </row>
    <row r="997" spans="1:10" x14ac:dyDescent="0.35">
      <c r="A997" s="4" t="s">
        <v>5017</v>
      </c>
      <c r="B997" s="7" t="s">
        <v>2444</v>
      </c>
      <c r="C997" s="7" t="s">
        <v>3064</v>
      </c>
      <c r="D997" s="5">
        <v>5</v>
      </c>
      <c r="E997" s="7" t="str">
        <f>_xlfn.XLOOKUP(B997,Customers!A997:A1996,Customers!B997:B1996,"Customer Not Found",0)</f>
        <v>Customer Not Found</v>
      </c>
      <c r="F997" s="7" t="str">
        <f>_xlfn.XLOOKUP(Orders!B997,Customers!A997:A1996,Customers!C997:C1996,"Country not Found",0)</f>
        <v>Country not Found</v>
      </c>
      <c r="G997" s="7" t="str">
        <f>_xlfn.XLOOKUP(C997,Products!A997:A1496,Products!B997:B1496,"Product Missing",0)</f>
        <v>Product Missing</v>
      </c>
      <c r="H997" s="7" t="str">
        <f>_xlfn.XLOOKUP(C997,Products!A997:A1496,Products!C997:C1496,"Category Missing",0)</f>
        <v>Category Missing</v>
      </c>
      <c r="I997" s="11" t="str">
        <f>_xlfn.XLOOKUP(Orders!C997,Products!A997:A1496,Products!D997:D1496,"Price Missing",0)</f>
        <v>Price Missing</v>
      </c>
      <c r="J997" s="19">
        <f t="shared" si="15"/>
        <v>0</v>
      </c>
    </row>
    <row r="998" spans="1:10" x14ac:dyDescent="0.35">
      <c r="A998" s="4" t="s">
        <v>5018</v>
      </c>
      <c r="B998" s="7" t="s">
        <v>1175</v>
      </c>
      <c r="C998" s="7" t="s">
        <v>3606</v>
      </c>
      <c r="D998" s="5">
        <v>5</v>
      </c>
      <c r="E998" s="7" t="str">
        <f>_xlfn.XLOOKUP(B998,Customers!A998:A1997,Customers!B998:B1997,"Customer Not Found",0)</f>
        <v>Customer Not Found</v>
      </c>
      <c r="F998" s="7" t="str">
        <f>_xlfn.XLOOKUP(Orders!B998,Customers!A998:A1997,Customers!C998:C1997,"Country not Found",0)</f>
        <v>Country not Found</v>
      </c>
      <c r="G998" s="7" t="str">
        <f>_xlfn.XLOOKUP(C998,Products!A998:A1497,Products!B998:B1497,"Product Missing",0)</f>
        <v>Product Missing</v>
      </c>
      <c r="H998" s="7" t="str">
        <f>_xlfn.XLOOKUP(C998,Products!A998:A1497,Products!C998:C1497,"Category Missing",0)</f>
        <v>Category Missing</v>
      </c>
      <c r="I998" s="11" t="str">
        <f>_xlfn.XLOOKUP(Orders!C998,Products!A998:A1497,Products!D998:D1497,"Price Missing",0)</f>
        <v>Price Missing</v>
      </c>
      <c r="J998" s="19">
        <f t="shared" si="15"/>
        <v>0</v>
      </c>
    </row>
    <row r="999" spans="1:10" x14ac:dyDescent="0.35">
      <c r="A999" s="4" t="s">
        <v>5019</v>
      </c>
      <c r="B999" s="7" t="s">
        <v>836</v>
      </c>
      <c r="C999" s="7" t="s">
        <v>3964</v>
      </c>
      <c r="D999" s="5">
        <v>4</v>
      </c>
      <c r="E999" s="7" t="str">
        <f>_xlfn.XLOOKUP(B999,Customers!A999:A1998,Customers!B999:B1998,"Customer Not Found",0)</f>
        <v>Customer Not Found</v>
      </c>
      <c r="F999" s="7" t="str">
        <f>_xlfn.XLOOKUP(Orders!B999,Customers!A999:A1998,Customers!C999:C1998,"Country not Found",0)</f>
        <v>Country not Found</v>
      </c>
      <c r="G999" s="7" t="str">
        <f>_xlfn.XLOOKUP(C999,Products!A999:A1498,Products!B999:B1498,"Product Missing",0)</f>
        <v>Product Missing</v>
      </c>
      <c r="H999" s="7" t="str">
        <f>_xlfn.XLOOKUP(C999,Products!A999:A1498,Products!C999:C1498,"Category Missing",0)</f>
        <v>Category Missing</v>
      </c>
      <c r="I999" s="11" t="str">
        <f>_xlfn.XLOOKUP(Orders!C999,Products!A999:A1498,Products!D999:D1498,"Price Missing",0)</f>
        <v>Price Missing</v>
      </c>
      <c r="J999" s="19">
        <f t="shared" si="15"/>
        <v>0</v>
      </c>
    </row>
    <row r="1000" spans="1:10" x14ac:dyDescent="0.35">
      <c r="A1000" s="4" t="s">
        <v>5020</v>
      </c>
      <c r="B1000" s="7" t="s">
        <v>2837</v>
      </c>
      <c r="C1000" s="7" t="s">
        <v>3348</v>
      </c>
      <c r="D1000" s="5">
        <v>9</v>
      </c>
      <c r="E1000" s="7" t="str">
        <f>_xlfn.XLOOKUP(B1000,Customers!A1000:A1999,Customers!B1000:B1999,"Customer Not Found",0)</f>
        <v>Customer Not Found</v>
      </c>
      <c r="F1000" s="7" t="str">
        <f>_xlfn.XLOOKUP(Orders!B1000,Customers!A1000:A1999,Customers!C1000:C1999,"Country not Found",0)</f>
        <v>Country not Found</v>
      </c>
      <c r="G1000" s="7" t="str">
        <f>_xlfn.XLOOKUP(C1000,Products!A1000:A1499,Products!B1000:B1499,"Product Missing",0)</f>
        <v>Product Missing</v>
      </c>
      <c r="H1000" s="7" t="str">
        <f>_xlfn.XLOOKUP(C1000,Products!A1000:A1499,Products!C1000:C1499,"Category Missing",0)</f>
        <v>Category Missing</v>
      </c>
      <c r="I1000" s="11" t="str">
        <f>_xlfn.XLOOKUP(Orders!C1000,Products!A1000:A1499,Products!D1000:D1499,"Price Missing",0)</f>
        <v>Price Missing</v>
      </c>
      <c r="J1000" s="19">
        <f t="shared" si="15"/>
        <v>0</v>
      </c>
    </row>
    <row r="1001" spans="1:10" x14ac:dyDescent="0.35">
      <c r="A1001" s="4" t="s">
        <v>5021</v>
      </c>
      <c r="B1001" s="7" t="s">
        <v>2519</v>
      </c>
      <c r="C1001" s="7" t="s">
        <v>3244</v>
      </c>
      <c r="D1001" s="5">
        <v>1</v>
      </c>
      <c r="E1001" s="7" t="str">
        <f>_xlfn.XLOOKUP(B1001,Customers!A1001:A2000,Customers!B1001:B2000,"Customer Not Found",0)</f>
        <v>Customer Not Found</v>
      </c>
      <c r="F1001" s="7" t="str">
        <f>_xlfn.XLOOKUP(Orders!B1001,Customers!A1001:A2000,Customers!C1001:C2000,"Country not Found",0)</f>
        <v>Country not Found</v>
      </c>
      <c r="G1001" s="7" t="str">
        <f>_xlfn.XLOOKUP(C1001,Products!A1001:A1500,Products!B1001:B1500,"Product Missing",0)</f>
        <v>Product Missing</v>
      </c>
      <c r="H1001" s="7" t="str">
        <f>_xlfn.XLOOKUP(C1001,Products!A1001:A1500,Products!C1001:C1500,"Category Missing",0)</f>
        <v>Category Missing</v>
      </c>
      <c r="I1001" s="11" t="str">
        <f>_xlfn.XLOOKUP(Orders!C1001,Products!A1001:A1500,Products!D1001:D1500,"Price Missing",0)</f>
        <v>Price Missing</v>
      </c>
      <c r="J1001" s="19">
        <f t="shared" si="15"/>
        <v>0</v>
      </c>
    </row>
    <row r="1002" spans="1:10" x14ac:dyDescent="0.35">
      <c r="A1002" s="4" t="s">
        <v>5022</v>
      </c>
      <c r="B1002" s="7" t="s">
        <v>686</v>
      </c>
      <c r="C1002" s="7" t="s">
        <v>3262</v>
      </c>
      <c r="D1002" s="5">
        <v>3</v>
      </c>
      <c r="E1002" s="7" t="str">
        <f>_xlfn.XLOOKUP(B1002,Customers!A1002:A2001,Customers!B1002:B2001,"Customer Not Found",0)</f>
        <v>Customer Not Found</v>
      </c>
      <c r="F1002" s="7" t="str">
        <f>_xlfn.XLOOKUP(Orders!B1002,Customers!A1002:A2001,Customers!C1002:C2001,"Country not Found",0)</f>
        <v>Country not Found</v>
      </c>
      <c r="G1002" s="7" t="str">
        <f>_xlfn.XLOOKUP(C1002,Products!A1002:A1501,Products!B1002:B1501,"Product Missing",0)</f>
        <v>Product Missing</v>
      </c>
      <c r="H1002" s="7" t="str">
        <f>_xlfn.XLOOKUP(C1002,Products!A1002:A1501,Products!C1002:C1501,"Category Missing",0)</f>
        <v>Category Missing</v>
      </c>
      <c r="I1002" s="11" t="str">
        <f>_xlfn.XLOOKUP(Orders!C1002,Products!A1002:A1501,Products!D1002:D1501,"Price Missing",0)</f>
        <v>Price Missing</v>
      </c>
      <c r="J1002" s="19">
        <f t="shared" si="15"/>
        <v>0</v>
      </c>
    </row>
    <row r="1003" spans="1:10" x14ac:dyDescent="0.35">
      <c r="A1003" s="4" t="s">
        <v>5023</v>
      </c>
      <c r="B1003" s="7" t="s">
        <v>2153</v>
      </c>
      <c r="C1003" s="7" t="s">
        <v>3802</v>
      </c>
      <c r="D1003" s="5">
        <v>10</v>
      </c>
      <c r="E1003" s="7" t="str">
        <f>_xlfn.XLOOKUP(B1003,Customers!A1003:A2002,Customers!B1003:B2002,"Customer Not Found",0)</f>
        <v>Customer Not Found</v>
      </c>
      <c r="F1003" s="7" t="str">
        <f>_xlfn.XLOOKUP(Orders!B1003,Customers!A1003:A2002,Customers!C1003:C2002,"Country not Found",0)</f>
        <v>Country not Found</v>
      </c>
      <c r="G1003" s="7" t="str">
        <f>_xlfn.XLOOKUP(C1003,Products!A1003:A1502,Products!B1003:B1502,"Product Missing",0)</f>
        <v>Product Missing</v>
      </c>
      <c r="H1003" s="7" t="str">
        <f>_xlfn.XLOOKUP(C1003,Products!A1003:A1502,Products!C1003:C1502,"Category Missing",0)</f>
        <v>Category Missing</v>
      </c>
      <c r="I1003" s="11" t="str">
        <f>_xlfn.XLOOKUP(Orders!C1003,Products!A1003:A1502,Products!D1003:D1502,"Price Missing",0)</f>
        <v>Price Missing</v>
      </c>
      <c r="J1003" s="19">
        <f t="shared" si="15"/>
        <v>0</v>
      </c>
    </row>
    <row r="1004" spans="1:10" x14ac:dyDescent="0.35">
      <c r="A1004" s="4" t="s">
        <v>5024</v>
      </c>
      <c r="B1004" s="7" t="s">
        <v>1547</v>
      </c>
      <c r="C1004" s="7" t="s">
        <v>3714</v>
      </c>
      <c r="D1004" s="5">
        <v>7</v>
      </c>
      <c r="E1004" s="7" t="str">
        <f>_xlfn.XLOOKUP(B1004,Customers!A1004:A2003,Customers!B1004:B2003,"Customer Not Found",0)</f>
        <v>Customer Not Found</v>
      </c>
      <c r="F1004" s="7" t="str">
        <f>_xlfn.XLOOKUP(Orders!B1004,Customers!A1004:A2003,Customers!C1004:C2003,"Country not Found",0)</f>
        <v>Country not Found</v>
      </c>
      <c r="G1004" s="7" t="str">
        <f>_xlfn.XLOOKUP(C1004,Products!A1004:A1503,Products!B1004:B1503,"Product Missing",0)</f>
        <v>Product Missing</v>
      </c>
      <c r="H1004" s="7" t="str">
        <f>_xlfn.XLOOKUP(C1004,Products!A1004:A1503,Products!C1004:C1503,"Category Missing",0)</f>
        <v>Category Missing</v>
      </c>
      <c r="I1004" s="11" t="str">
        <f>_xlfn.XLOOKUP(Orders!C1004,Products!A1004:A1503,Products!D1004:D1503,"Price Missing",0)</f>
        <v>Price Missing</v>
      </c>
      <c r="J1004" s="19">
        <f t="shared" si="15"/>
        <v>0</v>
      </c>
    </row>
    <row r="1005" spans="1:10" x14ac:dyDescent="0.35">
      <c r="A1005" s="4" t="s">
        <v>5025</v>
      </c>
      <c r="B1005" s="7" t="s">
        <v>2042</v>
      </c>
      <c r="C1005" s="7" t="s">
        <v>3448</v>
      </c>
      <c r="D1005" s="5">
        <v>9</v>
      </c>
      <c r="E1005" s="7" t="str">
        <f>_xlfn.XLOOKUP(B1005,Customers!A1005:A2004,Customers!B1005:B2004,"Customer Not Found",0)</f>
        <v>Customer Not Found</v>
      </c>
      <c r="F1005" s="7" t="str">
        <f>_xlfn.XLOOKUP(Orders!B1005,Customers!A1005:A2004,Customers!C1005:C2004,"Country not Found",0)</f>
        <v>Country not Found</v>
      </c>
      <c r="G1005" s="7" t="str">
        <f>_xlfn.XLOOKUP(C1005,Products!A1005:A1504,Products!B1005:B1504,"Product Missing",0)</f>
        <v>Product Missing</v>
      </c>
      <c r="H1005" s="7" t="str">
        <f>_xlfn.XLOOKUP(C1005,Products!A1005:A1504,Products!C1005:C1504,"Category Missing",0)</f>
        <v>Category Missing</v>
      </c>
      <c r="I1005" s="11" t="str">
        <f>_xlfn.XLOOKUP(Orders!C1005,Products!A1005:A1504,Products!D1005:D1504,"Price Missing",0)</f>
        <v>Price Missing</v>
      </c>
      <c r="J1005" s="19">
        <f t="shared" si="15"/>
        <v>0</v>
      </c>
    </row>
    <row r="1006" spans="1:10" x14ac:dyDescent="0.35">
      <c r="A1006" s="4" t="s">
        <v>5026</v>
      </c>
      <c r="B1006" s="7" t="s">
        <v>191</v>
      </c>
      <c r="C1006" s="7" t="s">
        <v>3242</v>
      </c>
      <c r="D1006" s="5">
        <v>8</v>
      </c>
      <c r="E1006" s="7" t="str">
        <f>_xlfn.XLOOKUP(B1006,Customers!A1006:A2005,Customers!B1006:B2005,"Customer Not Found",0)</f>
        <v>Customer Not Found</v>
      </c>
      <c r="F1006" s="7" t="str">
        <f>_xlfn.XLOOKUP(Orders!B1006,Customers!A1006:A2005,Customers!C1006:C2005,"Country not Found",0)</f>
        <v>Country not Found</v>
      </c>
      <c r="G1006" s="7" t="str">
        <f>_xlfn.XLOOKUP(C1006,Products!A1006:A1505,Products!B1006:B1505,"Product Missing",0)</f>
        <v>Product Missing</v>
      </c>
      <c r="H1006" s="7" t="str">
        <f>_xlfn.XLOOKUP(C1006,Products!A1006:A1505,Products!C1006:C1505,"Category Missing",0)</f>
        <v>Category Missing</v>
      </c>
      <c r="I1006" s="11" t="str">
        <f>_xlfn.XLOOKUP(Orders!C1006,Products!A1006:A1505,Products!D1006:D1505,"Price Missing",0)</f>
        <v>Price Missing</v>
      </c>
      <c r="J1006" s="19">
        <f t="shared" si="15"/>
        <v>0</v>
      </c>
    </row>
    <row r="1007" spans="1:10" x14ac:dyDescent="0.35">
      <c r="A1007" s="4" t="s">
        <v>5027</v>
      </c>
      <c r="B1007" s="7" t="s">
        <v>1535</v>
      </c>
      <c r="C1007" s="7" t="s">
        <v>3336</v>
      </c>
      <c r="D1007" s="5">
        <v>4</v>
      </c>
      <c r="E1007" s="7" t="str">
        <f>_xlfn.XLOOKUP(B1007,Customers!A1007:A2006,Customers!B1007:B2006,"Customer Not Found",0)</f>
        <v>Customer Not Found</v>
      </c>
      <c r="F1007" s="7" t="str">
        <f>_xlfn.XLOOKUP(Orders!B1007,Customers!A1007:A2006,Customers!C1007:C2006,"Country not Found",0)</f>
        <v>Country not Found</v>
      </c>
      <c r="G1007" s="7" t="str">
        <f>_xlfn.XLOOKUP(C1007,Products!A1007:A1506,Products!B1007:B1506,"Product Missing",0)</f>
        <v>Product Missing</v>
      </c>
      <c r="H1007" s="7" t="str">
        <f>_xlfn.XLOOKUP(C1007,Products!A1007:A1506,Products!C1007:C1506,"Category Missing",0)</f>
        <v>Category Missing</v>
      </c>
      <c r="I1007" s="11" t="str">
        <f>_xlfn.XLOOKUP(Orders!C1007,Products!A1007:A1506,Products!D1007:D1506,"Price Missing",0)</f>
        <v>Price Missing</v>
      </c>
      <c r="J1007" s="19">
        <f t="shared" si="15"/>
        <v>0</v>
      </c>
    </row>
    <row r="1008" spans="1:10" x14ac:dyDescent="0.35">
      <c r="A1008" s="4" t="s">
        <v>5028</v>
      </c>
      <c r="B1008" s="7" t="s">
        <v>1124</v>
      </c>
      <c r="C1008" s="7" t="s">
        <v>3108</v>
      </c>
      <c r="D1008" s="5">
        <v>8</v>
      </c>
      <c r="E1008" s="7" t="str">
        <f>_xlfn.XLOOKUP(B1008,Customers!A1008:A2007,Customers!B1008:B2007,"Customer Not Found",0)</f>
        <v>Customer Not Found</v>
      </c>
      <c r="F1008" s="7" t="str">
        <f>_xlfn.XLOOKUP(Orders!B1008,Customers!A1008:A2007,Customers!C1008:C2007,"Country not Found",0)</f>
        <v>Country not Found</v>
      </c>
      <c r="G1008" s="7" t="str">
        <f>_xlfn.XLOOKUP(C1008,Products!A1008:A1507,Products!B1008:B1507,"Product Missing",0)</f>
        <v>Product Missing</v>
      </c>
      <c r="H1008" s="7" t="str">
        <f>_xlfn.XLOOKUP(C1008,Products!A1008:A1507,Products!C1008:C1507,"Category Missing",0)</f>
        <v>Category Missing</v>
      </c>
      <c r="I1008" s="11" t="str">
        <f>_xlfn.XLOOKUP(Orders!C1008,Products!A1008:A1507,Products!D1008:D1507,"Price Missing",0)</f>
        <v>Price Missing</v>
      </c>
      <c r="J1008" s="19">
        <f t="shared" si="15"/>
        <v>0</v>
      </c>
    </row>
    <row r="1009" spans="1:10" x14ac:dyDescent="0.35">
      <c r="A1009" s="4" t="s">
        <v>5029</v>
      </c>
      <c r="B1009" s="7" t="s">
        <v>140</v>
      </c>
      <c r="C1009" s="7" t="s">
        <v>3564</v>
      </c>
      <c r="D1009" s="5">
        <v>4</v>
      </c>
      <c r="E1009" s="7" t="str">
        <f>_xlfn.XLOOKUP(B1009,Customers!A1009:A2008,Customers!B1009:B2008,"Customer Not Found",0)</f>
        <v>Customer Not Found</v>
      </c>
      <c r="F1009" s="7" t="str">
        <f>_xlfn.XLOOKUP(Orders!B1009,Customers!A1009:A2008,Customers!C1009:C2008,"Country not Found",0)</f>
        <v>Country not Found</v>
      </c>
      <c r="G1009" s="7" t="str">
        <f>_xlfn.XLOOKUP(C1009,Products!A1009:A1508,Products!B1009:B1508,"Product Missing",0)</f>
        <v>Product Missing</v>
      </c>
      <c r="H1009" s="7" t="str">
        <f>_xlfn.XLOOKUP(C1009,Products!A1009:A1508,Products!C1009:C1508,"Category Missing",0)</f>
        <v>Category Missing</v>
      </c>
      <c r="I1009" s="11" t="str">
        <f>_xlfn.XLOOKUP(Orders!C1009,Products!A1009:A1508,Products!D1009:D1508,"Price Missing",0)</f>
        <v>Price Missing</v>
      </c>
      <c r="J1009" s="19">
        <f t="shared" si="15"/>
        <v>0</v>
      </c>
    </row>
    <row r="1010" spans="1:10" x14ac:dyDescent="0.35">
      <c r="A1010" s="4" t="s">
        <v>5030</v>
      </c>
      <c r="B1010" s="7" t="s">
        <v>662</v>
      </c>
      <c r="C1010" s="7" t="s">
        <v>3512</v>
      </c>
      <c r="D1010" s="5">
        <v>5</v>
      </c>
      <c r="E1010" s="7" t="str">
        <f>_xlfn.XLOOKUP(B1010,Customers!A1010:A2009,Customers!B1010:B2009,"Customer Not Found",0)</f>
        <v>Customer Not Found</v>
      </c>
      <c r="F1010" s="7" t="str">
        <f>_xlfn.XLOOKUP(Orders!B1010,Customers!A1010:A2009,Customers!C1010:C2009,"Country not Found",0)</f>
        <v>Country not Found</v>
      </c>
      <c r="G1010" s="7" t="str">
        <f>_xlfn.XLOOKUP(C1010,Products!A1010:A1509,Products!B1010:B1509,"Product Missing",0)</f>
        <v>Product Missing</v>
      </c>
      <c r="H1010" s="7" t="str">
        <f>_xlfn.XLOOKUP(C1010,Products!A1010:A1509,Products!C1010:C1509,"Category Missing",0)</f>
        <v>Category Missing</v>
      </c>
      <c r="I1010" s="11" t="str">
        <f>_xlfn.XLOOKUP(Orders!C1010,Products!A1010:A1509,Products!D1010:D1509,"Price Missing",0)</f>
        <v>Price Missing</v>
      </c>
      <c r="J1010" s="19">
        <f t="shared" si="15"/>
        <v>0</v>
      </c>
    </row>
    <row r="1011" spans="1:10" x14ac:dyDescent="0.35">
      <c r="A1011" s="4" t="s">
        <v>5031</v>
      </c>
      <c r="B1011" s="7" t="s">
        <v>1109</v>
      </c>
      <c r="C1011" s="7" t="s">
        <v>3334</v>
      </c>
      <c r="D1011" s="5">
        <v>6</v>
      </c>
      <c r="E1011" s="7" t="str">
        <f>_xlfn.XLOOKUP(B1011,Customers!A1011:A2010,Customers!B1011:B2010,"Customer Not Found",0)</f>
        <v>Customer Not Found</v>
      </c>
      <c r="F1011" s="7" t="str">
        <f>_xlfn.XLOOKUP(Orders!B1011,Customers!A1011:A2010,Customers!C1011:C2010,"Country not Found",0)</f>
        <v>Country not Found</v>
      </c>
      <c r="G1011" s="7" t="str">
        <f>_xlfn.XLOOKUP(C1011,Products!A1011:A1510,Products!B1011:B1510,"Product Missing",0)</f>
        <v>Product Missing</v>
      </c>
      <c r="H1011" s="7" t="str">
        <f>_xlfn.XLOOKUP(C1011,Products!A1011:A1510,Products!C1011:C1510,"Category Missing",0)</f>
        <v>Category Missing</v>
      </c>
      <c r="I1011" s="11" t="str">
        <f>_xlfn.XLOOKUP(Orders!C1011,Products!A1011:A1510,Products!D1011:D1510,"Price Missing",0)</f>
        <v>Price Missing</v>
      </c>
      <c r="J1011" s="19">
        <f t="shared" si="15"/>
        <v>0</v>
      </c>
    </row>
    <row r="1012" spans="1:10" x14ac:dyDescent="0.35">
      <c r="A1012" s="4" t="s">
        <v>5032</v>
      </c>
      <c r="B1012" s="7" t="s">
        <v>49</v>
      </c>
      <c r="C1012" s="7" t="s">
        <v>3570</v>
      </c>
      <c r="D1012" s="5">
        <v>10</v>
      </c>
      <c r="E1012" s="7" t="str">
        <f>_xlfn.XLOOKUP(B1012,Customers!A1012:A2011,Customers!B1012:B2011,"Customer Not Found",0)</f>
        <v>Customer Not Found</v>
      </c>
      <c r="F1012" s="7" t="str">
        <f>_xlfn.XLOOKUP(Orders!B1012,Customers!A1012:A2011,Customers!C1012:C2011,"Country not Found",0)</f>
        <v>Country not Found</v>
      </c>
      <c r="G1012" s="7" t="str">
        <f>_xlfn.XLOOKUP(C1012,Products!A1012:A1511,Products!B1012:B1511,"Product Missing",0)</f>
        <v>Product Missing</v>
      </c>
      <c r="H1012" s="7" t="str">
        <f>_xlfn.XLOOKUP(C1012,Products!A1012:A1511,Products!C1012:C1511,"Category Missing",0)</f>
        <v>Category Missing</v>
      </c>
      <c r="I1012" s="11" t="str">
        <f>_xlfn.XLOOKUP(Orders!C1012,Products!A1012:A1511,Products!D1012:D1511,"Price Missing",0)</f>
        <v>Price Missing</v>
      </c>
      <c r="J1012" s="19">
        <f t="shared" si="15"/>
        <v>0</v>
      </c>
    </row>
    <row r="1013" spans="1:10" x14ac:dyDescent="0.35">
      <c r="A1013" s="4" t="s">
        <v>5033</v>
      </c>
      <c r="B1013" s="7" t="s">
        <v>467</v>
      </c>
      <c r="C1013" s="7" t="s">
        <v>3966</v>
      </c>
      <c r="D1013" s="5">
        <v>1</v>
      </c>
      <c r="E1013" s="7" t="str">
        <f>_xlfn.XLOOKUP(B1013,Customers!A1013:A2012,Customers!B1013:B2012,"Customer Not Found",0)</f>
        <v>Customer Not Found</v>
      </c>
      <c r="F1013" s="7" t="str">
        <f>_xlfn.XLOOKUP(Orders!B1013,Customers!A1013:A2012,Customers!C1013:C2012,"Country not Found",0)</f>
        <v>Country not Found</v>
      </c>
      <c r="G1013" s="7" t="str">
        <f>_xlfn.XLOOKUP(C1013,Products!A1013:A1512,Products!B1013:B1512,"Product Missing",0)</f>
        <v>Product Missing</v>
      </c>
      <c r="H1013" s="7" t="str">
        <f>_xlfn.XLOOKUP(C1013,Products!A1013:A1512,Products!C1013:C1512,"Category Missing",0)</f>
        <v>Category Missing</v>
      </c>
      <c r="I1013" s="11" t="str">
        <f>_xlfn.XLOOKUP(Orders!C1013,Products!A1013:A1512,Products!D1013:D1512,"Price Missing",0)</f>
        <v>Price Missing</v>
      </c>
      <c r="J1013" s="19">
        <f t="shared" si="15"/>
        <v>0</v>
      </c>
    </row>
    <row r="1014" spans="1:10" x14ac:dyDescent="0.35">
      <c r="A1014" s="4" t="s">
        <v>5034</v>
      </c>
      <c r="B1014" s="7" t="s">
        <v>1334</v>
      </c>
      <c r="C1014" s="7" t="s">
        <v>3532</v>
      </c>
      <c r="D1014" s="5">
        <v>8</v>
      </c>
      <c r="E1014" s="7" t="str">
        <f>_xlfn.XLOOKUP(B1014,Customers!A1014:A2013,Customers!B1014:B2013,"Customer Not Found",0)</f>
        <v>Customer Not Found</v>
      </c>
      <c r="F1014" s="7" t="str">
        <f>_xlfn.XLOOKUP(Orders!B1014,Customers!A1014:A2013,Customers!C1014:C2013,"Country not Found",0)</f>
        <v>Country not Found</v>
      </c>
      <c r="G1014" s="7" t="str">
        <f>_xlfn.XLOOKUP(C1014,Products!A1014:A1513,Products!B1014:B1513,"Product Missing",0)</f>
        <v>Product Missing</v>
      </c>
      <c r="H1014" s="7" t="str">
        <f>_xlfn.XLOOKUP(C1014,Products!A1014:A1513,Products!C1014:C1513,"Category Missing",0)</f>
        <v>Category Missing</v>
      </c>
      <c r="I1014" s="11" t="str">
        <f>_xlfn.XLOOKUP(Orders!C1014,Products!A1014:A1513,Products!D1014:D1513,"Price Missing",0)</f>
        <v>Price Missing</v>
      </c>
      <c r="J1014" s="19">
        <f t="shared" si="15"/>
        <v>0</v>
      </c>
    </row>
    <row r="1015" spans="1:10" x14ac:dyDescent="0.35">
      <c r="A1015" s="4" t="s">
        <v>5035</v>
      </c>
      <c r="B1015" s="7" t="s">
        <v>428</v>
      </c>
      <c r="C1015" s="7" t="s">
        <v>3988</v>
      </c>
      <c r="D1015" s="5">
        <v>1</v>
      </c>
      <c r="E1015" s="7" t="str">
        <f>_xlfn.XLOOKUP(B1015,Customers!A1015:A2014,Customers!B1015:B2014,"Customer Not Found",0)</f>
        <v>Customer Not Found</v>
      </c>
      <c r="F1015" s="7" t="str">
        <f>_xlfn.XLOOKUP(Orders!B1015,Customers!A1015:A2014,Customers!C1015:C2014,"Country not Found",0)</f>
        <v>Country not Found</v>
      </c>
      <c r="G1015" s="7" t="str">
        <f>_xlfn.XLOOKUP(C1015,Products!A1015:A1514,Products!B1015:B1514,"Product Missing",0)</f>
        <v>Product Missing</v>
      </c>
      <c r="H1015" s="7" t="str">
        <f>_xlfn.XLOOKUP(C1015,Products!A1015:A1514,Products!C1015:C1514,"Category Missing",0)</f>
        <v>Category Missing</v>
      </c>
      <c r="I1015" s="11" t="str">
        <f>_xlfn.XLOOKUP(Orders!C1015,Products!A1015:A1514,Products!D1015:D1514,"Price Missing",0)</f>
        <v>Price Missing</v>
      </c>
      <c r="J1015" s="19">
        <f t="shared" si="15"/>
        <v>0</v>
      </c>
    </row>
    <row r="1016" spans="1:10" x14ac:dyDescent="0.35">
      <c r="A1016" s="4" t="s">
        <v>5036</v>
      </c>
      <c r="B1016" s="7" t="s">
        <v>2780</v>
      </c>
      <c r="C1016" s="7" t="s">
        <v>3528</v>
      </c>
      <c r="D1016" s="5">
        <v>7</v>
      </c>
      <c r="E1016" s="7" t="str">
        <f>_xlfn.XLOOKUP(B1016,Customers!A1016:A2015,Customers!B1016:B2015,"Customer Not Found",0)</f>
        <v>Customer Not Found</v>
      </c>
      <c r="F1016" s="7" t="str">
        <f>_xlfn.XLOOKUP(Orders!B1016,Customers!A1016:A2015,Customers!C1016:C2015,"Country not Found",0)</f>
        <v>Country not Found</v>
      </c>
      <c r="G1016" s="7" t="str">
        <f>_xlfn.XLOOKUP(C1016,Products!A1016:A1515,Products!B1016:B1515,"Product Missing",0)</f>
        <v>Product Missing</v>
      </c>
      <c r="H1016" s="7" t="str">
        <f>_xlfn.XLOOKUP(C1016,Products!A1016:A1515,Products!C1016:C1515,"Category Missing",0)</f>
        <v>Category Missing</v>
      </c>
      <c r="I1016" s="11" t="str">
        <f>_xlfn.XLOOKUP(Orders!C1016,Products!A1016:A1515,Products!D1016:D1515,"Price Missing",0)</f>
        <v>Price Missing</v>
      </c>
      <c r="J1016" s="19">
        <f t="shared" si="15"/>
        <v>0</v>
      </c>
    </row>
    <row r="1017" spans="1:10" x14ac:dyDescent="0.35">
      <c r="A1017" s="4" t="s">
        <v>5037</v>
      </c>
      <c r="B1017" s="7" t="s">
        <v>1832</v>
      </c>
      <c r="C1017" s="7" t="s">
        <v>3920</v>
      </c>
      <c r="D1017" s="5">
        <v>6</v>
      </c>
      <c r="E1017" s="7" t="str">
        <f>_xlfn.XLOOKUP(B1017,Customers!A1017:A2016,Customers!B1017:B2016,"Customer Not Found",0)</f>
        <v>Customer Not Found</v>
      </c>
      <c r="F1017" s="7" t="str">
        <f>_xlfn.XLOOKUP(Orders!B1017,Customers!A1017:A2016,Customers!C1017:C2016,"Country not Found",0)</f>
        <v>Country not Found</v>
      </c>
      <c r="G1017" s="7" t="str">
        <f>_xlfn.XLOOKUP(C1017,Products!A1017:A1516,Products!B1017:B1516,"Product Missing",0)</f>
        <v>Product Missing</v>
      </c>
      <c r="H1017" s="7" t="str">
        <f>_xlfn.XLOOKUP(C1017,Products!A1017:A1516,Products!C1017:C1516,"Category Missing",0)</f>
        <v>Category Missing</v>
      </c>
      <c r="I1017" s="11" t="str">
        <f>_xlfn.XLOOKUP(Orders!C1017,Products!A1017:A1516,Products!D1017:D1516,"Price Missing",0)</f>
        <v>Price Missing</v>
      </c>
      <c r="J1017" s="19">
        <f t="shared" si="15"/>
        <v>0</v>
      </c>
    </row>
    <row r="1018" spans="1:10" x14ac:dyDescent="0.35">
      <c r="A1018" s="4" t="s">
        <v>5038</v>
      </c>
      <c r="B1018" s="7" t="s">
        <v>1121</v>
      </c>
      <c r="C1018" s="7" t="s">
        <v>3138</v>
      </c>
      <c r="D1018" s="5">
        <v>5</v>
      </c>
      <c r="E1018" s="7" t="str">
        <f>_xlfn.XLOOKUP(B1018,Customers!A1018:A2017,Customers!B1018:B2017,"Customer Not Found",0)</f>
        <v>Customer Not Found</v>
      </c>
      <c r="F1018" s="7" t="str">
        <f>_xlfn.XLOOKUP(Orders!B1018,Customers!A1018:A2017,Customers!C1018:C2017,"Country not Found",0)</f>
        <v>Country not Found</v>
      </c>
      <c r="G1018" s="7" t="str">
        <f>_xlfn.XLOOKUP(C1018,Products!A1018:A1517,Products!B1018:B1517,"Product Missing",0)</f>
        <v>Product Missing</v>
      </c>
      <c r="H1018" s="7" t="str">
        <f>_xlfn.XLOOKUP(C1018,Products!A1018:A1517,Products!C1018:C1517,"Category Missing",0)</f>
        <v>Category Missing</v>
      </c>
      <c r="I1018" s="11" t="str">
        <f>_xlfn.XLOOKUP(Orders!C1018,Products!A1018:A1517,Products!D1018:D1517,"Price Missing",0)</f>
        <v>Price Missing</v>
      </c>
      <c r="J1018" s="19">
        <f t="shared" si="15"/>
        <v>0</v>
      </c>
    </row>
    <row r="1019" spans="1:10" x14ac:dyDescent="0.35">
      <c r="A1019" s="4" t="s">
        <v>5039</v>
      </c>
      <c r="B1019" s="7" t="s">
        <v>1022</v>
      </c>
      <c r="C1019" s="7" t="s">
        <v>3340</v>
      </c>
      <c r="D1019" s="5">
        <v>10</v>
      </c>
      <c r="E1019" s="7" t="str">
        <f>_xlfn.XLOOKUP(B1019,Customers!A1019:A2018,Customers!B1019:B2018,"Customer Not Found",0)</f>
        <v>Customer Not Found</v>
      </c>
      <c r="F1019" s="7" t="str">
        <f>_xlfn.XLOOKUP(Orders!B1019,Customers!A1019:A2018,Customers!C1019:C2018,"Country not Found",0)</f>
        <v>Country not Found</v>
      </c>
      <c r="G1019" s="7" t="str">
        <f>_xlfn.XLOOKUP(C1019,Products!A1019:A1518,Products!B1019:B1518,"Product Missing",0)</f>
        <v>Product Missing</v>
      </c>
      <c r="H1019" s="7" t="str">
        <f>_xlfn.XLOOKUP(C1019,Products!A1019:A1518,Products!C1019:C1518,"Category Missing",0)</f>
        <v>Category Missing</v>
      </c>
      <c r="I1019" s="11" t="str">
        <f>_xlfn.XLOOKUP(Orders!C1019,Products!A1019:A1518,Products!D1019:D1518,"Price Missing",0)</f>
        <v>Price Missing</v>
      </c>
      <c r="J1019" s="19">
        <f t="shared" si="15"/>
        <v>0</v>
      </c>
    </row>
    <row r="1020" spans="1:10" x14ac:dyDescent="0.35">
      <c r="A1020" s="4" t="s">
        <v>5040</v>
      </c>
      <c r="B1020" s="7" t="s">
        <v>1466</v>
      </c>
      <c r="C1020" s="7" t="s">
        <v>3656</v>
      </c>
      <c r="D1020" s="5">
        <v>4</v>
      </c>
      <c r="E1020" s="7" t="str">
        <f>_xlfn.XLOOKUP(B1020,Customers!A1020:A2019,Customers!B1020:B2019,"Customer Not Found",0)</f>
        <v>Customer Not Found</v>
      </c>
      <c r="F1020" s="7" t="str">
        <f>_xlfn.XLOOKUP(Orders!B1020,Customers!A1020:A2019,Customers!C1020:C2019,"Country not Found",0)</f>
        <v>Country not Found</v>
      </c>
      <c r="G1020" s="7" t="str">
        <f>_xlfn.XLOOKUP(C1020,Products!A1020:A1519,Products!B1020:B1519,"Product Missing",0)</f>
        <v>Product Missing</v>
      </c>
      <c r="H1020" s="7" t="str">
        <f>_xlfn.XLOOKUP(C1020,Products!A1020:A1519,Products!C1020:C1519,"Category Missing",0)</f>
        <v>Category Missing</v>
      </c>
      <c r="I1020" s="11" t="str">
        <f>_xlfn.XLOOKUP(Orders!C1020,Products!A1020:A1519,Products!D1020:D1519,"Price Missing",0)</f>
        <v>Price Missing</v>
      </c>
      <c r="J1020" s="19">
        <f t="shared" si="15"/>
        <v>0</v>
      </c>
    </row>
    <row r="1021" spans="1:10" x14ac:dyDescent="0.35">
      <c r="A1021" s="4" t="s">
        <v>5041</v>
      </c>
      <c r="B1021" s="7" t="s">
        <v>2255</v>
      </c>
      <c r="C1021" s="7" t="s">
        <v>3368</v>
      </c>
      <c r="D1021" s="5">
        <v>1</v>
      </c>
      <c r="E1021" s="7" t="str">
        <f>_xlfn.XLOOKUP(B1021,Customers!A1021:A2020,Customers!B1021:B2020,"Customer Not Found",0)</f>
        <v>Customer Not Found</v>
      </c>
      <c r="F1021" s="7" t="str">
        <f>_xlfn.XLOOKUP(Orders!B1021,Customers!A1021:A2020,Customers!C1021:C2020,"Country not Found",0)</f>
        <v>Country not Found</v>
      </c>
      <c r="G1021" s="7" t="str">
        <f>_xlfn.XLOOKUP(C1021,Products!A1021:A1520,Products!B1021:B1520,"Product Missing",0)</f>
        <v>Product Missing</v>
      </c>
      <c r="H1021" s="7" t="str">
        <f>_xlfn.XLOOKUP(C1021,Products!A1021:A1520,Products!C1021:C1520,"Category Missing",0)</f>
        <v>Category Missing</v>
      </c>
      <c r="I1021" s="11" t="str">
        <f>_xlfn.XLOOKUP(Orders!C1021,Products!A1021:A1520,Products!D1021:D1520,"Price Missing",0)</f>
        <v>Price Missing</v>
      </c>
      <c r="J1021" s="19">
        <f t="shared" si="15"/>
        <v>0</v>
      </c>
    </row>
    <row r="1022" spans="1:10" x14ac:dyDescent="0.35">
      <c r="A1022" s="4" t="s">
        <v>5042</v>
      </c>
      <c r="B1022" s="7" t="s">
        <v>1736</v>
      </c>
      <c r="C1022" s="7" t="s">
        <v>3830</v>
      </c>
      <c r="D1022" s="5">
        <v>9</v>
      </c>
      <c r="E1022" s="7" t="str">
        <f>_xlfn.XLOOKUP(B1022,Customers!A1022:A2021,Customers!B1022:B2021,"Customer Not Found",0)</f>
        <v>Customer Not Found</v>
      </c>
      <c r="F1022" s="7" t="str">
        <f>_xlfn.XLOOKUP(Orders!B1022,Customers!A1022:A2021,Customers!C1022:C2021,"Country not Found",0)</f>
        <v>Country not Found</v>
      </c>
      <c r="G1022" s="7" t="str">
        <f>_xlfn.XLOOKUP(C1022,Products!A1022:A1521,Products!B1022:B1521,"Product Missing",0)</f>
        <v>Product Missing</v>
      </c>
      <c r="H1022" s="7" t="str">
        <f>_xlfn.XLOOKUP(C1022,Products!A1022:A1521,Products!C1022:C1521,"Category Missing",0)</f>
        <v>Category Missing</v>
      </c>
      <c r="I1022" s="11" t="str">
        <f>_xlfn.XLOOKUP(Orders!C1022,Products!A1022:A1521,Products!D1022:D1521,"Price Missing",0)</f>
        <v>Price Missing</v>
      </c>
      <c r="J1022" s="19">
        <f t="shared" si="15"/>
        <v>0</v>
      </c>
    </row>
    <row r="1023" spans="1:10" x14ac:dyDescent="0.35">
      <c r="A1023" s="4" t="s">
        <v>5043</v>
      </c>
      <c r="B1023" s="7" t="s">
        <v>2003</v>
      </c>
      <c r="C1023" s="7" t="s">
        <v>3896</v>
      </c>
      <c r="D1023" s="5">
        <v>6</v>
      </c>
      <c r="E1023" s="7" t="str">
        <f>_xlfn.XLOOKUP(B1023,Customers!A1023:A2022,Customers!B1023:B2022,"Customer Not Found",0)</f>
        <v>Customer Not Found</v>
      </c>
      <c r="F1023" s="7" t="str">
        <f>_xlfn.XLOOKUP(Orders!B1023,Customers!A1023:A2022,Customers!C1023:C2022,"Country not Found",0)</f>
        <v>Country not Found</v>
      </c>
      <c r="G1023" s="7" t="str">
        <f>_xlfn.XLOOKUP(C1023,Products!A1023:A1522,Products!B1023:B1522,"Product Missing",0)</f>
        <v>Product Missing</v>
      </c>
      <c r="H1023" s="7" t="str">
        <f>_xlfn.XLOOKUP(C1023,Products!A1023:A1522,Products!C1023:C1522,"Category Missing",0)</f>
        <v>Category Missing</v>
      </c>
      <c r="I1023" s="11" t="str">
        <f>_xlfn.XLOOKUP(Orders!C1023,Products!A1023:A1522,Products!D1023:D1522,"Price Missing",0)</f>
        <v>Price Missing</v>
      </c>
      <c r="J1023" s="19">
        <f t="shared" si="15"/>
        <v>0</v>
      </c>
    </row>
    <row r="1024" spans="1:10" x14ac:dyDescent="0.35">
      <c r="A1024" s="4" t="s">
        <v>5044</v>
      </c>
      <c r="B1024" s="7" t="s">
        <v>332</v>
      </c>
      <c r="C1024" s="7" t="s">
        <v>3394</v>
      </c>
      <c r="D1024" s="5">
        <v>4</v>
      </c>
      <c r="E1024" s="7" t="str">
        <f>_xlfn.XLOOKUP(B1024,Customers!A1024:A2023,Customers!B1024:B2023,"Customer Not Found",0)</f>
        <v>Customer Not Found</v>
      </c>
      <c r="F1024" s="7" t="str">
        <f>_xlfn.XLOOKUP(Orders!B1024,Customers!A1024:A2023,Customers!C1024:C2023,"Country not Found",0)</f>
        <v>Country not Found</v>
      </c>
      <c r="G1024" s="7" t="str">
        <f>_xlfn.XLOOKUP(C1024,Products!A1024:A1523,Products!B1024:B1523,"Product Missing",0)</f>
        <v>Product Missing</v>
      </c>
      <c r="H1024" s="7" t="str">
        <f>_xlfn.XLOOKUP(C1024,Products!A1024:A1523,Products!C1024:C1523,"Category Missing",0)</f>
        <v>Category Missing</v>
      </c>
      <c r="I1024" s="11" t="str">
        <f>_xlfn.XLOOKUP(Orders!C1024,Products!A1024:A1523,Products!D1024:D1523,"Price Missing",0)</f>
        <v>Price Missing</v>
      </c>
      <c r="J1024" s="19">
        <f t="shared" si="15"/>
        <v>0</v>
      </c>
    </row>
    <row r="1025" spans="1:10" x14ac:dyDescent="0.35">
      <c r="A1025" s="4" t="s">
        <v>5045</v>
      </c>
      <c r="B1025" s="7" t="s">
        <v>1199</v>
      </c>
      <c r="C1025" s="7" t="s">
        <v>3854</v>
      </c>
      <c r="D1025" s="5">
        <v>7</v>
      </c>
      <c r="E1025" s="7" t="str">
        <f>_xlfn.XLOOKUP(B1025,Customers!A1025:A2024,Customers!B1025:B2024,"Customer Not Found",0)</f>
        <v>Customer Not Found</v>
      </c>
      <c r="F1025" s="7" t="str">
        <f>_xlfn.XLOOKUP(Orders!B1025,Customers!A1025:A2024,Customers!C1025:C2024,"Country not Found",0)</f>
        <v>Country not Found</v>
      </c>
      <c r="G1025" s="7" t="str">
        <f>_xlfn.XLOOKUP(C1025,Products!A1025:A1524,Products!B1025:B1524,"Product Missing",0)</f>
        <v>Product Missing</v>
      </c>
      <c r="H1025" s="7" t="str">
        <f>_xlfn.XLOOKUP(C1025,Products!A1025:A1524,Products!C1025:C1524,"Category Missing",0)</f>
        <v>Category Missing</v>
      </c>
      <c r="I1025" s="11" t="str">
        <f>_xlfn.XLOOKUP(Orders!C1025,Products!A1025:A1524,Products!D1025:D1524,"Price Missing",0)</f>
        <v>Price Missing</v>
      </c>
      <c r="J1025" s="19">
        <f t="shared" si="15"/>
        <v>0</v>
      </c>
    </row>
    <row r="1026" spans="1:10" x14ac:dyDescent="0.35">
      <c r="A1026" s="4" t="s">
        <v>5046</v>
      </c>
      <c r="B1026" s="7" t="s">
        <v>2957</v>
      </c>
      <c r="C1026" s="7" t="s">
        <v>3968</v>
      </c>
      <c r="D1026" s="5">
        <v>4</v>
      </c>
      <c r="E1026" s="7" t="str">
        <f>_xlfn.XLOOKUP(B1026,Customers!A1026:A2025,Customers!B1026:B2025,"Customer Not Found",0)</f>
        <v>Customer Not Found</v>
      </c>
      <c r="F1026" s="7" t="str">
        <f>_xlfn.XLOOKUP(Orders!B1026,Customers!A1026:A2025,Customers!C1026:C2025,"Country not Found",0)</f>
        <v>Country not Found</v>
      </c>
      <c r="G1026" s="7" t="str">
        <f>_xlfn.XLOOKUP(C1026,Products!A1026:A1525,Products!B1026:B1525,"Product Missing",0)</f>
        <v>Product Missing</v>
      </c>
      <c r="H1026" s="7" t="str">
        <f>_xlfn.XLOOKUP(C1026,Products!A1026:A1525,Products!C1026:C1525,"Category Missing",0)</f>
        <v>Category Missing</v>
      </c>
      <c r="I1026" s="11" t="str">
        <f>_xlfn.XLOOKUP(Orders!C1026,Products!A1026:A1525,Products!D1026:D1525,"Price Missing",0)</f>
        <v>Price Missing</v>
      </c>
      <c r="J1026" s="19">
        <f t="shared" si="15"/>
        <v>0</v>
      </c>
    </row>
    <row r="1027" spans="1:10" x14ac:dyDescent="0.35">
      <c r="A1027" s="4" t="s">
        <v>5047</v>
      </c>
      <c r="B1027" s="7" t="s">
        <v>269</v>
      </c>
      <c r="C1027" s="7" t="s">
        <v>3658</v>
      </c>
      <c r="D1027" s="5">
        <v>9</v>
      </c>
      <c r="E1027" s="7" t="str">
        <f>_xlfn.XLOOKUP(B1027,Customers!A1027:A2026,Customers!B1027:B2026,"Customer Not Found",0)</f>
        <v>Customer Not Found</v>
      </c>
      <c r="F1027" s="7" t="str">
        <f>_xlfn.XLOOKUP(Orders!B1027,Customers!A1027:A2026,Customers!C1027:C2026,"Country not Found",0)</f>
        <v>Country not Found</v>
      </c>
      <c r="G1027" s="7" t="str">
        <f>_xlfn.XLOOKUP(C1027,Products!A1027:A1526,Products!B1027:B1526,"Product Missing",0)</f>
        <v>Product Missing</v>
      </c>
      <c r="H1027" s="7" t="str">
        <f>_xlfn.XLOOKUP(C1027,Products!A1027:A1526,Products!C1027:C1526,"Category Missing",0)</f>
        <v>Category Missing</v>
      </c>
      <c r="I1027" s="11" t="str">
        <f>_xlfn.XLOOKUP(Orders!C1027,Products!A1027:A1526,Products!D1027:D1526,"Price Missing",0)</f>
        <v>Price Missing</v>
      </c>
      <c r="J1027" s="19">
        <f t="shared" ref="J1027:J1090" si="16">IFERROR(I1027*D1027,0)</f>
        <v>0</v>
      </c>
    </row>
    <row r="1028" spans="1:10" x14ac:dyDescent="0.35">
      <c r="A1028" s="4" t="s">
        <v>5048</v>
      </c>
      <c r="B1028" s="7" t="s">
        <v>1793</v>
      </c>
      <c r="C1028" s="7" t="s">
        <v>3154</v>
      </c>
      <c r="D1028" s="5">
        <v>9</v>
      </c>
      <c r="E1028" s="7" t="str">
        <f>_xlfn.XLOOKUP(B1028,Customers!A1028:A2027,Customers!B1028:B2027,"Customer Not Found",0)</f>
        <v>Customer Not Found</v>
      </c>
      <c r="F1028" s="7" t="str">
        <f>_xlfn.XLOOKUP(Orders!B1028,Customers!A1028:A2027,Customers!C1028:C2027,"Country not Found",0)</f>
        <v>Country not Found</v>
      </c>
      <c r="G1028" s="7" t="str">
        <f>_xlfn.XLOOKUP(C1028,Products!A1028:A1527,Products!B1028:B1527,"Product Missing",0)</f>
        <v>Product Missing</v>
      </c>
      <c r="H1028" s="7" t="str">
        <f>_xlfn.XLOOKUP(C1028,Products!A1028:A1527,Products!C1028:C1527,"Category Missing",0)</f>
        <v>Category Missing</v>
      </c>
      <c r="I1028" s="11" t="str">
        <f>_xlfn.XLOOKUP(Orders!C1028,Products!A1028:A1527,Products!D1028:D1527,"Price Missing",0)</f>
        <v>Price Missing</v>
      </c>
      <c r="J1028" s="19">
        <f t="shared" si="16"/>
        <v>0</v>
      </c>
    </row>
    <row r="1029" spans="1:10" x14ac:dyDescent="0.35">
      <c r="A1029" s="4" t="s">
        <v>5049</v>
      </c>
      <c r="B1029" s="7" t="s">
        <v>320</v>
      </c>
      <c r="C1029" s="7" t="s">
        <v>3027</v>
      </c>
      <c r="D1029" s="5">
        <v>1</v>
      </c>
      <c r="E1029" s="7" t="str">
        <f>_xlfn.XLOOKUP(B1029,Customers!A1029:A2028,Customers!B1029:B2028,"Customer Not Found",0)</f>
        <v>Customer Not Found</v>
      </c>
      <c r="F1029" s="7" t="str">
        <f>_xlfn.XLOOKUP(Orders!B1029,Customers!A1029:A2028,Customers!C1029:C2028,"Country not Found",0)</f>
        <v>Country not Found</v>
      </c>
      <c r="G1029" s="7" t="str">
        <f>_xlfn.XLOOKUP(C1029,Products!A1029:A1528,Products!B1029:B1528,"Product Missing",0)</f>
        <v>Product Missing</v>
      </c>
      <c r="H1029" s="7" t="str">
        <f>_xlfn.XLOOKUP(C1029,Products!A1029:A1528,Products!C1029:C1528,"Category Missing",0)</f>
        <v>Category Missing</v>
      </c>
      <c r="I1029" s="11" t="str">
        <f>_xlfn.XLOOKUP(Orders!C1029,Products!A1029:A1528,Products!D1029:D1528,"Price Missing",0)</f>
        <v>Price Missing</v>
      </c>
      <c r="J1029" s="19">
        <f t="shared" si="16"/>
        <v>0</v>
      </c>
    </row>
    <row r="1030" spans="1:10" x14ac:dyDescent="0.35">
      <c r="A1030" s="4" t="s">
        <v>5050</v>
      </c>
      <c r="B1030" s="7" t="s">
        <v>3005</v>
      </c>
      <c r="C1030" s="7" t="s">
        <v>3468</v>
      </c>
      <c r="D1030" s="5">
        <v>4</v>
      </c>
      <c r="E1030" s="7" t="str">
        <f>_xlfn.XLOOKUP(B1030,Customers!A1030:A2029,Customers!B1030:B2029,"Customer Not Found",0)</f>
        <v>Customer Not Found</v>
      </c>
      <c r="F1030" s="7" t="str">
        <f>_xlfn.XLOOKUP(Orders!B1030,Customers!A1030:A2029,Customers!C1030:C2029,"Country not Found",0)</f>
        <v>Country not Found</v>
      </c>
      <c r="G1030" s="7" t="str">
        <f>_xlfn.XLOOKUP(C1030,Products!A1030:A1529,Products!B1030:B1529,"Product Missing",0)</f>
        <v>Product Missing</v>
      </c>
      <c r="H1030" s="7" t="str">
        <f>_xlfn.XLOOKUP(C1030,Products!A1030:A1529,Products!C1030:C1529,"Category Missing",0)</f>
        <v>Category Missing</v>
      </c>
      <c r="I1030" s="11" t="str">
        <f>_xlfn.XLOOKUP(Orders!C1030,Products!A1030:A1529,Products!D1030:D1529,"Price Missing",0)</f>
        <v>Price Missing</v>
      </c>
      <c r="J1030" s="19">
        <f t="shared" si="16"/>
        <v>0</v>
      </c>
    </row>
    <row r="1031" spans="1:10" x14ac:dyDescent="0.35">
      <c r="A1031" s="4" t="s">
        <v>5051</v>
      </c>
      <c r="B1031" s="7" t="s">
        <v>389</v>
      </c>
      <c r="C1031" s="7" t="s">
        <v>3368</v>
      </c>
      <c r="D1031" s="5">
        <v>5</v>
      </c>
      <c r="E1031" s="7" t="str">
        <f>_xlfn.XLOOKUP(B1031,Customers!A1031:A2030,Customers!B1031:B2030,"Customer Not Found",0)</f>
        <v>Customer Not Found</v>
      </c>
      <c r="F1031" s="7" t="str">
        <f>_xlfn.XLOOKUP(Orders!B1031,Customers!A1031:A2030,Customers!C1031:C2030,"Country not Found",0)</f>
        <v>Country not Found</v>
      </c>
      <c r="G1031" s="7" t="str">
        <f>_xlfn.XLOOKUP(C1031,Products!A1031:A1530,Products!B1031:B1530,"Product Missing",0)</f>
        <v>Product Missing</v>
      </c>
      <c r="H1031" s="7" t="str">
        <f>_xlfn.XLOOKUP(C1031,Products!A1031:A1530,Products!C1031:C1530,"Category Missing",0)</f>
        <v>Category Missing</v>
      </c>
      <c r="I1031" s="11" t="str">
        <f>_xlfn.XLOOKUP(Orders!C1031,Products!A1031:A1530,Products!D1031:D1530,"Price Missing",0)</f>
        <v>Price Missing</v>
      </c>
      <c r="J1031" s="19">
        <f t="shared" si="16"/>
        <v>0</v>
      </c>
    </row>
    <row r="1032" spans="1:10" x14ac:dyDescent="0.35">
      <c r="A1032" s="4" t="s">
        <v>5052</v>
      </c>
      <c r="B1032" s="7" t="s">
        <v>2270</v>
      </c>
      <c r="C1032" s="7" t="s">
        <v>3912</v>
      </c>
      <c r="D1032" s="5">
        <v>6</v>
      </c>
      <c r="E1032" s="7" t="str">
        <f>_xlfn.XLOOKUP(B1032,Customers!A1032:A2031,Customers!B1032:B2031,"Customer Not Found",0)</f>
        <v>Customer Not Found</v>
      </c>
      <c r="F1032" s="7" t="str">
        <f>_xlfn.XLOOKUP(Orders!B1032,Customers!A1032:A2031,Customers!C1032:C2031,"Country not Found",0)</f>
        <v>Country not Found</v>
      </c>
      <c r="G1032" s="7" t="str">
        <f>_xlfn.XLOOKUP(C1032,Products!A1032:A1531,Products!B1032:B1531,"Product Missing",0)</f>
        <v>Product Missing</v>
      </c>
      <c r="H1032" s="7" t="str">
        <f>_xlfn.XLOOKUP(C1032,Products!A1032:A1531,Products!C1032:C1531,"Category Missing",0)</f>
        <v>Category Missing</v>
      </c>
      <c r="I1032" s="11" t="str">
        <f>_xlfn.XLOOKUP(Orders!C1032,Products!A1032:A1531,Products!D1032:D1531,"Price Missing",0)</f>
        <v>Price Missing</v>
      </c>
      <c r="J1032" s="19">
        <f t="shared" si="16"/>
        <v>0</v>
      </c>
    </row>
    <row r="1033" spans="1:10" x14ac:dyDescent="0.35">
      <c r="A1033" s="4" t="s">
        <v>5053</v>
      </c>
      <c r="B1033" s="7" t="s">
        <v>1232</v>
      </c>
      <c r="C1033" s="7" t="s">
        <v>3750</v>
      </c>
      <c r="D1033" s="5">
        <v>3</v>
      </c>
      <c r="E1033" s="7" t="str">
        <f>_xlfn.XLOOKUP(B1033,Customers!A1033:A2032,Customers!B1033:B2032,"Customer Not Found",0)</f>
        <v>Customer Not Found</v>
      </c>
      <c r="F1033" s="7" t="str">
        <f>_xlfn.XLOOKUP(Orders!B1033,Customers!A1033:A2032,Customers!C1033:C2032,"Country not Found",0)</f>
        <v>Country not Found</v>
      </c>
      <c r="G1033" s="7" t="str">
        <f>_xlfn.XLOOKUP(C1033,Products!A1033:A1532,Products!B1033:B1532,"Product Missing",0)</f>
        <v>Product Missing</v>
      </c>
      <c r="H1033" s="7" t="str">
        <f>_xlfn.XLOOKUP(C1033,Products!A1033:A1532,Products!C1033:C1532,"Category Missing",0)</f>
        <v>Category Missing</v>
      </c>
      <c r="I1033" s="11" t="str">
        <f>_xlfn.XLOOKUP(Orders!C1033,Products!A1033:A1532,Products!D1033:D1532,"Price Missing",0)</f>
        <v>Price Missing</v>
      </c>
      <c r="J1033" s="19">
        <f t="shared" si="16"/>
        <v>0</v>
      </c>
    </row>
    <row r="1034" spans="1:10" x14ac:dyDescent="0.35">
      <c r="A1034" s="4" t="s">
        <v>5054</v>
      </c>
      <c r="B1034" s="7" t="s">
        <v>1664</v>
      </c>
      <c r="C1034" s="7" t="s">
        <v>3924</v>
      </c>
      <c r="D1034" s="5">
        <v>5</v>
      </c>
      <c r="E1034" s="7" t="str">
        <f>_xlfn.XLOOKUP(B1034,Customers!A1034:A2033,Customers!B1034:B2033,"Customer Not Found",0)</f>
        <v>Customer Not Found</v>
      </c>
      <c r="F1034" s="7" t="str">
        <f>_xlfn.XLOOKUP(Orders!B1034,Customers!A1034:A2033,Customers!C1034:C2033,"Country not Found",0)</f>
        <v>Country not Found</v>
      </c>
      <c r="G1034" s="7" t="str">
        <f>_xlfn.XLOOKUP(C1034,Products!A1034:A1533,Products!B1034:B1533,"Product Missing",0)</f>
        <v>Product Missing</v>
      </c>
      <c r="H1034" s="7" t="str">
        <f>_xlfn.XLOOKUP(C1034,Products!A1034:A1533,Products!C1034:C1533,"Category Missing",0)</f>
        <v>Category Missing</v>
      </c>
      <c r="I1034" s="11" t="str">
        <f>_xlfn.XLOOKUP(Orders!C1034,Products!A1034:A1533,Products!D1034:D1533,"Price Missing",0)</f>
        <v>Price Missing</v>
      </c>
      <c r="J1034" s="19">
        <f t="shared" si="16"/>
        <v>0</v>
      </c>
    </row>
    <row r="1035" spans="1:10" x14ac:dyDescent="0.35">
      <c r="A1035" s="4" t="s">
        <v>5055</v>
      </c>
      <c r="B1035" s="7" t="s">
        <v>575</v>
      </c>
      <c r="C1035" s="7" t="s">
        <v>3698</v>
      </c>
      <c r="D1035" s="5">
        <v>3</v>
      </c>
      <c r="E1035" s="7" t="str">
        <f>_xlfn.XLOOKUP(B1035,Customers!A1035:A2034,Customers!B1035:B2034,"Customer Not Found",0)</f>
        <v>Customer Not Found</v>
      </c>
      <c r="F1035" s="7" t="str">
        <f>_xlfn.XLOOKUP(Orders!B1035,Customers!A1035:A2034,Customers!C1035:C2034,"Country not Found",0)</f>
        <v>Country not Found</v>
      </c>
      <c r="G1035" s="7" t="str">
        <f>_xlfn.XLOOKUP(C1035,Products!A1035:A1534,Products!B1035:B1534,"Product Missing",0)</f>
        <v>Product Missing</v>
      </c>
      <c r="H1035" s="7" t="str">
        <f>_xlfn.XLOOKUP(C1035,Products!A1035:A1534,Products!C1035:C1534,"Category Missing",0)</f>
        <v>Category Missing</v>
      </c>
      <c r="I1035" s="11" t="str">
        <f>_xlfn.XLOOKUP(Orders!C1035,Products!A1035:A1534,Products!D1035:D1534,"Price Missing",0)</f>
        <v>Price Missing</v>
      </c>
      <c r="J1035" s="19">
        <f t="shared" si="16"/>
        <v>0</v>
      </c>
    </row>
    <row r="1036" spans="1:10" x14ac:dyDescent="0.35">
      <c r="A1036" s="4" t="s">
        <v>5056</v>
      </c>
      <c r="B1036" s="7" t="s">
        <v>695</v>
      </c>
      <c r="C1036" s="7" t="s">
        <v>3168</v>
      </c>
      <c r="D1036" s="5">
        <v>2</v>
      </c>
      <c r="E1036" s="7" t="str">
        <f>_xlfn.XLOOKUP(B1036,Customers!A1036:A2035,Customers!B1036:B2035,"Customer Not Found",0)</f>
        <v>Customer Not Found</v>
      </c>
      <c r="F1036" s="7" t="str">
        <f>_xlfn.XLOOKUP(Orders!B1036,Customers!A1036:A2035,Customers!C1036:C2035,"Country not Found",0)</f>
        <v>Country not Found</v>
      </c>
      <c r="G1036" s="7" t="str">
        <f>_xlfn.XLOOKUP(C1036,Products!A1036:A1535,Products!B1036:B1535,"Product Missing",0)</f>
        <v>Product Missing</v>
      </c>
      <c r="H1036" s="7" t="str">
        <f>_xlfn.XLOOKUP(C1036,Products!A1036:A1535,Products!C1036:C1535,"Category Missing",0)</f>
        <v>Category Missing</v>
      </c>
      <c r="I1036" s="11" t="str">
        <f>_xlfn.XLOOKUP(Orders!C1036,Products!A1036:A1535,Products!D1036:D1535,"Price Missing",0)</f>
        <v>Price Missing</v>
      </c>
      <c r="J1036" s="19">
        <f t="shared" si="16"/>
        <v>0</v>
      </c>
    </row>
    <row r="1037" spans="1:10" x14ac:dyDescent="0.35">
      <c r="A1037" s="4" t="s">
        <v>5057</v>
      </c>
      <c r="B1037" s="7" t="s">
        <v>2066</v>
      </c>
      <c r="C1037" s="7" t="s">
        <v>3542</v>
      </c>
      <c r="D1037" s="5">
        <v>6</v>
      </c>
      <c r="E1037" s="7" t="str">
        <f>_xlfn.XLOOKUP(B1037,Customers!A1037:A2036,Customers!B1037:B2036,"Customer Not Found",0)</f>
        <v>Customer Not Found</v>
      </c>
      <c r="F1037" s="7" t="str">
        <f>_xlfn.XLOOKUP(Orders!B1037,Customers!A1037:A2036,Customers!C1037:C2036,"Country not Found",0)</f>
        <v>Country not Found</v>
      </c>
      <c r="G1037" s="7" t="str">
        <f>_xlfn.XLOOKUP(C1037,Products!A1037:A1536,Products!B1037:B1536,"Product Missing",0)</f>
        <v>Product Missing</v>
      </c>
      <c r="H1037" s="7" t="str">
        <f>_xlfn.XLOOKUP(C1037,Products!A1037:A1536,Products!C1037:C1536,"Category Missing",0)</f>
        <v>Category Missing</v>
      </c>
      <c r="I1037" s="11" t="str">
        <f>_xlfn.XLOOKUP(Orders!C1037,Products!A1037:A1536,Products!D1037:D1536,"Price Missing",0)</f>
        <v>Price Missing</v>
      </c>
      <c r="J1037" s="19">
        <f t="shared" si="16"/>
        <v>0</v>
      </c>
    </row>
    <row r="1038" spans="1:10" x14ac:dyDescent="0.35">
      <c r="A1038" s="4" t="s">
        <v>5058</v>
      </c>
      <c r="B1038" s="7" t="s">
        <v>1499</v>
      </c>
      <c r="C1038" s="7" t="s">
        <v>4006</v>
      </c>
      <c r="D1038" s="5">
        <v>1</v>
      </c>
      <c r="E1038" s="7" t="str">
        <f>_xlfn.XLOOKUP(B1038,Customers!A1038:A2037,Customers!B1038:B2037,"Customer Not Found",0)</f>
        <v>Customer Not Found</v>
      </c>
      <c r="F1038" s="7" t="str">
        <f>_xlfn.XLOOKUP(Orders!B1038,Customers!A1038:A2037,Customers!C1038:C2037,"Country not Found",0)</f>
        <v>Country not Found</v>
      </c>
      <c r="G1038" s="7" t="str">
        <f>_xlfn.XLOOKUP(C1038,Products!A1038:A1537,Products!B1038:B1537,"Product Missing",0)</f>
        <v>Product Missing</v>
      </c>
      <c r="H1038" s="7" t="str">
        <f>_xlfn.XLOOKUP(C1038,Products!A1038:A1537,Products!C1038:C1537,"Category Missing",0)</f>
        <v>Category Missing</v>
      </c>
      <c r="I1038" s="11" t="str">
        <f>_xlfn.XLOOKUP(Orders!C1038,Products!A1038:A1537,Products!D1038:D1537,"Price Missing",0)</f>
        <v>Price Missing</v>
      </c>
      <c r="J1038" s="19">
        <f t="shared" si="16"/>
        <v>0</v>
      </c>
    </row>
    <row r="1039" spans="1:10" x14ac:dyDescent="0.35">
      <c r="A1039" s="4" t="s">
        <v>5059</v>
      </c>
      <c r="B1039" s="7" t="s">
        <v>2111</v>
      </c>
      <c r="C1039" s="7" t="s">
        <v>3662</v>
      </c>
      <c r="D1039" s="5">
        <v>10</v>
      </c>
      <c r="E1039" s="7" t="str">
        <f>_xlfn.XLOOKUP(B1039,Customers!A1039:A2038,Customers!B1039:B2038,"Customer Not Found",0)</f>
        <v>Customer Not Found</v>
      </c>
      <c r="F1039" s="7" t="str">
        <f>_xlfn.XLOOKUP(Orders!B1039,Customers!A1039:A2038,Customers!C1039:C2038,"Country not Found",0)</f>
        <v>Country not Found</v>
      </c>
      <c r="G1039" s="7" t="str">
        <f>_xlfn.XLOOKUP(C1039,Products!A1039:A1538,Products!B1039:B1538,"Product Missing",0)</f>
        <v>Product Missing</v>
      </c>
      <c r="H1039" s="7" t="str">
        <f>_xlfn.XLOOKUP(C1039,Products!A1039:A1538,Products!C1039:C1538,"Category Missing",0)</f>
        <v>Category Missing</v>
      </c>
      <c r="I1039" s="11" t="str">
        <f>_xlfn.XLOOKUP(Orders!C1039,Products!A1039:A1538,Products!D1039:D1538,"Price Missing",0)</f>
        <v>Price Missing</v>
      </c>
      <c r="J1039" s="19">
        <f t="shared" si="16"/>
        <v>0</v>
      </c>
    </row>
    <row r="1040" spans="1:10" x14ac:dyDescent="0.35">
      <c r="A1040" s="4" t="s">
        <v>5060</v>
      </c>
      <c r="B1040" s="7" t="s">
        <v>2618</v>
      </c>
      <c r="C1040" s="7" t="s">
        <v>3660</v>
      </c>
      <c r="D1040" s="5">
        <v>3</v>
      </c>
      <c r="E1040" s="7" t="str">
        <f>_xlfn.XLOOKUP(B1040,Customers!A1040:A2039,Customers!B1040:B2039,"Customer Not Found",0)</f>
        <v>Customer Not Found</v>
      </c>
      <c r="F1040" s="7" t="str">
        <f>_xlfn.XLOOKUP(Orders!B1040,Customers!A1040:A2039,Customers!C1040:C2039,"Country not Found",0)</f>
        <v>Country not Found</v>
      </c>
      <c r="G1040" s="7" t="str">
        <f>_xlfn.XLOOKUP(C1040,Products!A1040:A1539,Products!B1040:B1539,"Product Missing",0)</f>
        <v>Product Missing</v>
      </c>
      <c r="H1040" s="7" t="str">
        <f>_xlfn.XLOOKUP(C1040,Products!A1040:A1539,Products!C1040:C1539,"Category Missing",0)</f>
        <v>Category Missing</v>
      </c>
      <c r="I1040" s="11" t="str">
        <f>_xlfn.XLOOKUP(Orders!C1040,Products!A1040:A1539,Products!D1040:D1539,"Price Missing",0)</f>
        <v>Price Missing</v>
      </c>
      <c r="J1040" s="19">
        <f t="shared" si="16"/>
        <v>0</v>
      </c>
    </row>
    <row r="1041" spans="1:10" x14ac:dyDescent="0.35">
      <c r="A1041" s="4" t="s">
        <v>5061</v>
      </c>
      <c r="B1041" s="7" t="s">
        <v>1292</v>
      </c>
      <c r="C1041" s="7" t="s">
        <v>3262</v>
      </c>
      <c r="D1041" s="5">
        <v>3</v>
      </c>
      <c r="E1041" s="7" t="str">
        <f>_xlfn.XLOOKUP(B1041,Customers!A1041:A2040,Customers!B1041:B2040,"Customer Not Found",0)</f>
        <v>Customer Not Found</v>
      </c>
      <c r="F1041" s="7" t="str">
        <f>_xlfn.XLOOKUP(Orders!B1041,Customers!A1041:A2040,Customers!C1041:C2040,"Country not Found",0)</f>
        <v>Country not Found</v>
      </c>
      <c r="G1041" s="7" t="str">
        <f>_xlfn.XLOOKUP(C1041,Products!A1041:A1540,Products!B1041:B1540,"Product Missing",0)</f>
        <v>Product Missing</v>
      </c>
      <c r="H1041" s="7" t="str">
        <f>_xlfn.XLOOKUP(C1041,Products!A1041:A1540,Products!C1041:C1540,"Category Missing",0)</f>
        <v>Category Missing</v>
      </c>
      <c r="I1041" s="11" t="str">
        <f>_xlfn.XLOOKUP(Orders!C1041,Products!A1041:A1540,Products!D1041:D1540,"Price Missing",0)</f>
        <v>Price Missing</v>
      </c>
      <c r="J1041" s="19">
        <f t="shared" si="16"/>
        <v>0</v>
      </c>
    </row>
    <row r="1042" spans="1:10" x14ac:dyDescent="0.35">
      <c r="A1042" s="4" t="s">
        <v>5062</v>
      </c>
      <c r="B1042" s="7" t="s">
        <v>2162</v>
      </c>
      <c r="C1042" s="7" t="s">
        <v>3978</v>
      </c>
      <c r="D1042" s="5">
        <v>8</v>
      </c>
      <c r="E1042" s="7" t="str">
        <f>_xlfn.XLOOKUP(B1042,Customers!A1042:A2041,Customers!B1042:B2041,"Customer Not Found",0)</f>
        <v>Customer Not Found</v>
      </c>
      <c r="F1042" s="7" t="str">
        <f>_xlfn.XLOOKUP(Orders!B1042,Customers!A1042:A2041,Customers!C1042:C2041,"Country not Found",0)</f>
        <v>Country not Found</v>
      </c>
      <c r="G1042" s="7" t="str">
        <f>_xlfn.XLOOKUP(C1042,Products!A1042:A1541,Products!B1042:B1541,"Product Missing",0)</f>
        <v>Product Missing</v>
      </c>
      <c r="H1042" s="7" t="str">
        <f>_xlfn.XLOOKUP(C1042,Products!A1042:A1541,Products!C1042:C1541,"Category Missing",0)</f>
        <v>Category Missing</v>
      </c>
      <c r="I1042" s="11" t="str">
        <f>_xlfn.XLOOKUP(Orders!C1042,Products!A1042:A1541,Products!D1042:D1541,"Price Missing",0)</f>
        <v>Price Missing</v>
      </c>
      <c r="J1042" s="19">
        <f t="shared" si="16"/>
        <v>0</v>
      </c>
    </row>
    <row r="1043" spans="1:10" x14ac:dyDescent="0.35">
      <c r="A1043" s="4" t="s">
        <v>5063</v>
      </c>
      <c r="B1043" s="7" t="s">
        <v>317</v>
      </c>
      <c r="C1043" s="7" t="s">
        <v>3398</v>
      </c>
      <c r="D1043" s="5">
        <v>7</v>
      </c>
      <c r="E1043" s="7" t="str">
        <f>_xlfn.XLOOKUP(B1043,Customers!A1043:A2042,Customers!B1043:B2042,"Customer Not Found",0)</f>
        <v>Customer Not Found</v>
      </c>
      <c r="F1043" s="7" t="str">
        <f>_xlfn.XLOOKUP(Orders!B1043,Customers!A1043:A2042,Customers!C1043:C2042,"Country not Found",0)</f>
        <v>Country not Found</v>
      </c>
      <c r="G1043" s="7" t="str">
        <f>_xlfn.XLOOKUP(C1043,Products!A1043:A1542,Products!B1043:B1542,"Product Missing",0)</f>
        <v>Product Missing</v>
      </c>
      <c r="H1043" s="7" t="str">
        <f>_xlfn.XLOOKUP(C1043,Products!A1043:A1542,Products!C1043:C1542,"Category Missing",0)</f>
        <v>Category Missing</v>
      </c>
      <c r="I1043" s="11" t="str">
        <f>_xlfn.XLOOKUP(Orders!C1043,Products!A1043:A1542,Products!D1043:D1542,"Price Missing",0)</f>
        <v>Price Missing</v>
      </c>
      <c r="J1043" s="19">
        <f t="shared" si="16"/>
        <v>0</v>
      </c>
    </row>
    <row r="1044" spans="1:10" x14ac:dyDescent="0.35">
      <c r="A1044" s="4" t="s">
        <v>5064</v>
      </c>
      <c r="B1044" s="7" t="s">
        <v>1148</v>
      </c>
      <c r="C1044" s="7" t="s">
        <v>3976</v>
      </c>
      <c r="D1044" s="5">
        <v>1</v>
      </c>
      <c r="E1044" s="7" t="str">
        <f>_xlfn.XLOOKUP(B1044,Customers!A1044:A2043,Customers!B1044:B2043,"Customer Not Found",0)</f>
        <v>Customer Not Found</v>
      </c>
      <c r="F1044" s="7" t="str">
        <f>_xlfn.XLOOKUP(Orders!B1044,Customers!A1044:A2043,Customers!C1044:C2043,"Country not Found",0)</f>
        <v>Country not Found</v>
      </c>
      <c r="G1044" s="7" t="str">
        <f>_xlfn.XLOOKUP(C1044,Products!A1044:A1543,Products!B1044:B1543,"Product Missing",0)</f>
        <v>Product Missing</v>
      </c>
      <c r="H1044" s="7" t="str">
        <f>_xlfn.XLOOKUP(C1044,Products!A1044:A1543,Products!C1044:C1543,"Category Missing",0)</f>
        <v>Category Missing</v>
      </c>
      <c r="I1044" s="11" t="str">
        <f>_xlfn.XLOOKUP(Orders!C1044,Products!A1044:A1543,Products!D1044:D1543,"Price Missing",0)</f>
        <v>Price Missing</v>
      </c>
      <c r="J1044" s="19">
        <f t="shared" si="16"/>
        <v>0</v>
      </c>
    </row>
    <row r="1045" spans="1:10" x14ac:dyDescent="0.35">
      <c r="A1045" s="4" t="s">
        <v>5065</v>
      </c>
      <c r="B1045" s="7" t="s">
        <v>2738</v>
      </c>
      <c r="C1045" s="7" t="s">
        <v>3172</v>
      </c>
      <c r="D1045" s="5">
        <v>4</v>
      </c>
      <c r="E1045" s="7" t="str">
        <f>_xlfn.XLOOKUP(B1045,Customers!A1045:A2044,Customers!B1045:B2044,"Customer Not Found",0)</f>
        <v>Customer Not Found</v>
      </c>
      <c r="F1045" s="7" t="str">
        <f>_xlfn.XLOOKUP(Orders!B1045,Customers!A1045:A2044,Customers!C1045:C2044,"Country not Found",0)</f>
        <v>Country not Found</v>
      </c>
      <c r="G1045" s="7" t="str">
        <f>_xlfn.XLOOKUP(C1045,Products!A1045:A1544,Products!B1045:B1544,"Product Missing",0)</f>
        <v>Product Missing</v>
      </c>
      <c r="H1045" s="7" t="str">
        <f>_xlfn.XLOOKUP(C1045,Products!A1045:A1544,Products!C1045:C1544,"Category Missing",0)</f>
        <v>Category Missing</v>
      </c>
      <c r="I1045" s="11" t="str">
        <f>_xlfn.XLOOKUP(Orders!C1045,Products!A1045:A1544,Products!D1045:D1544,"Price Missing",0)</f>
        <v>Price Missing</v>
      </c>
      <c r="J1045" s="19">
        <f t="shared" si="16"/>
        <v>0</v>
      </c>
    </row>
    <row r="1046" spans="1:10" x14ac:dyDescent="0.35">
      <c r="A1046" s="4" t="s">
        <v>5066</v>
      </c>
      <c r="B1046" s="7" t="s">
        <v>137</v>
      </c>
      <c r="C1046" s="7" t="s">
        <v>3770</v>
      </c>
      <c r="D1046" s="5">
        <v>5</v>
      </c>
      <c r="E1046" s="7" t="str">
        <f>_xlfn.XLOOKUP(B1046,Customers!A1046:A2045,Customers!B1046:B2045,"Customer Not Found",0)</f>
        <v>Customer Not Found</v>
      </c>
      <c r="F1046" s="7" t="str">
        <f>_xlfn.XLOOKUP(Orders!B1046,Customers!A1046:A2045,Customers!C1046:C2045,"Country not Found",0)</f>
        <v>Country not Found</v>
      </c>
      <c r="G1046" s="7" t="str">
        <f>_xlfn.XLOOKUP(C1046,Products!A1046:A1545,Products!B1046:B1545,"Product Missing",0)</f>
        <v>Product Missing</v>
      </c>
      <c r="H1046" s="7" t="str">
        <f>_xlfn.XLOOKUP(C1046,Products!A1046:A1545,Products!C1046:C1545,"Category Missing",0)</f>
        <v>Category Missing</v>
      </c>
      <c r="I1046" s="11" t="str">
        <f>_xlfn.XLOOKUP(Orders!C1046,Products!A1046:A1545,Products!D1046:D1545,"Price Missing",0)</f>
        <v>Price Missing</v>
      </c>
      <c r="J1046" s="19">
        <f t="shared" si="16"/>
        <v>0</v>
      </c>
    </row>
    <row r="1047" spans="1:10" x14ac:dyDescent="0.35">
      <c r="A1047" s="4" t="s">
        <v>5067</v>
      </c>
      <c r="B1047" s="7" t="s">
        <v>1544</v>
      </c>
      <c r="C1047" s="7" t="s">
        <v>3968</v>
      </c>
      <c r="D1047" s="5">
        <v>8</v>
      </c>
      <c r="E1047" s="7" t="str">
        <f>_xlfn.XLOOKUP(B1047,Customers!A1047:A2046,Customers!B1047:B2046,"Customer Not Found",0)</f>
        <v>Customer Not Found</v>
      </c>
      <c r="F1047" s="7" t="str">
        <f>_xlfn.XLOOKUP(Orders!B1047,Customers!A1047:A2046,Customers!C1047:C2046,"Country not Found",0)</f>
        <v>Country not Found</v>
      </c>
      <c r="G1047" s="7" t="str">
        <f>_xlfn.XLOOKUP(C1047,Products!A1047:A1546,Products!B1047:B1546,"Product Missing",0)</f>
        <v>Product Missing</v>
      </c>
      <c r="H1047" s="7" t="str">
        <f>_xlfn.XLOOKUP(C1047,Products!A1047:A1546,Products!C1047:C1546,"Category Missing",0)</f>
        <v>Category Missing</v>
      </c>
      <c r="I1047" s="11" t="str">
        <f>_xlfn.XLOOKUP(Orders!C1047,Products!A1047:A1546,Products!D1047:D1546,"Price Missing",0)</f>
        <v>Price Missing</v>
      </c>
      <c r="J1047" s="19">
        <f t="shared" si="16"/>
        <v>0</v>
      </c>
    </row>
    <row r="1048" spans="1:10" x14ac:dyDescent="0.35">
      <c r="A1048" s="4" t="s">
        <v>5068</v>
      </c>
      <c r="B1048" s="7" t="s">
        <v>1508</v>
      </c>
      <c r="C1048" s="7" t="s">
        <v>3402</v>
      </c>
      <c r="D1048" s="5">
        <v>10</v>
      </c>
      <c r="E1048" s="7" t="str">
        <f>_xlfn.XLOOKUP(B1048,Customers!A1048:A2047,Customers!B1048:B2047,"Customer Not Found",0)</f>
        <v>Customer Not Found</v>
      </c>
      <c r="F1048" s="7" t="str">
        <f>_xlfn.XLOOKUP(Orders!B1048,Customers!A1048:A2047,Customers!C1048:C2047,"Country not Found",0)</f>
        <v>Country not Found</v>
      </c>
      <c r="G1048" s="7" t="str">
        <f>_xlfn.XLOOKUP(C1048,Products!A1048:A1547,Products!B1048:B1547,"Product Missing",0)</f>
        <v>Product Missing</v>
      </c>
      <c r="H1048" s="7" t="str">
        <f>_xlfn.XLOOKUP(C1048,Products!A1048:A1547,Products!C1048:C1547,"Category Missing",0)</f>
        <v>Category Missing</v>
      </c>
      <c r="I1048" s="11" t="str">
        <f>_xlfn.XLOOKUP(Orders!C1048,Products!A1048:A1547,Products!D1048:D1547,"Price Missing",0)</f>
        <v>Price Missing</v>
      </c>
      <c r="J1048" s="19">
        <f t="shared" si="16"/>
        <v>0</v>
      </c>
    </row>
    <row r="1049" spans="1:10" x14ac:dyDescent="0.35">
      <c r="A1049" s="4" t="s">
        <v>5069</v>
      </c>
      <c r="B1049" s="7" t="s">
        <v>1667</v>
      </c>
      <c r="C1049" s="7" t="s">
        <v>3074</v>
      </c>
      <c r="D1049" s="5">
        <v>6</v>
      </c>
      <c r="E1049" s="7" t="str">
        <f>_xlfn.XLOOKUP(B1049,Customers!A1049:A2048,Customers!B1049:B2048,"Customer Not Found",0)</f>
        <v>Customer Not Found</v>
      </c>
      <c r="F1049" s="7" t="str">
        <f>_xlfn.XLOOKUP(Orders!B1049,Customers!A1049:A2048,Customers!C1049:C2048,"Country not Found",0)</f>
        <v>Country not Found</v>
      </c>
      <c r="G1049" s="7" t="str">
        <f>_xlfn.XLOOKUP(C1049,Products!A1049:A1548,Products!B1049:B1548,"Product Missing",0)</f>
        <v>Product Missing</v>
      </c>
      <c r="H1049" s="7" t="str">
        <f>_xlfn.XLOOKUP(C1049,Products!A1049:A1548,Products!C1049:C1548,"Category Missing",0)</f>
        <v>Category Missing</v>
      </c>
      <c r="I1049" s="11" t="str">
        <f>_xlfn.XLOOKUP(Orders!C1049,Products!A1049:A1548,Products!D1049:D1548,"Price Missing",0)</f>
        <v>Price Missing</v>
      </c>
      <c r="J1049" s="19">
        <f t="shared" si="16"/>
        <v>0</v>
      </c>
    </row>
    <row r="1050" spans="1:10" x14ac:dyDescent="0.35">
      <c r="A1050" s="4" t="s">
        <v>5070</v>
      </c>
      <c r="B1050" s="7" t="s">
        <v>1412</v>
      </c>
      <c r="C1050" s="7" t="s">
        <v>4018</v>
      </c>
      <c r="D1050" s="5">
        <v>4</v>
      </c>
      <c r="E1050" s="7" t="str">
        <f>_xlfn.XLOOKUP(B1050,Customers!A1050:A2049,Customers!B1050:B2049,"Customer Not Found",0)</f>
        <v>Customer Not Found</v>
      </c>
      <c r="F1050" s="7" t="str">
        <f>_xlfn.XLOOKUP(Orders!B1050,Customers!A1050:A2049,Customers!C1050:C2049,"Country not Found",0)</f>
        <v>Country not Found</v>
      </c>
      <c r="G1050" s="7" t="str">
        <f>_xlfn.XLOOKUP(C1050,Products!A1050:A1549,Products!B1050:B1549,"Product Missing",0)</f>
        <v>Product Missing</v>
      </c>
      <c r="H1050" s="7" t="str">
        <f>_xlfn.XLOOKUP(C1050,Products!A1050:A1549,Products!C1050:C1549,"Category Missing",0)</f>
        <v>Category Missing</v>
      </c>
      <c r="I1050" s="11" t="str">
        <f>_xlfn.XLOOKUP(Orders!C1050,Products!A1050:A1549,Products!D1050:D1549,"Price Missing",0)</f>
        <v>Price Missing</v>
      </c>
      <c r="J1050" s="19">
        <f t="shared" si="16"/>
        <v>0</v>
      </c>
    </row>
    <row r="1051" spans="1:10" x14ac:dyDescent="0.35">
      <c r="A1051" s="4" t="s">
        <v>5071</v>
      </c>
      <c r="B1051" s="7" t="s">
        <v>1988</v>
      </c>
      <c r="C1051" s="7" t="s">
        <v>3874</v>
      </c>
      <c r="D1051" s="5">
        <v>3</v>
      </c>
      <c r="E1051" s="7" t="str">
        <f>_xlfn.XLOOKUP(B1051,Customers!A1051:A2050,Customers!B1051:B2050,"Customer Not Found",0)</f>
        <v>Customer Not Found</v>
      </c>
      <c r="F1051" s="7" t="str">
        <f>_xlfn.XLOOKUP(Orders!B1051,Customers!A1051:A2050,Customers!C1051:C2050,"Country not Found",0)</f>
        <v>Country not Found</v>
      </c>
      <c r="G1051" s="7" t="str">
        <f>_xlfn.XLOOKUP(C1051,Products!A1051:A1550,Products!B1051:B1550,"Product Missing",0)</f>
        <v>Product Missing</v>
      </c>
      <c r="H1051" s="7" t="str">
        <f>_xlfn.XLOOKUP(C1051,Products!A1051:A1550,Products!C1051:C1550,"Category Missing",0)</f>
        <v>Category Missing</v>
      </c>
      <c r="I1051" s="11" t="str">
        <f>_xlfn.XLOOKUP(Orders!C1051,Products!A1051:A1550,Products!D1051:D1550,"Price Missing",0)</f>
        <v>Price Missing</v>
      </c>
      <c r="J1051" s="19">
        <f t="shared" si="16"/>
        <v>0</v>
      </c>
    </row>
    <row r="1052" spans="1:10" x14ac:dyDescent="0.35">
      <c r="A1052" s="4" t="s">
        <v>5072</v>
      </c>
      <c r="B1052" s="7" t="s">
        <v>2900</v>
      </c>
      <c r="C1052" s="7" t="s">
        <v>3742</v>
      </c>
      <c r="D1052" s="5">
        <v>9</v>
      </c>
      <c r="E1052" s="7" t="str">
        <f>_xlfn.XLOOKUP(B1052,Customers!A1052:A2051,Customers!B1052:B2051,"Customer Not Found",0)</f>
        <v>Customer Not Found</v>
      </c>
      <c r="F1052" s="7" t="str">
        <f>_xlfn.XLOOKUP(Orders!B1052,Customers!A1052:A2051,Customers!C1052:C2051,"Country not Found",0)</f>
        <v>Country not Found</v>
      </c>
      <c r="G1052" s="7" t="str">
        <f>_xlfn.XLOOKUP(C1052,Products!A1052:A1551,Products!B1052:B1551,"Product Missing",0)</f>
        <v>Product Missing</v>
      </c>
      <c r="H1052" s="7" t="str">
        <f>_xlfn.XLOOKUP(C1052,Products!A1052:A1551,Products!C1052:C1551,"Category Missing",0)</f>
        <v>Category Missing</v>
      </c>
      <c r="I1052" s="11" t="str">
        <f>_xlfn.XLOOKUP(Orders!C1052,Products!A1052:A1551,Products!D1052:D1551,"Price Missing",0)</f>
        <v>Price Missing</v>
      </c>
      <c r="J1052" s="19">
        <f t="shared" si="16"/>
        <v>0</v>
      </c>
    </row>
    <row r="1053" spans="1:10" x14ac:dyDescent="0.35">
      <c r="A1053" s="4" t="s">
        <v>5073</v>
      </c>
      <c r="B1053" s="7" t="s">
        <v>1121</v>
      </c>
      <c r="C1053" s="7" t="s">
        <v>3962</v>
      </c>
      <c r="D1053" s="5">
        <v>6</v>
      </c>
      <c r="E1053" s="7" t="str">
        <f>_xlfn.XLOOKUP(B1053,Customers!A1053:A2052,Customers!B1053:B2052,"Customer Not Found",0)</f>
        <v>Customer Not Found</v>
      </c>
      <c r="F1053" s="7" t="str">
        <f>_xlfn.XLOOKUP(Orders!B1053,Customers!A1053:A2052,Customers!C1053:C2052,"Country not Found",0)</f>
        <v>Country not Found</v>
      </c>
      <c r="G1053" s="7" t="str">
        <f>_xlfn.XLOOKUP(C1053,Products!A1053:A1552,Products!B1053:B1552,"Product Missing",0)</f>
        <v>Product Missing</v>
      </c>
      <c r="H1053" s="7" t="str">
        <f>_xlfn.XLOOKUP(C1053,Products!A1053:A1552,Products!C1053:C1552,"Category Missing",0)</f>
        <v>Category Missing</v>
      </c>
      <c r="I1053" s="11" t="str">
        <f>_xlfn.XLOOKUP(Orders!C1053,Products!A1053:A1552,Products!D1053:D1552,"Price Missing",0)</f>
        <v>Price Missing</v>
      </c>
      <c r="J1053" s="19">
        <f t="shared" si="16"/>
        <v>0</v>
      </c>
    </row>
    <row r="1054" spans="1:10" x14ac:dyDescent="0.35">
      <c r="A1054" s="4" t="s">
        <v>5074</v>
      </c>
      <c r="B1054" s="7" t="s">
        <v>899</v>
      </c>
      <c r="C1054" s="7" t="s">
        <v>3086</v>
      </c>
      <c r="D1054" s="5">
        <v>6</v>
      </c>
      <c r="E1054" s="7" t="str">
        <f>_xlfn.XLOOKUP(B1054,Customers!A1054:A2053,Customers!B1054:B2053,"Customer Not Found",0)</f>
        <v>Customer Not Found</v>
      </c>
      <c r="F1054" s="7" t="str">
        <f>_xlfn.XLOOKUP(Orders!B1054,Customers!A1054:A2053,Customers!C1054:C2053,"Country not Found",0)</f>
        <v>Country not Found</v>
      </c>
      <c r="G1054" s="7" t="str">
        <f>_xlfn.XLOOKUP(C1054,Products!A1054:A1553,Products!B1054:B1553,"Product Missing",0)</f>
        <v>Product Missing</v>
      </c>
      <c r="H1054" s="7" t="str">
        <f>_xlfn.XLOOKUP(C1054,Products!A1054:A1553,Products!C1054:C1553,"Category Missing",0)</f>
        <v>Category Missing</v>
      </c>
      <c r="I1054" s="11" t="str">
        <f>_xlfn.XLOOKUP(Orders!C1054,Products!A1054:A1553,Products!D1054:D1553,"Price Missing",0)</f>
        <v>Price Missing</v>
      </c>
      <c r="J1054" s="19">
        <f t="shared" si="16"/>
        <v>0</v>
      </c>
    </row>
    <row r="1055" spans="1:10" x14ac:dyDescent="0.35">
      <c r="A1055" s="4" t="s">
        <v>5075</v>
      </c>
      <c r="B1055" s="7" t="s">
        <v>2642</v>
      </c>
      <c r="C1055" s="7" t="s">
        <v>3444</v>
      </c>
      <c r="D1055" s="5">
        <v>2</v>
      </c>
      <c r="E1055" s="7" t="str">
        <f>_xlfn.XLOOKUP(B1055,Customers!A1055:A2054,Customers!B1055:B2054,"Customer Not Found",0)</f>
        <v>Customer Not Found</v>
      </c>
      <c r="F1055" s="7" t="str">
        <f>_xlfn.XLOOKUP(Orders!B1055,Customers!A1055:A2054,Customers!C1055:C2054,"Country not Found",0)</f>
        <v>Country not Found</v>
      </c>
      <c r="G1055" s="7" t="str">
        <f>_xlfn.XLOOKUP(C1055,Products!A1055:A1554,Products!B1055:B1554,"Product Missing",0)</f>
        <v>Product Missing</v>
      </c>
      <c r="H1055" s="7" t="str">
        <f>_xlfn.XLOOKUP(C1055,Products!A1055:A1554,Products!C1055:C1554,"Category Missing",0)</f>
        <v>Category Missing</v>
      </c>
      <c r="I1055" s="11" t="str">
        <f>_xlfn.XLOOKUP(Orders!C1055,Products!A1055:A1554,Products!D1055:D1554,"Price Missing",0)</f>
        <v>Price Missing</v>
      </c>
      <c r="J1055" s="19">
        <f t="shared" si="16"/>
        <v>0</v>
      </c>
    </row>
    <row r="1056" spans="1:10" x14ac:dyDescent="0.35">
      <c r="A1056" s="4" t="s">
        <v>5076</v>
      </c>
      <c r="B1056" s="7" t="s">
        <v>809</v>
      </c>
      <c r="C1056" s="7" t="s">
        <v>3448</v>
      </c>
      <c r="D1056" s="5">
        <v>4</v>
      </c>
      <c r="E1056" s="7" t="str">
        <f>_xlfn.XLOOKUP(B1056,Customers!A1056:A2055,Customers!B1056:B2055,"Customer Not Found",0)</f>
        <v>Customer Not Found</v>
      </c>
      <c r="F1056" s="7" t="str">
        <f>_xlfn.XLOOKUP(Orders!B1056,Customers!A1056:A2055,Customers!C1056:C2055,"Country not Found",0)</f>
        <v>Country not Found</v>
      </c>
      <c r="G1056" s="7" t="str">
        <f>_xlfn.XLOOKUP(C1056,Products!A1056:A1555,Products!B1056:B1555,"Product Missing",0)</f>
        <v>Product Missing</v>
      </c>
      <c r="H1056" s="7" t="str">
        <f>_xlfn.XLOOKUP(C1056,Products!A1056:A1555,Products!C1056:C1555,"Category Missing",0)</f>
        <v>Category Missing</v>
      </c>
      <c r="I1056" s="11" t="str">
        <f>_xlfn.XLOOKUP(Orders!C1056,Products!A1056:A1555,Products!D1056:D1555,"Price Missing",0)</f>
        <v>Price Missing</v>
      </c>
      <c r="J1056" s="19">
        <f t="shared" si="16"/>
        <v>0</v>
      </c>
    </row>
    <row r="1057" spans="1:10" x14ac:dyDescent="0.35">
      <c r="A1057" s="4" t="s">
        <v>5077</v>
      </c>
      <c r="B1057" s="7" t="s">
        <v>1622</v>
      </c>
      <c r="C1057" s="7" t="s">
        <v>3290</v>
      </c>
      <c r="D1057" s="5">
        <v>9</v>
      </c>
      <c r="E1057" s="7" t="str">
        <f>_xlfn.XLOOKUP(B1057,Customers!A1057:A2056,Customers!B1057:B2056,"Customer Not Found",0)</f>
        <v>Customer Not Found</v>
      </c>
      <c r="F1057" s="7" t="str">
        <f>_xlfn.XLOOKUP(Orders!B1057,Customers!A1057:A2056,Customers!C1057:C2056,"Country not Found",0)</f>
        <v>Country not Found</v>
      </c>
      <c r="G1057" s="7" t="str">
        <f>_xlfn.XLOOKUP(C1057,Products!A1057:A1556,Products!B1057:B1556,"Product Missing",0)</f>
        <v>Product Missing</v>
      </c>
      <c r="H1057" s="7" t="str">
        <f>_xlfn.XLOOKUP(C1057,Products!A1057:A1556,Products!C1057:C1556,"Category Missing",0)</f>
        <v>Category Missing</v>
      </c>
      <c r="I1057" s="11" t="str">
        <f>_xlfn.XLOOKUP(Orders!C1057,Products!A1057:A1556,Products!D1057:D1556,"Price Missing",0)</f>
        <v>Price Missing</v>
      </c>
      <c r="J1057" s="19">
        <f t="shared" si="16"/>
        <v>0</v>
      </c>
    </row>
    <row r="1058" spans="1:10" x14ac:dyDescent="0.35">
      <c r="A1058" s="4" t="s">
        <v>5078</v>
      </c>
      <c r="B1058" s="7" t="s">
        <v>2543</v>
      </c>
      <c r="C1058" s="7" t="s">
        <v>3498</v>
      </c>
      <c r="D1058" s="5">
        <v>3</v>
      </c>
      <c r="E1058" s="7" t="str">
        <f>_xlfn.XLOOKUP(B1058,Customers!A1058:A2057,Customers!B1058:B2057,"Customer Not Found",0)</f>
        <v>Customer Not Found</v>
      </c>
      <c r="F1058" s="7" t="str">
        <f>_xlfn.XLOOKUP(Orders!B1058,Customers!A1058:A2057,Customers!C1058:C2057,"Country not Found",0)</f>
        <v>Country not Found</v>
      </c>
      <c r="G1058" s="7" t="str">
        <f>_xlfn.XLOOKUP(C1058,Products!A1058:A1557,Products!B1058:B1557,"Product Missing",0)</f>
        <v>Product Missing</v>
      </c>
      <c r="H1058" s="7" t="str">
        <f>_xlfn.XLOOKUP(C1058,Products!A1058:A1557,Products!C1058:C1557,"Category Missing",0)</f>
        <v>Category Missing</v>
      </c>
      <c r="I1058" s="11" t="str">
        <f>_xlfn.XLOOKUP(Orders!C1058,Products!A1058:A1557,Products!D1058:D1557,"Price Missing",0)</f>
        <v>Price Missing</v>
      </c>
      <c r="J1058" s="19">
        <f t="shared" si="16"/>
        <v>0</v>
      </c>
    </row>
    <row r="1059" spans="1:10" x14ac:dyDescent="0.35">
      <c r="A1059" s="4" t="s">
        <v>5079</v>
      </c>
      <c r="B1059" s="7" t="s">
        <v>2675</v>
      </c>
      <c r="C1059" s="7" t="s">
        <v>3248</v>
      </c>
      <c r="D1059" s="5">
        <v>5</v>
      </c>
      <c r="E1059" s="7" t="str">
        <f>_xlfn.XLOOKUP(B1059,Customers!A1059:A2058,Customers!B1059:B2058,"Customer Not Found",0)</f>
        <v>Customer Not Found</v>
      </c>
      <c r="F1059" s="7" t="str">
        <f>_xlfn.XLOOKUP(Orders!B1059,Customers!A1059:A2058,Customers!C1059:C2058,"Country not Found",0)</f>
        <v>Country not Found</v>
      </c>
      <c r="G1059" s="7" t="str">
        <f>_xlfn.XLOOKUP(C1059,Products!A1059:A1558,Products!B1059:B1558,"Product Missing",0)</f>
        <v>Product Missing</v>
      </c>
      <c r="H1059" s="7" t="str">
        <f>_xlfn.XLOOKUP(C1059,Products!A1059:A1558,Products!C1059:C1558,"Category Missing",0)</f>
        <v>Category Missing</v>
      </c>
      <c r="I1059" s="11" t="str">
        <f>_xlfn.XLOOKUP(Orders!C1059,Products!A1059:A1558,Products!D1059:D1558,"Price Missing",0)</f>
        <v>Price Missing</v>
      </c>
      <c r="J1059" s="19">
        <f t="shared" si="16"/>
        <v>0</v>
      </c>
    </row>
    <row r="1060" spans="1:10" x14ac:dyDescent="0.35">
      <c r="A1060" s="4" t="s">
        <v>5080</v>
      </c>
      <c r="B1060" s="7" t="s">
        <v>2423</v>
      </c>
      <c r="C1060" s="7" t="s">
        <v>3480</v>
      </c>
      <c r="D1060" s="5">
        <v>1</v>
      </c>
      <c r="E1060" s="7" t="str">
        <f>_xlfn.XLOOKUP(B1060,Customers!A1060:A2059,Customers!B1060:B2059,"Customer Not Found",0)</f>
        <v>Customer Not Found</v>
      </c>
      <c r="F1060" s="7" t="str">
        <f>_xlfn.XLOOKUP(Orders!B1060,Customers!A1060:A2059,Customers!C1060:C2059,"Country not Found",0)</f>
        <v>Country not Found</v>
      </c>
      <c r="G1060" s="7" t="str">
        <f>_xlfn.XLOOKUP(C1060,Products!A1060:A1559,Products!B1060:B1559,"Product Missing",0)</f>
        <v>Product Missing</v>
      </c>
      <c r="H1060" s="7" t="str">
        <f>_xlfn.XLOOKUP(C1060,Products!A1060:A1559,Products!C1060:C1559,"Category Missing",0)</f>
        <v>Category Missing</v>
      </c>
      <c r="I1060" s="11" t="str">
        <f>_xlfn.XLOOKUP(Orders!C1060,Products!A1060:A1559,Products!D1060:D1559,"Price Missing",0)</f>
        <v>Price Missing</v>
      </c>
      <c r="J1060" s="19">
        <f t="shared" si="16"/>
        <v>0</v>
      </c>
    </row>
    <row r="1061" spans="1:10" x14ac:dyDescent="0.35">
      <c r="A1061" s="4" t="s">
        <v>5081</v>
      </c>
      <c r="B1061" s="7" t="s">
        <v>2849</v>
      </c>
      <c r="C1061" s="7" t="s">
        <v>3636</v>
      </c>
      <c r="D1061" s="5">
        <v>5</v>
      </c>
      <c r="E1061" s="7" t="str">
        <f>_xlfn.XLOOKUP(B1061,Customers!A1061:A2060,Customers!B1061:B2060,"Customer Not Found",0)</f>
        <v>Customer Not Found</v>
      </c>
      <c r="F1061" s="7" t="str">
        <f>_xlfn.XLOOKUP(Orders!B1061,Customers!A1061:A2060,Customers!C1061:C2060,"Country not Found",0)</f>
        <v>Country not Found</v>
      </c>
      <c r="G1061" s="7" t="str">
        <f>_xlfn.XLOOKUP(C1061,Products!A1061:A1560,Products!B1061:B1560,"Product Missing",0)</f>
        <v>Product Missing</v>
      </c>
      <c r="H1061" s="7" t="str">
        <f>_xlfn.XLOOKUP(C1061,Products!A1061:A1560,Products!C1061:C1560,"Category Missing",0)</f>
        <v>Category Missing</v>
      </c>
      <c r="I1061" s="11" t="str">
        <f>_xlfn.XLOOKUP(Orders!C1061,Products!A1061:A1560,Products!D1061:D1560,"Price Missing",0)</f>
        <v>Price Missing</v>
      </c>
      <c r="J1061" s="19">
        <f t="shared" si="16"/>
        <v>0</v>
      </c>
    </row>
    <row r="1062" spans="1:10" x14ac:dyDescent="0.35">
      <c r="A1062" s="4" t="s">
        <v>5082</v>
      </c>
      <c r="B1062" s="7" t="s">
        <v>1733</v>
      </c>
      <c r="C1062" s="7" t="s">
        <v>3704</v>
      </c>
      <c r="D1062" s="5">
        <v>10</v>
      </c>
      <c r="E1062" s="7" t="str">
        <f>_xlfn.XLOOKUP(B1062,Customers!A1062:A2061,Customers!B1062:B2061,"Customer Not Found",0)</f>
        <v>Customer Not Found</v>
      </c>
      <c r="F1062" s="7" t="str">
        <f>_xlfn.XLOOKUP(Orders!B1062,Customers!A1062:A2061,Customers!C1062:C2061,"Country not Found",0)</f>
        <v>Country not Found</v>
      </c>
      <c r="G1062" s="7" t="str">
        <f>_xlfn.XLOOKUP(C1062,Products!A1062:A1561,Products!B1062:B1561,"Product Missing",0)</f>
        <v>Product Missing</v>
      </c>
      <c r="H1062" s="7" t="str">
        <f>_xlfn.XLOOKUP(C1062,Products!A1062:A1561,Products!C1062:C1561,"Category Missing",0)</f>
        <v>Category Missing</v>
      </c>
      <c r="I1062" s="11" t="str">
        <f>_xlfn.XLOOKUP(Orders!C1062,Products!A1062:A1561,Products!D1062:D1561,"Price Missing",0)</f>
        <v>Price Missing</v>
      </c>
      <c r="J1062" s="19">
        <f t="shared" si="16"/>
        <v>0</v>
      </c>
    </row>
    <row r="1063" spans="1:10" x14ac:dyDescent="0.35">
      <c r="A1063" s="4" t="s">
        <v>5083</v>
      </c>
      <c r="B1063" s="7" t="s">
        <v>2447</v>
      </c>
      <c r="C1063" s="7" t="s">
        <v>3756</v>
      </c>
      <c r="D1063" s="5">
        <v>9</v>
      </c>
      <c r="E1063" s="7" t="str">
        <f>_xlfn.XLOOKUP(B1063,Customers!A1063:A2062,Customers!B1063:B2062,"Customer Not Found",0)</f>
        <v>Customer Not Found</v>
      </c>
      <c r="F1063" s="7" t="str">
        <f>_xlfn.XLOOKUP(Orders!B1063,Customers!A1063:A2062,Customers!C1063:C2062,"Country not Found",0)</f>
        <v>Country not Found</v>
      </c>
      <c r="G1063" s="7" t="str">
        <f>_xlfn.XLOOKUP(C1063,Products!A1063:A1562,Products!B1063:B1562,"Product Missing",0)</f>
        <v>Product Missing</v>
      </c>
      <c r="H1063" s="7" t="str">
        <f>_xlfn.XLOOKUP(C1063,Products!A1063:A1562,Products!C1063:C1562,"Category Missing",0)</f>
        <v>Category Missing</v>
      </c>
      <c r="I1063" s="11" t="str">
        <f>_xlfn.XLOOKUP(Orders!C1063,Products!A1063:A1562,Products!D1063:D1562,"Price Missing",0)</f>
        <v>Price Missing</v>
      </c>
      <c r="J1063" s="19">
        <f t="shared" si="16"/>
        <v>0</v>
      </c>
    </row>
    <row r="1064" spans="1:10" x14ac:dyDescent="0.35">
      <c r="A1064" s="4" t="s">
        <v>5084</v>
      </c>
      <c r="B1064" s="7" t="s">
        <v>836</v>
      </c>
      <c r="C1064" s="7" t="s">
        <v>3754</v>
      </c>
      <c r="D1064" s="5">
        <v>1</v>
      </c>
      <c r="E1064" s="7" t="str">
        <f>_xlfn.XLOOKUP(B1064,Customers!A1064:A2063,Customers!B1064:B2063,"Customer Not Found",0)</f>
        <v>Customer Not Found</v>
      </c>
      <c r="F1064" s="7" t="str">
        <f>_xlfn.XLOOKUP(Orders!B1064,Customers!A1064:A2063,Customers!C1064:C2063,"Country not Found",0)</f>
        <v>Country not Found</v>
      </c>
      <c r="G1064" s="7" t="str">
        <f>_xlfn.XLOOKUP(C1064,Products!A1064:A1563,Products!B1064:B1563,"Product Missing",0)</f>
        <v>Product Missing</v>
      </c>
      <c r="H1064" s="7" t="str">
        <f>_xlfn.XLOOKUP(C1064,Products!A1064:A1563,Products!C1064:C1563,"Category Missing",0)</f>
        <v>Category Missing</v>
      </c>
      <c r="I1064" s="11" t="str">
        <f>_xlfn.XLOOKUP(Orders!C1064,Products!A1064:A1563,Products!D1064:D1563,"Price Missing",0)</f>
        <v>Price Missing</v>
      </c>
      <c r="J1064" s="19">
        <f t="shared" si="16"/>
        <v>0</v>
      </c>
    </row>
    <row r="1065" spans="1:10" x14ac:dyDescent="0.35">
      <c r="A1065" s="4" t="s">
        <v>5085</v>
      </c>
      <c r="B1065" s="7" t="s">
        <v>1469</v>
      </c>
      <c r="C1065" s="7" t="s">
        <v>3300</v>
      </c>
      <c r="D1065" s="5">
        <v>2</v>
      </c>
      <c r="E1065" s="7" t="str">
        <f>_xlfn.XLOOKUP(B1065,Customers!A1065:A2064,Customers!B1065:B2064,"Customer Not Found",0)</f>
        <v>Customer Not Found</v>
      </c>
      <c r="F1065" s="7" t="str">
        <f>_xlfn.XLOOKUP(Orders!B1065,Customers!A1065:A2064,Customers!C1065:C2064,"Country not Found",0)</f>
        <v>Country not Found</v>
      </c>
      <c r="G1065" s="7" t="str">
        <f>_xlfn.XLOOKUP(C1065,Products!A1065:A1564,Products!B1065:B1564,"Product Missing",0)</f>
        <v>Product Missing</v>
      </c>
      <c r="H1065" s="7" t="str">
        <f>_xlfn.XLOOKUP(C1065,Products!A1065:A1564,Products!C1065:C1564,"Category Missing",0)</f>
        <v>Category Missing</v>
      </c>
      <c r="I1065" s="11" t="str">
        <f>_xlfn.XLOOKUP(Orders!C1065,Products!A1065:A1564,Products!D1065:D1564,"Price Missing",0)</f>
        <v>Price Missing</v>
      </c>
      <c r="J1065" s="19">
        <f t="shared" si="16"/>
        <v>0</v>
      </c>
    </row>
    <row r="1066" spans="1:10" x14ac:dyDescent="0.35">
      <c r="A1066" s="4" t="s">
        <v>5086</v>
      </c>
      <c r="B1066" s="7" t="s">
        <v>1763</v>
      </c>
      <c r="C1066" s="7" t="s">
        <v>3514</v>
      </c>
      <c r="D1066" s="5">
        <v>5</v>
      </c>
      <c r="E1066" s="7" t="str">
        <f>_xlfn.XLOOKUP(B1066,Customers!A1066:A2065,Customers!B1066:B2065,"Customer Not Found",0)</f>
        <v>Customer Not Found</v>
      </c>
      <c r="F1066" s="7" t="str">
        <f>_xlfn.XLOOKUP(Orders!B1066,Customers!A1066:A2065,Customers!C1066:C2065,"Country not Found",0)</f>
        <v>Country not Found</v>
      </c>
      <c r="G1066" s="7" t="str">
        <f>_xlfn.XLOOKUP(C1066,Products!A1066:A1565,Products!B1066:B1565,"Product Missing",0)</f>
        <v>Product Missing</v>
      </c>
      <c r="H1066" s="7" t="str">
        <f>_xlfn.XLOOKUP(C1066,Products!A1066:A1565,Products!C1066:C1565,"Category Missing",0)</f>
        <v>Category Missing</v>
      </c>
      <c r="I1066" s="11" t="str">
        <f>_xlfn.XLOOKUP(Orders!C1066,Products!A1066:A1565,Products!D1066:D1565,"Price Missing",0)</f>
        <v>Price Missing</v>
      </c>
      <c r="J1066" s="19">
        <f t="shared" si="16"/>
        <v>0</v>
      </c>
    </row>
    <row r="1067" spans="1:10" x14ac:dyDescent="0.35">
      <c r="A1067" s="4" t="s">
        <v>5087</v>
      </c>
      <c r="B1067" s="7" t="s">
        <v>419</v>
      </c>
      <c r="C1067" s="7" t="s">
        <v>3614</v>
      </c>
      <c r="D1067" s="5">
        <v>9</v>
      </c>
      <c r="E1067" s="7" t="str">
        <f>_xlfn.XLOOKUP(B1067,Customers!A1067:A2066,Customers!B1067:B2066,"Customer Not Found",0)</f>
        <v>Customer Not Found</v>
      </c>
      <c r="F1067" s="7" t="str">
        <f>_xlfn.XLOOKUP(Orders!B1067,Customers!A1067:A2066,Customers!C1067:C2066,"Country not Found",0)</f>
        <v>Country not Found</v>
      </c>
      <c r="G1067" s="7" t="str">
        <f>_xlfn.XLOOKUP(C1067,Products!A1067:A1566,Products!B1067:B1566,"Product Missing",0)</f>
        <v>Product Missing</v>
      </c>
      <c r="H1067" s="7" t="str">
        <f>_xlfn.XLOOKUP(C1067,Products!A1067:A1566,Products!C1067:C1566,"Category Missing",0)</f>
        <v>Category Missing</v>
      </c>
      <c r="I1067" s="11" t="str">
        <f>_xlfn.XLOOKUP(Orders!C1067,Products!A1067:A1566,Products!D1067:D1566,"Price Missing",0)</f>
        <v>Price Missing</v>
      </c>
      <c r="J1067" s="19">
        <f t="shared" si="16"/>
        <v>0</v>
      </c>
    </row>
    <row r="1068" spans="1:10" x14ac:dyDescent="0.35">
      <c r="A1068" s="4" t="s">
        <v>5088</v>
      </c>
      <c r="B1068" s="7" t="s">
        <v>1973</v>
      </c>
      <c r="C1068" s="7" t="s">
        <v>3242</v>
      </c>
      <c r="D1068" s="5">
        <v>5</v>
      </c>
      <c r="E1068" s="7" t="str">
        <f>_xlfn.XLOOKUP(B1068,Customers!A1068:A2067,Customers!B1068:B2067,"Customer Not Found",0)</f>
        <v>Customer Not Found</v>
      </c>
      <c r="F1068" s="7" t="str">
        <f>_xlfn.XLOOKUP(Orders!B1068,Customers!A1068:A2067,Customers!C1068:C2067,"Country not Found",0)</f>
        <v>Country not Found</v>
      </c>
      <c r="G1068" s="7" t="str">
        <f>_xlfn.XLOOKUP(C1068,Products!A1068:A1567,Products!B1068:B1567,"Product Missing",0)</f>
        <v>Product Missing</v>
      </c>
      <c r="H1068" s="7" t="str">
        <f>_xlfn.XLOOKUP(C1068,Products!A1068:A1567,Products!C1068:C1567,"Category Missing",0)</f>
        <v>Category Missing</v>
      </c>
      <c r="I1068" s="11" t="str">
        <f>_xlfn.XLOOKUP(Orders!C1068,Products!A1068:A1567,Products!D1068:D1567,"Price Missing",0)</f>
        <v>Price Missing</v>
      </c>
      <c r="J1068" s="19">
        <f t="shared" si="16"/>
        <v>0</v>
      </c>
    </row>
    <row r="1069" spans="1:10" x14ac:dyDescent="0.35">
      <c r="A1069" s="4" t="s">
        <v>5089</v>
      </c>
      <c r="B1069" s="7" t="s">
        <v>983</v>
      </c>
      <c r="C1069" s="7" t="s">
        <v>3696</v>
      </c>
      <c r="D1069" s="5">
        <v>3</v>
      </c>
      <c r="E1069" s="7" t="str">
        <f>_xlfn.XLOOKUP(B1069,Customers!A1069:A2068,Customers!B1069:B2068,"Customer Not Found",0)</f>
        <v>Customer Not Found</v>
      </c>
      <c r="F1069" s="7" t="str">
        <f>_xlfn.XLOOKUP(Orders!B1069,Customers!A1069:A2068,Customers!C1069:C2068,"Country not Found",0)</f>
        <v>Country not Found</v>
      </c>
      <c r="G1069" s="7" t="str">
        <f>_xlfn.XLOOKUP(C1069,Products!A1069:A1568,Products!B1069:B1568,"Product Missing",0)</f>
        <v>Product Missing</v>
      </c>
      <c r="H1069" s="7" t="str">
        <f>_xlfn.XLOOKUP(C1069,Products!A1069:A1568,Products!C1069:C1568,"Category Missing",0)</f>
        <v>Category Missing</v>
      </c>
      <c r="I1069" s="11" t="str">
        <f>_xlfn.XLOOKUP(Orders!C1069,Products!A1069:A1568,Products!D1069:D1568,"Price Missing",0)</f>
        <v>Price Missing</v>
      </c>
      <c r="J1069" s="19">
        <f t="shared" si="16"/>
        <v>0</v>
      </c>
    </row>
    <row r="1070" spans="1:10" x14ac:dyDescent="0.35">
      <c r="A1070" s="4" t="s">
        <v>5090</v>
      </c>
      <c r="B1070" s="7" t="s">
        <v>437</v>
      </c>
      <c r="C1070" s="7" t="s">
        <v>3440</v>
      </c>
      <c r="D1070" s="5">
        <v>1</v>
      </c>
      <c r="E1070" s="7" t="str">
        <f>_xlfn.XLOOKUP(B1070,Customers!A1070:A2069,Customers!B1070:B2069,"Customer Not Found",0)</f>
        <v>Customer Not Found</v>
      </c>
      <c r="F1070" s="7" t="str">
        <f>_xlfn.XLOOKUP(Orders!B1070,Customers!A1070:A2069,Customers!C1070:C2069,"Country not Found",0)</f>
        <v>Country not Found</v>
      </c>
      <c r="G1070" s="7" t="str">
        <f>_xlfn.XLOOKUP(C1070,Products!A1070:A1569,Products!B1070:B1569,"Product Missing",0)</f>
        <v>Product Missing</v>
      </c>
      <c r="H1070" s="7" t="str">
        <f>_xlfn.XLOOKUP(C1070,Products!A1070:A1569,Products!C1070:C1569,"Category Missing",0)</f>
        <v>Category Missing</v>
      </c>
      <c r="I1070" s="11" t="str">
        <f>_xlfn.XLOOKUP(Orders!C1070,Products!A1070:A1569,Products!D1070:D1569,"Price Missing",0)</f>
        <v>Price Missing</v>
      </c>
      <c r="J1070" s="19">
        <f t="shared" si="16"/>
        <v>0</v>
      </c>
    </row>
    <row r="1071" spans="1:10" x14ac:dyDescent="0.35">
      <c r="A1071" s="4" t="s">
        <v>5091</v>
      </c>
      <c r="B1071" s="7" t="s">
        <v>2225</v>
      </c>
      <c r="C1071" s="7" t="s">
        <v>4006</v>
      </c>
      <c r="D1071" s="5">
        <v>6</v>
      </c>
      <c r="E1071" s="7" t="str">
        <f>_xlfn.XLOOKUP(B1071,Customers!A1071:A2070,Customers!B1071:B2070,"Customer Not Found",0)</f>
        <v>Customer Not Found</v>
      </c>
      <c r="F1071" s="7" t="str">
        <f>_xlfn.XLOOKUP(Orders!B1071,Customers!A1071:A2070,Customers!C1071:C2070,"Country not Found",0)</f>
        <v>Country not Found</v>
      </c>
      <c r="G1071" s="7" t="str">
        <f>_xlfn.XLOOKUP(C1071,Products!A1071:A1570,Products!B1071:B1570,"Product Missing",0)</f>
        <v>Product Missing</v>
      </c>
      <c r="H1071" s="7" t="str">
        <f>_xlfn.XLOOKUP(C1071,Products!A1071:A1570,Products!C1071:C1570,"Category Missing",0)</f>
        <v>Category Missing</v>
      </c>
      <c r="I1071" s="11" t="str">
        <f>_xlfn.XLOOKUP(Orders!C1071,Products!A1071:A1570,Products!D1071:D1570,"Price Missing",0)</f>
        <v>Price Missing</v>
      </c>
      <c r="J1071" s="19">
        <f t="shared" si="16"/>
        <v>0</v>
      </c>
    </row>
    <row r="1072" spans="1:10" x14ac:dyDescent="0.35">
      <c r="A1072" s="4" t="s">
        <v>5092</v>
      </c>
      <c r="B1072" s="7" t="s">
        <v>1106</v>
      </c>
      <c r="C1072" s="7" t="s">
        <v>3746</v>
      </c>
      <c r="D1072" s="5">
        <v>7</v>
      </c>
      <c r="E1072" s="7" t="str">
        <f>_xlfn.XLOOKUP(B1072,Customers!A1072:A2071,Customers!B1072:B2071,"Customer Not Found",0)</f>
        <v>Customer Not Found</v>
      </c>
      <c r="F1072" s="7" t="str">
        <f>_xlfn.XLOOKUP(Orders!B1072,Customers!A1072:A2071,Customers!C1072:C2071,"Country not Found",0)</f>
        <v>Country not Found</v>
      </c>
      <c r="G1072" s="7" t="str">
        <f>_xlfn.XLOOKUP(C1072,Products!A1072:A1571,Products!B1072:B1571,"Product Missing",0)</f>
        <v>Product Missing</v>
      </c>
      <c r="H1072" s="7" t="str">
        <f>_xlfn.XLOOKUP(C1072,Products!A1072:A1571,Products!C1072:C1571,"Category Missing",0)</f>
        <v>Category Missing</v>
      </c>
      <c r="I1072" s="11" t="str">
        <f>_xlfn.XLOOKUP(Orders!C1072,Products!A1072:A1571,Products!D1072:D1571,"Price Missing",0)</f>
        <v>Price Missing</v>
      </c>
      <c r="J1072" s="19">
        <f t="shared" si="16"/>
        <v>0</v>
      </c>
    </row>
    <row r="1073" spans="1:10" x14ac:dyDescent="0.35">
      <c r="A1073" s="4" t="s">
        <v>5093</v>
      </c>
      <c r="B1073" s="7" t="s">
        <v>248</v>
      </c>
      <c r="C1073" s="7" t="s">
        <v>3648</v>
      </c>
      <c r="D1073" s="5">
        <v>4</v>
      </c>
      <c r="E1073" s="7" t="str">
        <f>_xlfn.XLOOKUP(B1073,Customers!A1073:A2072,Customers!B1073:B2072,"Customer Not Found",0)</f>
        <v>Customer Not Found</v>
      </c>
      <c r="F1073" s="7" t="str">
        <f>_xlfn.XLOOKUP(Orders!B1073,Customers!A1073:A2072,Customers!C1073:C2072,"Country not Found",0)</f>
        <v>Country not Found</v>
      </c>
      <c r="G1073" s="7" t="str">
        <f>_xlfn.XLOOKUP(C1073,Products!A1073:A1572,Products!B1073:B1572,"Product Missing",0)</f>
        <v>Product Missing</v>
      </c>
      <c r="H1073" s="7" t="str">
        <f>_xlfn.XLOOKUP(C1073,Products!A1073:A1572,Products!C1073:C1572,"Category Missing",0)</f>
        <v>Category Missing</v>
      </c>
      <c r="I1073" s="11" t="str">
        <f>_xlfn.XLOOKUP(Orders!C1073,Products!A1073:A1572,Products!D1073:D1572,"Price Missing",0)</f>
        <v>Price Missing</v>
      </c>
      <c r="J1073" s="19">
        <f t="shared" si="16"/>
        <v>0</v>
      </c>
    </row>
    <row r="1074" spans="1:10" x14ac:dyDescent="0.35">
      <c r="A1074" s="4" t="s">
        <v>5094</v>
      </c>
      <c r="B1074" s="7" t="s">
        <v>707</v>
      </c>
      <c r="C1074" s="7" t="s">
        <v>3794</v>
      </c>
      <c r="D1074" s="5">
        <v>2</v>
      </c>
      <c r="E1074" s="7" t="str">
        <f>_xlfn.XLOOKUP(B1074,Customers!A1074:A2073,Customers!B1074:B2073,"Customer Not Found",0)</f>
        <v>Customer Not Found</v>
      </c>
      <c r="F1074" s="7" t="str">
        <f>_xlfn.XLOOKUP(Orders!B1074,Customers!A1074:A2073,Customers!C1074:C2073,"Country not Found",0)</f>
        <v>Country not Found</v>
      </c>
      <c r="G1074" s="7" t="str">
        <f>_xlfn.XLOOKUP(C1074,Products!A1074:A1573,Products!B1074:B1573,"Product Missing",0)</f>
        <v>Product Missing</v>
      </c>
      <c r="H1074" s="7" t="str">
        <f>_xlfn.XLOOKUP(C1074,Products!A1074:A1573,Products!C1074:C1573,"Category Missing",0)</f>
        <v>Category Missing</v>
      </c>
      <c r="I1074" s="11" t="str">
        <f>_xlfn.XLOOKUP(Orders!C1074,Products!A1074:A1573,Products!D1074:D1573,"Price Missing",0)</f>
        <v>Price Missing</v>
      </c>
      <c r="J1074" s="19">
        <f t="shared" si="16"/>
        <v>0</v>
      </c>
    </row>
    <row r="1075" spans="1:10" x14ac:dyDescent="0.35">
      <c r="A1075" s="4" t="s">
        <v>5095</v>
      </c>
      <c r="B1075" s="7" t="s">
        <v>2465</v>
      </c>
      <c r="C1075" s="7" t="s">
        <v>3570</v>
      </c>
      <c r="D1075" s="5">
        <v>9</v>
      </c>
      <c r="E1075" s="7" t="str">
        <f>_xlfn.XLOOKUP(B1075,Customers!A1075:A2074,Customers!B1075:B2074,"Customer Not Found",0)</f>
        <v>Customer Not Found</v>
      </c>
      <c r="F1075" s="7" t="str">
        <f>_xlfn.XLOOKUP(Orders!B1075,Customers!A1075:A2074,Customers!C1075:C2074,"Country not Found",0)</f>
        <v>Country not Found</v>
      </c>
      <c r="G1075" s="7" t="str">
        <f>_xlfn.XLOOKUP(C1075,Products!A1075:A1574,Products!B1075:B1574,"Product Missing",0)</f>
        <v>Product Missing</v>
      </c>
      <c r="H1075" s="7" t="str">
        <f>_xlfn.XLOOKUP(C1075,Products!A1075:A1574,Products!C1075:C1574,"Category Missing",0)</f>
        <v>Category Missing</v>
      </c>
      <c r="I1075" s="11" t="str">
        <f>_xlfn.XLOOKUP(Orders!C1075,Products!A1075:A1574,Products!D1075:D1574,"Price Missing",0)</f>
        <v>Price Missing</v>
      </c>
      <c r="J1075" s="19">
        <f t="shared" si="16"/>
        <v>0</v>
      </c>
    </row>
    <row r="1076" spans="1:10" x14ac:dyDescent="0.35">
      <c r="A1076" s="4" t="s">
        <v>5096</v>
      </c>
      <c r="B1076" s="7" t="s">
        <v>1880</v>
      </c>
      <c r="C1076" s="7" t="s">
        <v>3736</v>
      </c>
      <c r="D1076" s="5">
        <v>5</v>
      </c>
      <c r="E1076" s="7" t="str">
        <f>_xlfn.XLOOKUP(B1076,Customers!A1076:A2075,Customers!B1076:B2075,"Customer Not Found",0)</f>
        <v>Customer Not Found</v>
      </c>
      <c r="F1076" s="7" t="str">
        <f>_xlfn.XLOOKUP(Orders!B1076,Customers!A1076:A2075,Customers!C1076:C2075,"Country not Found",0)</f>
        <v>Country not Found</v>
      </c>
      <c r="G1076" s="7" t="str">
        <f>_xlfn.XLOOKUP(C1076,Products!A1076:A1575,Products!B1076:B1575,"Product Missing",0)</f>
        <v>Product Missing</v>
      </c>
      <c r="H1076" s="7" t="str">
        <f>_xlfn.XLOOKUP(C1076,Products!A1076:A1575,Products!C1076:C1575,"Category Missing",0)</f>
        <v>Category Missing</v>
      </c>
      <c r="I1076" s="11" t="str">
        <f>_xlfn.XLOOKUP(Orders!C1076,Products!A1076:A1575,Products!D1076:D1575,"Price Missing",0)</f>
        <v>Price Missing</v>
      </c>
      <c r="J1076" s="19">
        <f t="shared" si="16"/>
        <v>0</v>
      </c>
    </row>
    <row r="1077" spans="1:10" x14ac:dyDescent="0.35">
      <c r="A1077" s="4" t="s">
        <v>5097</v>
      </c>
      <c r="B1077" s="7" t="s">
        <v>590</v>
      </c>
      <c r="C1077" s="7" t="s">
        <v>3398</v>
      </c>
      <c r="D1077" s="5">
        <v>10</v>
      </c>
      <c r="E1077" s="7" t="str">
        <f>_xlfn.XLOOKUP(B1077,Customers!A1077:A2076,Customers!B1077:B2076,"Customer Not Found",0)</f>
        <v>Customer Not Found</v>
      </c>
      <c r="F1077" s="7" t="str">
        <f>_xlfn.XLOOKUP(Orders!B1077,Customers!A1077:A2076,Customers!C1077:C2076,"Country not Found",0)</f>
        <v>Country not Found</v>
      </c>
      <c r="G1077" s="7" t="str">
        <f>_xlfn.XLOOKUP(C1077,Products!A1077:A1576,Products!B1077:B1576,"Product Missing",0)</f>
        <v>Product Missing</v>
      </c>
      <c r="H1077" s="7" t="str">
        <f>_xlfn.XLOOKUP(C1077,Products!A1077:A1576,Products!C1077:C1576,"Category Missing",0)</f>
        <v>Category Missing</v>
      </c>
      <c r="I1077" s="11" t="str">
        <f>_xlfn.XLOOKUP(Orders!C1077,Products!A1077:A1576,Products!D1077:D1576,"Price Missing",0)</f>
        <v>Price Missing</v>
      </c>
      <c r="J1077" s="19">
        <f t="shared" si="16"/>
        <v>0</v>
      </c>
    </row>
    <row r="1078" spans="1:10" x14ac:dyDescent="0.35">
      <c r="A1078" s="4" t="s">
        <v>5098</v>
      </c>
      <c r="B1078" s="7" t="s">
        <v>1616</v>
      </c>
      <c r="C1078" s="7" t="s">
        <v>3274</v>
      </c>
      <c r="D1078" s="5">
        <v>5</v>
      </c>
      <c r="E1078" s="7" t="str">
        <f>_xlfn.XLOOKUP(B1078,Customers!A1078:A2077,Customers!B1078:B2077,"Customer Not Found",0)</f>
        <v>Customer Not Found</v>
      </c>
      <c r="F1078" s="7" t="str">
        <f>_xlfn.XLOOKUP(Orders!B1078,Customers!A1078:A2077,Customers!C1078:C2077,"Country not Found",0)</f>
        <v>Country not Found</v>
      </c>
      <c r="G1078" s="7" t="str">
        <f>_xlfn.XLOOKUP(C1078,Products!A1078:A1577,Products!B1078:B1577,"Product Missing",0)</f>
        <v>Product Missing</v>
      </c>
      <c r="H1078" s="7" t="str">
        <f>_xlfn.XLOOKUP(C1078,Products!A1078:A1577,Products!C1078:C1577,"Category Missing",0)</f>
        <v>Category Missing</v>
      </c>
      <c r="I1078" s="11" t="str">
        <f>_xlfn.XLOOKUP(Orders!C1078,Products!A1078:A1577,Products!D1078:D1577,"Price Missing",0)</f>
        <v>Price Missing</v>
      </c>
      <c r="J1078" s="19">
        <f t="shared" si="16"/>
        <v>0</v>
      </c>
    </row>
    <row r="1079" spans="1:10" x14ac:dyDescent="0.35">
      <c r="A1079" s="4" t="s">
        <v>5099</v>
      </c>
      <c r="B1079" s="7" t="s">
        <v>2576</v>
      </c>
      <c r="C1079" s="7" t="s">
        <v>3776</v>
      </c>
      <c r="D1079" s="5">
        <v>8</v>
      </c>
      <c r="E1079" s="7" t="str">
        <f>_xlfn.XLOOKUP(B1079,Customers!A1079:A2078,Customers!B1079:B2078,"Customer Not Found",0)</f>
        <v>Customer Not Found</v>
      </c>
      <c r="F1079" s="7" t="str">
        <f>_xlfn.XLOOKUP(Orders!B1079,Customers!A1079:A2078,Customers!C1079:C2078,"Country not Found",0)</f>
        <v>Country not Found</v>
      </c>
      <c r="G1079" s="7" t="str">
        <f>_xlfn.XLOOKUP(C1079,Products!A1079:A1578,Products!B1079:B1578,"Product Missing",0)</f>
        <v>Product Missing</v>
      </c>
      <c r="H1079" s="7" t="str">
        <f>_xlfn.XLOOKUP(C1079,Products!A1079:A1578,Products!C1079:C1578,"Category Missing",0)</f>
        <v>Category Missing</v>
      </c>
      <c r="I1079" s="11" t="str">
        <f>_xlfn.XLOOKUP(Orders!C1079,Products!A1079:A1578,Products!D1079:D1578,"Price Missing",0)</f>
        <v>Price Missing</v>
      </c>
      <c r="J1079" s="19">
        <f t="shared" si="16"/>
        <v>0</v>
      </c>
    </row>
    <row r="1080" spans="1:10" x14ac:dyDescent="0.35">
      <c r="A1080" s="4" t="s">
        <v>5100</v>
      </c>
      <c r="B1080" s="7" t="s">
        <v>437</v>
      </c>
      <c r="C1080" s="7" t="s">
        <v>3832</v>
      </c>
      <c r="D1080" s="5">
        <v>8</v>
      </c>
      <c r="E1080" s="7" t="str">
        <f>_xlfn.XLOOKUP(B1080,Customers!A1080:A2079,Customers!B1080:B2079,"Customer Not Found",0)</f>
        <v>Customer Not Found</v>
      </c>
      <c r="F1080" s="7" t="str">
        <f>_xlfn.XLOOKUP(Orders!B1080,Customers!A1080:A2079,Customers!C1080:C2079,"Country not Found",0)</f>
        <v>Country not Found</v>
      </c>
      <c r="G1080" s="7" t="str">
        <f>_xlfn.XLOOKUP(C1080,Products!A1080:A1579,Products!B1080:B1579,"Product Missing",0)</f>
        <v>Product Missing</v>
      </c>
      <c r="H1080" s="7" t="str">
        <f>_xlfn.XLOOKUP(C1080,Products!A1080:A1579,Products!C1080:C1579,"Category Missing",0)</f>
        <v>Category Missing</v>
      </c>
      <c r="I1080" s="11" t="str">
        <f>_xlfn.XLOOKUP(Orders!C1080,Products!A1080:A1579,Products!D1080:D1579,"Price Missing",0)</f>
        <v>Price Missing</v>
      </c>
      <c r="J1080" s="19">
        <f t="shared" si="16"/>
        <v>0</v>
      </c>
    </row>
    <row r="1081" spans="1:10" x14ac:dyDescent="0.35">
      <c r="A1081" s="4" t="s">
        <v>5101</v>
      </c>
      <c r="B1081" s="7" t="s">
        <v>401</v>
      </c>
      <c r="C1081" s="7" t="s">
        <v>3766</v>
      </c>
      <c r="D1081" s="5">
        <v>7</v>
      </c>
      <c r="E1081" s="7" t="str">
        <f>_xlfn.XLOOKUP(B1081,Customers!A1081:A2080,Customers!B1081:B2080,"Customer Not Found",0)</f>
        <v>Customer Not Found</v>
      </c>
      <c r="F1081" s="7" t="str">
        <f>_xlfn.XLOOKUP(Orders!B1081,Customers!A1081:A2080,Customers!C1081:C2080,"Country not Found",0)</f>
        <v>Country not Found</v>
      </c>
      <c r="G1081" s="7" t="str">
        <f>_xlfn.XLOOKUP(C1081,Products!A1081:A1580,Products!B1081:B1580,"Product Missing",0)</f>
        <v>Product Missing</v>
      </c>
      <c r="H1081" s="7" t="str">
        <f>_xlfn.XLOOKUP(C1081,Products!A1081:A1580,Products!C1081:C1580,"Category Missing",0)</f>
        <v>Category Missing</v>
      </c>
      <c r="I1081" s="11" t="str">
        <f>_xlfn.XLOOKUP(Orders!C1081,Products!A1081:A1580,Products!D1081:D1580,"Price Missing",0)</f>
        <v>Price Missing</v>
      </c>
      <c r="J1081" s="19">
        <f t="shared" si="16"/>
        <v>0</v>
      </c>
    </row>
    <row r="1082" spans="1:10" x14ac:dyDescent="0.35">
      <c r="A1082" s="4" t="s">
        <v>5102</v>
      </c>
      <c r="B1082" s="7" t="s">
        <v>2084</v>
      </c>
      <c r="C1082" s="7" t="s">
        <v>3536</v>
      </c>
      <c r="D1082" s="5">
        <v>3</v>
      </c>
      <c r="E1082" s="7" t="str">
        <f>_xlfn.XLOOKUP(B1082,Customers!A1082:A2081,Customers!B1082:B2081,"Customer Not Found",0)</f>
        <v>Customer Not Found</v>
      </c>
      <c r="F1082" s="7" t="str">
        <f>_xlfn.XLOOKUP(Orders!B1082,Customers!A1082:A2081,Customers!C1082:C2081,"Country not Found",0)</f>
        <v>Country not Found</v>
      </c>
      <c r="G1082" s="7" t="str">
        <f>_xlfn.XLOOKUP(C1082,Products!A1082:A1581,Products!B1082:B1581,"Product Missing",0)</f>
        <v>Product Missing</v>
      </c>
      <c r="H1082" s="7" t="str">
        <f>_xlfn.XLOOKUP(C1082,Products!A1082:A1581,Products!C1082:C1581,"Category Missing",0)</f>
        <v>Category Missing</v>
      </c>
      <c r="I1082" s="11" t="str">
        <f>_xlfn.XLOOKUP(Orders!C1082,Products!A1082:A1581,Products!D1082:D1581,"Price Missing",0)</f>
        <v>Price Missing</v>
      </c>
      <c r="J1082" s="19">
        <f t="shared" si="16"/>
        <v>0</v>
      </c>
    </row>
    <row r="1083" spans="1:10" x14ac:dyDescent="0.35">
      <c r="A1083" s="4" t="s">
        <v>5103</v>
      </c>
      <c r="B1083" s="7" t="s">
        <v>749</v>
      </c>
      <c r="C1083" s="7" t="s">
        <v>3546</v>
      </c>
      <c r="D1083" s="5">
        <v>3</v>
      </c>
      <c r="E1083" s="7" t="str">
        <f>_xlfn.XLOOKUP(B1083,Customers!A1083:A2082,Customers!B1083:B2082,"Customer Not Found",0)</f>
        <v>Customer Not Found</v>
      </c>
      <c r="F1083" s="7" t="str">
        <f>_xlfn.XLOOKUP(Orders!B1083,Customers!A1083:A2082,Customers!C1083:C2082,"Country not Found",0)</f>
        <v>Country not Found</v>
      </c>
      <c r="G1083" s="7" t="str">
        <f>_xlfn.XLOOKUP(C1083,Products!A1083:A1582,Products!B1083:B1582,"Product Missing",0)</f>
        <v>Product Missing</v>
      </c>
      <c r="H1083" s="7" t="str">
        <f>_xlfn.XLOOKUP(C1083,Products!A1083:A1582,Products!C1083:C1582,"Category Missing",0)</f>
        <v>Category Missing</v>
      </c>
      <c r="I1083" s="11" t="str">
        <f>_xlfn.XLOOKUP(Orders!C1083,Products!A1083:A1582,Products!D1083:D1582,"Price Missing",0)</f>
        <v>Price Missing</v>
      </c>
      <c r="J1083" s="19">
        <f t="shared" si="16"/>
        <v>0</v>
      </c>
    </row>
    <row r="1084" spans="1:10" x14ac:dyDescent="0.35">
      <c r="A1084" s="4" t="s">
        <v>5104</v>
      </c>
      <c r="B1084" s="7" t="s">
        <v>749</v>
      </c>
      <c r="C1084" s="7" t="s">
        <v>3398</v>
      </c>
      <c r="D1084" s="5">
        <v>10</v>
      </c>
      <c r="E1084" s="7" t="str">
        <f>_xlfn.XLOOKUP(B1084,Customers!A1084:A2083,Customers!B1084:B2083,"Customer Not Found",0)</f>
        <v>Customer Not Found</v>
      </c>
      <c r="F1084" s="7" t="str">
        <f>_xlfn.XLOOKUP(Orders!B1084,Customers!A1084:A2083,Customers!C1084:C2083,"Country not Found",0)</f>
        <v>Country not Found</v>
      </c>
      <c r="G1084" s="7" t="str">
        <f>_xlfn.XLOOKUP(C1084,Products!A1084:A1583,Products!B1084:B1583,"Product Missing",0)</f>
        <v>Product Missing</v>
      </c>
      <c r="H1084" s="7" t="str">
        <f>_xlfn.XLOOKUP(C1084,Products!A1084:A1583,Products!C1084:C1583,"Category Missing",0)</f>
        <v>Category Missing</v>
      </c>
      <c r="I1084" s="11" t="str">
        <f>_xlfn.XLOOKUP(Orders!C1084,Products!A1084:A1583,Products!D1084:D1583,"Price Missing",0)</f>
        <v>Price Missing</v>
      </c>
      <c r="J1084" s="19">
        <f t="shared" si="16"/>
        <v>0</v>
      </c>
    </row>
    <row r="1085" spans="1:10" x14ac:dyDescent="0.35">
      <c r="A1085" s="4" t="s">
        <v>5105</v>
      </c>
      <c r="B1085" s="7" t="s">
        <v>110</v>
      </c>
      <c r="C1085" s="7" t="s">
        <v>3950</v>
      </c>
      <c r="D1085" s="5">
        <v>4</v>
      </c>
      <c r="E1085" s="7" t="str">
        <f>_xlfn.XLOOKUP(B1085,Customers!A1085:A2084,Customers!B1085:B2084,"Customer Not Found",0)</f>
        <v>Customer Not Found</v>
      </c>
      <c r="F1085" s="7" t="str">
        <f>_xlfn.XLOOKUP(Orders!B1085,Customers!A1085:A2084,Customers!C1085:C2084,"Country not Found",0)</f>
        <v>Country not Found</v>
      </c>
      <c r="G1085" s="7" t="str">
        <f>_xlfn.XLOOKUP(C1085,Products!A1085:A1584,Products!B1085:B1584,"Product Missing",0)</f>
        <v>Product Missing</v>
      </c>
      <c r="H1085" s="7" t="str">
        <f>_xlfn.XLOOKUP(C1085,Products!A1085:A1584,Products!C1085:C1584,"Category Missing",0)</f>
        <v>Category Missing</v>
      </c>
      <c r="I1085" s="11" t="str">
        <f>_xlfn.XLOOKUP(Orders!C1085,Products!A1085:A1584,Products!D1085:D1584,"Price Missing",0)</f>
        <v>Price Missing</v>
      </c>
      <c r="J1085" s="19">
        <f t="shared" si="16"/>
        <v>0</v>
      </c>
    </row>
    <row r="1086" spans="1:10" x14ac:dyDescent="0.35">
      <c r="A1086" s="4" t="s">
        <v>5106</v>
      </c>
      <c r="B1086" s="7" t="s">
        <v>854</v>
      </c>
      <c r="C1086" s="7" t="s">
        <v>3232</v>
      </c>
      <c r="D1086" s="5">
        <v>2</v>
      </c>
      <c r="E1086" s="7" t="str">
        <f>_xlfn.XLOOKUP(B1086,Customers!A1086:A2085,Customers!B1086:B2085,"Customer Not Found",0)</f>
        <v>Customer Not Found</v>
      </c>
      <c r="F1086" s="7" t="str">
        <f>_xlfn.XLOOKUP(Orders!B1086,Customers!A1086:A2085,Customers!C1086:C2085,"Country not Found",0)</f>
        <v>Country not Found</v>
      </c>
      <c r="G1086" s="7" t="str">
        <f>_xlfn.XLOOKUP(C1086,Products!A1086:A1585,Products!B1086:B1585,"Product Missing",0)</f>
        <v>Product Missing</v>
      </c>
      <c r="H1086" s="7" t="str">
        <f>_xlfn.XLOOKUP(C1086,Products!A1086:A1585,Products!C1086:C1585,"Category Missing",0)</f>
        <v>Category Missing</v>
      </c>
      <c r="I1086" s="11" t="str">
        <f>_xlfn.XLOOKUP(Orders!C1086,Products!A1086:A1585,Products!D1086:D1585,"Price Missing",0)</f>
        <v>Price Missing</v>
      </c>
      <c r="J1086" s="19">
        <f t="shared" si="16"/>
        <v>0</v>
      </c>
    </row>
    <row r="1087" spans="1:10" x14ac:dyDescent="0.35">
      <c r="A1087" s="4" t="s">
        <v>5107</v>
      </c>
      <c r="B1087" s="7" t="s">
        <v>2192</v>
      </c>
      <c r="C1087" s="7" t="s">
        <v>3678</v>
      </c>
      <c r="D1087" s="5">
        <v>7</v>
      </c>
      <c r="E1087" s="7" t="str">
        <f>_xlfn.XLOOKUP(B1087,Customers!A1087:A2086,Customers!B1087:B2086,"Customer Not Found",0)</f>
        <v>Customer Not Found</v>
      </c>
      <c r="F1087" s="7" t="str">
        <f>_xlfn.XLOOKUP(Orders!B1087,Customers!A1087:A2086,Customers!C1087:C2086,"Country not Found",0)</f>
        <v>Country not Found</v>
      </c>
      <c r="G1087" s="7" t="str">
        <f>_xlfn.XLOOKUP(C1087,Products!A1087:A1586,Products!B1087:B1586,"Product Missing",0)</f>
        <v>Product Missing</v>
      </c>
      <c r="H1087" s="7" t="str">
        <f>_xlfn.XLOOKUP(C1087,Products!A1087:A1586,Products!C1087:C1586,"Category Missing",0)</f>
        <v>Category Missing</v>
      </c>
      <c r="I1087" s="11" t="str">
        <f>_xlfn.XLOOKUP(Orders!C1087,Products!A1087:A1586,Products!D1087:D1586,"Price Missing",0)</f>
        <v>Price Missing</v>
      </c>
      <c r="J1087" s="19">
        <f t="shared" si="16"/>
        <v>0</v>
      </c>
    </row>
    <row r="1088" spans="1:10" x14ac:dyDescent="0.35">
      <c r="A1088" s="4" t="s">
        <v>5108</v>
      </c>
      <c r="B1088" s="7" t="s">
        <v>536</v>
      </c>
      <c r="C1088" s="7" t="s">
        <v>3400</v>
      </c>
      <c r="D1088" s="5">
        <v>7</v>
      </c>
      <c r="E1088" s="7" t="str">
        <f>_xlfn.XLOOKUP(B1088,Customers!A1088:A2087,Customers!B1088:B2087,"Customer Not Found",0)</f>
        <v>Customer Not Found</v>
      </c>
      <c r="F1088" s="7" t="str">
        <f>_xlfn.XLOOKUP(Orders!B1088,Customers!A1088:A2087,Customers!C1088:C2087,"Country not Found",0)</f>
        <v>Country not Found</v>
      </c>
      <c r="G1088" s="7" t="str">
        <f>_xlfn.XLOOKUP(C1088,Products!A1088:A1587,Products!B1088:B1587,"Product Missing",0)</f>
        <v>Product Missing</v>
      </c>
      <c r="H1088" s="7" t="str">
        <f>_xlfn.XLOOKUP(C1088,Products!A1088:A1587,Products!C1088:C1587,"Category Missing",0)</f>
        <v>Category Missing</v>
      </c>
      <c r="I1088" s="11" t="str">
        <f>_xlfn.XLOOKUP(Orders!C1088,Products!A1088:A1587,Products!D1088:D1587,"Price Missing",0)</f>
        <v>Price Missing</v>
      </c>
      <c r="J1088" s="19">
        <f t="shared" si="16"/>
        <v>0</v>
      </c>
    </row>
    <row r="1089" spans="1:10" x14ac:dyDescent="0.35">
      <c r="A1089" s="4" t="s">
        <v>5109</v>
      </c>
      <c r="B1089" s="7" t="s">
        <v>1913</v>
      </c>
      <c r="C1089" s="7" t="s">
        <v>3096</v>
      </c>
      <c r="D1089" s="5">
        <v>1</v>
      </c>
      <c r="E1089" s="7" t="str">
        <f>_xlfn.XLOOKUP(B1089,Customers!A1089:A2088,Customers!B1089:B2088,"Customer Not Found",0)</f>
        <v>Customer Not Found</v>
      </c>
      <c r="F1089" s="7" t="str">
        <f>_xlfn.XLOOKUP(Orders!B1089,Customers!A1089:A2088,Customers!C1089:C2088,"Country not Found",0)</f>
        <v>Country not Found</v>
      </c>
      <c r="G1089" s="7" t="str">
        <f>_xlfn.XLOOKUP(C1089,Products!A1089:A1588,Products!B1089:B1588,"Product Missing",0)</f>
        <v>Product Missing</v>
      </c>
      <c r="H1089" s="7" t="str">
        <f>_xlfn.XLOOKUP(C1089,Products!A1089:A1588,Products!C1089:C1588,"Category Missing",0)</f>
        <v>Category Missing</v>
      </c>
      <c r="I1089" s="11" t="str">
        <f>_xlfn.XLOOKUP(Orders!C1089,Products!A1089:A1588,Products!D1089:D1588,"Price Missing",0)</f>
        <v>Price Missing</v>
      </c>
      <c r="J1089" s="19">
        <f t="shared" si="16"/>
        <v>0</v>
      </c>
    </row>
    <row r="1090" spans="1:10" x14ac:dyDescent="0.35">
      <c r="A1090" s="4" t="s">
        <v>5110</v>
      </c>
      <c r="B1090" s="7" t="s">
        <v>677</v>
      </c>
      <c r="C1090" s="7" t="s">
        <v>3114</v>
      </c>
      <c r="D1090" s="5">
        <v>4</v>
      </c>
      <c r="E1090" s="7" t="str">
        <f>_xlfn.XLOOKUP(B1090,Customers!A1090:A2089,Customers!B1090:B2089,"Customer Not Found",0)</f>
        <v>Customer Not Found</v>
      </c>
      <c r="F1090" s="7" t="str">
        <f>_xlfn.XLOOKUP(Orders!B1090,Customers!A1090:A2089,Customers!C1090:C2089,"Country not Found",0)</f>
        <v>Country not Found</v>
      </c>
      <c r="G1090" s="7" t="str">
        <f>_xlfn.XLOOKUP(C1090,Products!A1090:A1589,Products!B1090:B1589,"Product Missing",0)</f>
        <v>Product Missing</v>
      </c>
      <c r="H1090" s="7" t="str">
        <f>_xlfn.XLOOKUP(C1090,Products!A1090:A1589,Products!C1090:C1589,"Category Missing",0)</f>
        <v>Category Missing</v>
      </c>
      <c r="I1090" s="11" t="str">
        <f>_xlfn.XLOOKUP(Orders!C1090,Products!A1090:A1589,Products!D1090:D1589,"Price Missing",0)</f>
        <v>Price Missing</v>
      </c>
      <c r="J1090" s="19">
        <f t="shared" si="16"/>
        <v>0</v>
      </c>
    </row>
    <row r="1091" spans="1:10" x14ac:dyDescent="0.35">
      <c r="A1091" s="4" t="s">
        <v>5111</v>
      </c>
      <c r="B1091" s="7" t="s">
        <v>194</v>
      </c>
      <c r="C1091" s="7" t="s">
        <v>3258</v>
      </c>
      <c r="D1091" s="5">
        <v>4</v>
      </c>
      <c r="E1091" s="7" t="str">
        <f>_xlfn.XLOOKUP(B1091,Customers!A1091:A2090,Customers!B1091:B2090,"Customer Not Found",0)</f>
        <v>Customer Not Found</v>
      </c>
      <c r="F1091" s="7" t="str">
        <f>_xlfn.XLOOKUP(Orders!B1091,Customers!A1091:A2090,Customers!C1091:C2090,"Country not Found",0)</f>
        <v>Country not Found</v>
      </c>
      <c r="G1091" s="7" t="str">
        <f>_xlfn.XLOOKUP(C1091,Products!A1091:A1590,Products!B1091:B1590,"Product Missing",0)</f>
        <v>Product Missing</v>
      </c>
      <c r="H1091" s="7" t="str">
        <f>_xlfn.XLOOKUP(C1091,Products!A1091:A1590,Products!C1091:C1590,"Category Missing",0)</f>
        <v>Category Missing</v>
      </c>
      <c r="I1091" s="11" t="str">
        <f>_xlfn.XLOOKUP(Orders!C1091,Products!A1091:A1590,Products!D1091:D1590,"Price Missing",0)</f>
        <v>Price Missing</v>
      </c>
      <c r="J1091" s="19">
        <f t="shared" ref="J1091:J1154" si="17">IFERROR(I1091*D1091,0)</f>
        <v>0</v>
      </c>
    </row>
    <row r="1092" spans="1:10" x14ac:dyDescent="0.35">
      <c r="A1092" s="4" t="s">
        <v>5112</v>
      </c>
      <c r="B1092" s="7" t="s">
        <v>644</v>
      </c>
      <c r="C1092" s="7" t="s">
        <v>3104</v>
      </c>
      <c r="D1092" s="5">
        <v>1</v>
      </c>
      <c r="E1092" s="7" t="str">
        <f>_xlfn.XLOOKUP(B1092,Customers!A1092:A2091,Customers!B1092:B2091,"Customer Not Found",0)</f>
        <v>Customer Not Found</v>
      </c>
      <c r="F1092" s="7" t="str">
        <f>_xlfn.XLOOKUP(Orders!B1092,Customers!A1092:A2091,Customers!C1092:C2091,"Country not Found",0)</f>
        <v>Country not Found</v>
      </c>
      <c r="G1092" s="7" t="str">
        <f>_xlfn.XLOOKUP(C1092,Products!A1092:A1591,Products!B1092:B1591,"Product Missing",0)</f>
        <v>Product Missing</v>
      </c>
      <c r="H1092" s="7" t="str">
        <f>_xlfn.XLOOKUP(C1092,Products!A1092:A1591,Products!C1092:C1591,"Category Missing",0)</f>
        <v>Category Missing</v>
      </c>
      <c r="I1092" s="11" t="str">
        <f>_xlfn.XLOOKUP(Orders!C1092,Products!A1092:A1591,Products!D1092:D1591,"Price Missing",0)</f>
        <v>Price Missing</v>
      </c>
      <c r="J1092" s="19">
        <f t="shared" si="17"/>
        <v>0</v>
      </c>
    </row>
    <row r="1093" spans="1:10" x14ac:dyDescent="0.35">
      <c r="A1093" s="4" t="s">
        <v>5113</v>
      </c>
      <c r="B1093" s="7" t="s">
        <v>2801</v>
      </c>
      <c r="C1093" s="7" t="s">
        <v>3202</v>
      </c>
      <c r="D1093" s="5">
        <v>3</v>
      </c>
      <c r="E1093" s="7" t="str">
        <f>_xlfn.XLOOKUP(B1093,Customers!A1093:A2092,Customers!B1093:B2092,"Customer Not Found",0)</f>
        <v>Customer Not Found</v>
      </c>
      <c r="F1093" s="7" t="str">
        <f>_xlfn.XLOOKUP(Orders!B1093,Customers!A1093:A2092,Customers!C1093:C2092,"Country not Found",0)</f>
        <v>Country not Found</v>
      </c>
      <c r="G1093" s="7" t="str">
        <f>_xlfn.XLOOKUP(C1093,Products!A1093:A1592,Products!B1093:B1592,"Product Missing",0)</f>
        <v>Product Missing</v>
      </c>
      <c r="H1093" s="7" t="str">
        <f>_xlfn.XLOOKUP(C1093,Products!A1093:A1592,Products!C1093:C1592,"Category Missing",0)</f>
        <v>Category Missing</v>
      </c>
      <c r="I1093" s="11" t="str">
        <f>_xlfn.XLOOKUP(Orders!C1093,Products!A1093:A1592,Products!D1093:D1592,"Price Missing",0)</f>
        <v>Price Missing</v>
      </c>
      <c r="J1093" s="19">
        <f t="shared" si="17"/>
        <v>0</v>
      </c>
    </row>
    <row r="1094" spans="1:10" x14ac:dyDescent="0.35">
      <c r="A1094" s="4" t="s">
        <v>5114</v>
      </c>
      <c r="B1094" s="7" t="s">
        <v>2906</v>
      </c>
      <c r="C1094" s="7" t="s">
        <v>3882</v>
      </c>
      <c r="D1094" s="5">
        <v>4</v>
      </c>
      <c r="E1094" s="7" t="str">
        <f>_xlfn.XLOOKUP(B1094,Customers!A1094:A2093,Customers!B1094:B2093,"Customer Not Found",0)</f>
        <v>Customer Not Found</v>
      </c>
      <c r="F1094" s="7" t="str">
        <f>_xlfn.XLOOKUP(Orders!B1094,Customers!A1094:A2093,Customers!C1094:C2093,"Country not Found",0)</f>
        <v>Country not Found</v>
      </c>
      <c r="G1094" s="7" t="str">
        <f>_xlfn.XLOOKUP(C1094,Products!A1094:A1593,Products!B1094:B1593,"Product Missing",0)</f>
        <v>Product Missing</v>
      </c>
      <c r="H1094" s="7" t="str">
        <f>_xlfn.XLOOKUP(C1094,Products!A1094:A1593,Products!C1094:C1593,"Category Missing",0)</f>
        <v>Category Missing</v>
      </c>
      <c r="I1094" s="11" t="str">
        <f>_xlfn.XLOOKUP(Orders!C1094,Products!A1094:A1593,Products!D1094:D1593,"Price Missing",0)</f>
        <v>Price Missing</v>
      </c>
      <c r="J1094" s="19">
        <f t="shared" si="17"/>
        <v>0</v>
      </c>
    </row>
    <row r="1095" spans="1:10" x14ac:dyDescent="0.35">
      <c r="A1095" s="4" t="s">
        <v>5115</v>
      </c>
      <c r="B1095" s="7" t="s">
        <v>965</v>
      </c>
      <c r="C1095" s="7" t="s">
        <v>3160</v>
      </c>
      <c r="D1095" s="5">
        <v>9</v>
      </c>
      <c r="E1095" s="7" t="str">
        <f>_xlfn.XLOOKUP(B1095,Customers!A1095:A2094,Customers!B1095:B2094,"Customer Not Found",0)</f>
        <v>Customer Not Found</v>
      </c>
      <c r="F1095" s="7" t="str">
        <f>_xlfn.XLOOKUP(Orders!B1095,Customers!A1095:A2094,Customers!C1095:C2094,"Country not Found",0)</f>
        <v>Country not Found</v>
      </c>
      <c r="G1095" s="7" t="str">
        <f>_xlfn.XLOOKUP(C1095,Products!A1095:A1594,Products!B1095:B1594,"Product Missing",0)</f>
        <v>Product Missing</v>
      </c>
      <c r="H1095" s="7" t="str">
        <f>_xlfn.XLOOKUP(C1095,Products!A1095:A1594,Products!C1095:C1594,"Category Missing",0)</f>
        <v>Category Missing</v>
      </c>
      <c r="I1095" s="11" t="str">
        <f>_xlfn.XLOOKUP(Orders!C1095,Products!A1095:A1594,Products!D1095:D1594,"Price Missing",0)</f>
        <v>Price Missing</v>
      </c>
      <c r="J1095" s="19">
        <f t="shared" si="17"/>
        <v>0</v>
      </c>
    </row>
    <row r="1096" spans="1:10" x14ac:dyDescent="0.35">
      <c r="A1096" s="4" t="s">
        <v>5116</v>
      </c>
      <c r="B1096" s="7" t="s">
        <v>1907</v>
      </c>
      <c r="C1096" s="7" t="s">
        <v>3986</v>
      </c>
      <c r="D1096" s="5">
        <v>8</v>
      </c>
      <c r="E1096" s="7" t="str">
        <f>_xlfn.XLOOKUP(B1096,Customers!A1096:A2095,Customers!B1096:B2095,"Customer Not Found",0)</f>
        <v>Customer Not Found</v>
      </c>
      <c r="F1096" s="7" t="str">
        <f>_xlfn.XLOOKUP(Orders!B1096,Customers!A1096:A2095,Customers!C1096:C2095,"Country not Found",0)</f>
        <v>Country not Found</v>
      </c>
      <c r="G1096" s="7" t="str">
        <f>_xlfn.XLOOKUP(C1096,Products!A1096:A1595,Products!B1096:B1595,"Product Missing",0)</f>
        <v>Product Missing</v>
      </c>
      <c r="H1096" s="7" t="str">
        <f>_xlfn.XLOOKUP(C1096,Products!A1096:A1595,Products!C1096:C1595,"Category Missing",0)</f>
        <v>Category Missing</v>
      </c>
      <c r="I1096" s="11" t="str">
        <f>_xlfn.XLOOKUP(Orders!C1096,Products!A1096:A1595,Products!D1096:D1595,"Price Missing",0)</f>
        <v>Price Missing</v>
      </c>
      <c r="J1096" s="19">
        <f t="shared" si="17"/>
        <v>0</v>
      </c>
    </row>
    <row r="1097" spans="1:10" x14ac:dyDescent="0.35">
      <c r="A1097" s="4" t="s">
        <v>5117</v>
      </c>
      <c r="B1097" s="7" t="s">
        <v>1508</v>
      </c>
      <c r="C1097" s="7" t="s">
        <v>3618</v>
      </c>
      <c r="D1097" s="5">
        <v>6</v>
      </c>
      <c r="E1097" s="7" t="str">
        <f>_xlfn.XLOOKUP(B1097,Customers!A1097:A2096,Customers!B1097:B2096,"Customer Not Found",0)</f>
        <v>Customer Not Found</v>
      </c>
      <c r="F1097" s="7" t="str">
        <f>_xlfn.XLOOKUP(Orders!B1097,Customers!A1097:A2096,Customers!C1097:C2096,"Country not Found",0)</f>
        <v>Country not Found</v>
      </c>
      <c r="G1097" s="7" t="str">
        <f>_xlfn.XLOOKUP(C1097,Products!A1097:A1596,Products!B1097:B1596,"Product Missing",0)</f>
        <v>Product Missing</v>
      </c>
      <c r="H1097" s="7" t="str">
        <f>_xlfn.XLOOKUP(C1097,Products!A1097:A1596,Products!C1097:C1596,"Category Missing",0)</f>
        <v>Category Missing</v>
      </c>
      <c r="I1097" s="11" t="str">
        <f>_xlfn.XLOOKUP(Orders!C1097,Products!A1097:A1596,Products!D1097:D1596,"Price Missing",0)</f>
        <v>Price Missing</v>
      </c>
      <c r="J1097" s="19">
        <f t="shared" si="17"/>
        <v>0</v>
      </c>
    </row>
    <row r="1098" spans="1:10" x14ac:dyDescent="0.35">
      <c r="A1098" s="4" t="s">
        <v>5118</v>
      </c>
      <c r="B1098" s="7" t="s">
        <v>2966</v>
      </c>
      <c r="C1098" s="7" t="s">
        <v>3224</v>
      </c>
      <c r="D1098" s="5">
        <v>6</v>
      </c>
      <c r="E1098" s="7" t="str">
        <f>_xlfn.XLOOKUP(B1098,Customers!A1098:A2097,Customers!B1098:B2097,"Customer Not Found",0)</f>
        <v>Customer Not Found</v>
      </c>
      <c r="F1098" s="7" t="str">
        <f>_xlfn.XLOOKUP(Orders!B1098,Customers!A1098:A2097,Customers!C1098:C2097,"Country not Found",0)</f>
        <v>Country not Found</v>
      </c>
      <c r="G1098" s="7" t="str">
        <f>_xlfn.XLOOKUP(C1098,Products!A1098:A1597,Products!B1098:B1597,"Product Missing",0)</f>
        <v>Product Missing</v>
      </c>
      <c r="H1098" s="7" t="str">
        <f>_xlfn.XLOOKUP(C1098,Products!A1098:A1597,Products!C1098:C1597,"Category Missing",0)</f>
        <v>Category Missing</v>
      </c>
      <c r="I1098" s="11" t="str">
        <f>_xlfn.XLOOKUP(Orders!C1098,Products!A1098:A1597,Products!D1098:D1597,"Price Missing",0)</f>
        <v>Price Missing</v>
      </c>
      <c r="J1098" s="19">
        <f t="shared" si="17"/>
        <v>0</v>
      </c>
    </row>
    <row r="1099" spans="1:10" x14ac:dyDescent="0.35">
      <c r="A1099" s="4" t="s">
        <v>5119</v>
      </c>
      <c r="B1099" s="7" t="s">
        <v>4</v>
      </c>
      <c r="C1099" s="7" t="s">
        <v>3906</v>
      </c>
      <c r="D1099" s="5">
        <v>9</v>
      </c>
      <c r="E1099" s="7" t="str">
        <f>_xlfn.XLOOKUP(B1099,Customers!A1099:A2098,Customers!B1099:B2098,"Customer Not Found",0)</f>
        <v>Customer Not Found</v>
      </c>
      <c r="F1099" s="7" t="str">
        <f>_xlfn.XLOOKUP(Orders!B1099,Customers!A1099:A2098,Customers!C1099:C2098,"Country not Found",0)</f>
        <v>Country not Found</v>
      </c>
      <c r="G1099" s="7" t="str">
        <f>_xlfn.XLOOKUP(C1099,Products!A1099:A1598,Products!B1099:B1598,"Product Missing",0)</f>
        <v>Product Missing</v>
      </c>
      <c r="H1099" s="7" t="str">
        <f>_xlfn.XLOOKUP(C1099,Products!A1099:A1598,Products!C1099:C1598,"Category Missing",0)</f>
        <v>Category Missing</v>
      </c>
      <c r="I1099" s="11" t="str">
        <f>_xlfn.XLOOKUP(Orders!C1099,Products!A1099:A1598,Products!D1099:D1598,"Price Missing",0)</f>
        <v>Price Missing</v>
      </c>
      <c r="J1099" s="19">
        <f t="shared" si="17"/>
        <v>0</v>
      </c>
    </row>
    <row r="1100" spans="1:10" x14ac:dyDescent="0.35">
      <c r="A1100" s="4" t="s">
        <v>5120</v>
      </c>
      <c r="B1100" s="7" t="s">
        <v>1091</v>
      </c>
      <c r="C1100" s="7" t="s">
        <v>3314</v>
      </c>
      <c r="D1100" s="5">
        <v>4</v>
      </c>
      <c r="E1100" s="7" t="str">
        <f>_xlfn.XLOOKUP(B1100,Customers!A1100:A2099,Customers!B1100:B2099,"Customer Not Found",0)</f>
        <v>Customer Not Found</v>
      </c>
      <c r="F1100" s="7" t="str">
        <f>_xlfn.XLOOKUP(Orders!B1100,Customers!A1100:A2099,Customers!C1100:C2099,"Country not Found",0)</f>
        <v>Country not Found</v>
      </c>
      <c r="G1100" s="7" t="str">
        <f>_xlfn.XLOOKUP(C1100,Products!A1100:A1599,Products!B1100:B1599,"Product Missing",0)</f>
        <v>Product Missing</v>
      </c>
      <c r="H1100" s="7" t="str">
        <f>_xlfn.XLOOKUP(C1100,Products!A1100:A1599,Products!C1100:C1599,"Category Missing",0)</f>
        <v>Category Missing</v>
      </c>
      <c r="I1100" s="11" t="str">
        <f>_xlfn.XLOOKUP(Orders!C1100,Products!A1100:A1599,Products!D1100:D1599,"Price Missing",0)</f>
        <v>Price Missing</v>
      </c>
      <c r="J1100" s="19">
        <f t="shared" si="17"/>
        <v>0</v>
      </c>
    </row>
    <row r="1101" spans="1:10" x14ac:dyDescent="0.35">
      <c r="A1101" s="4" t="s">
        <v>5121</v>
      </c>
      <c r="B1101" s="7" t="s">
        <v>2948</v>
      </c>
      <c r="C1101" s="7" t="s">
        <v>3486</v>
      </c>
      <c r="D1101" s="5">
        <v>3</v>
      </c>
      <c r="E1101" s="7" t="str">
        <f>_xlfn.XLOOKUP(B1101,Customers!A1101:A2100,Customers!B1101:B2100,"Customer Not Found",0)</f>
        <v>Customer Not Found</v>
      </c>
      <c r="F1101" s="7" t="str">
        <f>_xlfn.XLOOKUP(Orders!B1101,Customers!A1101:A2100,Customers!C1101:C2100,"Country not Found",0)</f>
        <v>Country not Found</v>
      </c>
      <c r="G1101" s="7" t="str">
        <f>_xlfn.XLOOKUP(C1101,Products!A1101:A1600,Products!B1101:B1600,"Product Missing",0)</f>
        <v>Product Missing</v>
      </c>
      <c r="H1101" s="7" t="str">
        <f>_xlfn.XLOOKUP(C1101,Products!A1101:A1600,Products!C1101:C1600,"Category Missing",0)</f>
        <v>Category Missing</v>
      </c>
      <c r="I1101" s="11" t="str">
        <f>_xlfn.XLOOKUP(Orders!C1101,Products!A1101:A1600,Products!D1101:D1600,"Price Missing",0)</f>
        <v>Price Missing</v>
      </c>
      <c r="J1101" s="19">
        <f t="shared" si="17"/>
        <v>0</v>
      </c>
    </row>
    <row r="1102" spans="1:10" x14ac:dyDescent="0.35">
      <c r="A1102" s="4" t="s">
        <v>5122</v>
      </c>
      <c r="B1102" s="7" t="s">
        <v>569</v>
      </c>
      <c r="C1102" s="7" t="s">
        <v>3600</v>
      </c>
      <c r="D1102" s="5">
        <v>8</v>
      </c>
      <c r="E1102" s="7" t="str">
        <f>_xlfn.XLOOKUP(B1102,Customers!A1102:A2101,Customers!B1102:B2101,"Customer Not Found",0)</f>
        <v>Customer Not Found</v>
      </c>
      <c r="F1102" s="7" t="str">
        <f>_xlfn.XLOOKUP(Orders!B1102,Customers!A1102:A2101,Customers!C1102:C2101,"Country not Found",0)</f>
        <v>Country not Found</v>
      </c>
      <c r="G1102" s="7" t="str">
        <f>_xlfn.XLOOKUP(C1102,Products!A1102:A1601,Products!B1102:B1601,"Product Missing",0)</f>
        <v>Product Missing</v>
      </c>
      <c r="H1102" s="7" t="str">
        <f>_xlfn.XLOOKUP(C1102,Products!A1102:A1601,Products!C1102:C1601,"Category Missing",0)</f>
        <v>Category Missing</v>
      </c>
      <c r="I1102" s="11" t="str">
        <f>_xlfn.XLOOKUP(Orders!C1102,Products!A1102:A1601,Products!D1102:D1601,"Price Missing",0)</f>
        <v>Price Missing</v>
      </c>
      <c r="J1102" s="19">
        <f t="shared" si="17"/>
        <v>0</v>
      </c>
    </row>
    <row r="1103" spans="1:10" x14ac:dyDescent="0.35">
      <c r="A1103" s="4" t="s">
        <v>5123</v>
      </c>
      <c r="B1103" s="7" t="s">
        <v>1805</v>
      </c>
      <c r="C1103" s="7" t="s">
        <v>3114</v>
      </c>
      <c r="D1103" s="5">
        <v>4</v>
      </c>
      <c r="E1103" s="7" t="str">
        <f>_xlfn.XLOOKUP(B1103,Customers!A1103:A2102,Customers!B1103:B2102,"Customer Not Found",0)</f>
        <v>Customer Not Found</v>
      </c>
      <c r="F1103" s="7" t="str">
        <f>_xlfn.XLOOKUP(Orders!B1103,Customers!A1103:A2102,Customers!C1103:C2102,"Country not Found",0)</f>
        <v>Country not Found</v>
      </c>
      <c r="G1103" s="7" t="str">
        <f>_xlfn.XLOOKUP(C1103,Products!A1103:A1602,Products!B1103:B1602,"Product Missing",0)</f>
        <v>Product Missing</v>
      </c>
      <c r="H1103" s="7" t="str">
        <f>_xlfn.XLOOKUP(C1103,Products!A1103:A1602,Products!C1103:C1602,"Category Missing",0)</f>
        <v>Category Missing</v>
      </c>
      <c r="I1103" s="11" t="str">
        <f>_xlfn.XLOOKUP(Orders!C1103,Products!A1103:A1602,Products!D1103:D1602,"Price Missing",0)</f>
        <v>Price Missing</v>
      </c>
      <c r="J1103" s="19">
        <f t="shared" si="17"/>
        <v>0</v>
      </c>
    </row>
    <row r="1104" spans="1:10" x14ac:dyDescent="0.35">
      <c r="A1104" s="4" t="s">
        <v>5124</v>
      </c>
      <c r="B1104" s="7" t="s">
        <v>2858</v>
      </c>
      <c r="C1104" s="7" t="s">
        <v>3840</v>
      </c>
      <c r="D1104" s="5">
        <v>1</v>
      </c>
      <c r="E1104" s="7" t="str">
        <f>_xlfn.XLOOKUP(B1104,Customers!A1104:A2103,Customers!B1104:B2103,"Customer Not Found",0)</f>
        <v>Customer Not Found</v>
      </c>
      <c r="F1104" s="7" t="str">
        <f>_xlfn.XLOOKUP(Orders!B1104,Customers!A1104:A2103,Customers!C1104:C2103,"Country not Found",0)</f>
        <v>Country not Found</v>
      </c>
      <c r="G1104" s="7" t="str">
        <f>_xlfn.XLOOKUP(C1104,Products!A1104:A1603,Products!B1104:B1603,"Product Missing",0)</f>
        <v>Product Missing</v>
      </c>
      <c r="H1104" s="7" t="str">
        <f>_xlfn.XLOOKUP(C1104,Products!A1104:A1603,Products!C1104:C1603,"Category Missing",0)</f>
        <v>Category Missing</v>
      </c>
      <c r="I1104" s="11" t="str">
        <f>_xlfn.XLOOKUP(Orders!C1104,Products!A1104:A1603,Products!D1104:D1603,"Price Missing",0)</f>
        <v>Price Missing</v>
      </c>
      <c r="J1104" s="19">
        <f t="shared" si="17"/>
        <v>0</v>
      </c>
    </row>
    <row r="1105" spans="1:10" x14ac:dyDescent="0.35">
      <c r="A1105" s="4" t="s">
        <v>5125</v>
      </c>
      <c r="B1105" s="7" t="s">
        <v>1157</v>
      </c>
      <c r="C1105" s="7" t="s">
        <v>3772</v>
      </c>
      <c r="D1105" s="5">
        <v>2</v>
      </c>
      <c r="E1105" s="7" t="str">
        <f>_xlfn.XLOOKUP(B1105,Customers!A1105:A2104,Customers!B1105:B2104,"Customer Not Found",0)</f>
        <v>Customer Not Found</v>
      </c>
      <c r="F1105" s="7" t="str">
        <f>_xlfn.XLOOKUP(Orders!B1105,Customers!A1105:A2104,Customers!C1105:C2104,"Country not Found",0)</f>
        <v>Country not Found</v>
      </c>
      <c r="G1105" s="7" t="str">
        <f>_xlfn.XLOOKUP(C1105,Products!A1105:A1604,Products!B1105:B1604,"Product Missing",0)</f>
        <v>Product Missing</v>
      </c>
      <c r="H1105" s="7" t="str">
        <f>_xlfn.XLOOKUP(C1105,Products!A1105:A1604,Products!C1105:C1604,"Category Missing",0)</f>
        <v>Category Missing</v>
      </c>
      <c r="I1105" s="11" t="str">
        <f>_xlfn.XLOOKUP(Orders!C1105,Products!A1105:A1604,Products!D1105:D1604,"Price Missing",0)</f>
        <v>Price Missing</v>
      </c>
      <c r="J1105" s="19">
        <f t="shared" si="17"/>
        <v>0</v>
      </c>
    </row>
    <row r="1106" spans="1:10" x14ac:dyDescent="0.35">
      <c r="A1106" s="4" t="s">
        <v>5126</v>
      </c>
      <c r="B1106" s="7" t="s">
        <v>2165</v>
      </c>
      <c r="C1106" s="7" t="s">
        <v>3422</v>
      </c>
      <c r="D1106" s="5">
        <v>9</v>
      </c>
      <c r="E1106" s="7" t="str">
        <f>_xlfn.XLOOKUP(B1106,Customers!A1106:A2105,Customers!B1106:B2105,"Customer Not Found",0)</f>
        <v>Customer Not Found</v>
      </c>
      <c r="F1106" s="7" t="str">
        <f>_xlfn.XLOOKUP(Orders!B1106,Customers!A1106:A2105,Customers!C1106:C2105,"Country not Found",0)</f>
        <v>Country not Found</v>
      </c>
      <c r="G1106" s="7" t="str">
        <f>_xlfn.XLOOKUP(C1106,Products!A1106:A1605,Products!B1106:B1605,"Product Missing",0)</f>
        <v>Product Missing</v>
      </c>
      <c r="H1106" s="7" t="str">
        <f>_xlfn.XLOOKUP(C1106,Products!A1106:A1605,Products!C1106:C1605,"Category Missing",0)</f>
        <v>Category Missing</v>
      </c>
      <c r="I1106" s="11" t="str">
        <f>_xlfn.XLOOKUP(Orders!C1106,Products!A1106:A1605,Products!D1106:D1605,"Price Missing",0)</f>
        <v>Price Missing</v>
      </c>
      <c r="J1106" s="19">
        <f t="shared" si="17"/>
        <v>0</v>
      </c>
    </row>
    <row r="1107" spans="1:10" x14ac:dyDescent="0.35">
      <c r="A1107" s="4" t="s">
        <v>5127</v>
      </c>
      <c r="B1107" s="7" t="s">
        <v>2090</v>
      </c>
      <c r="C1107" s="7" t="s">
        <v>3618</v>
      </c>
      <c r="D1107" s="5">
        <v>4</v>
      </c>
      <c r="E1107" s="7" t="str">
        <f>_xlfn.XLOOKUP(B1107,Customers!A1107:A2106,Customers!B1107:B2106,"Customer Not Found",0)</f>
        <v>Customer Not Found</v>
      </c>
      <c r="F1107" s="7" t="str">
        <f>_xlfn.XLOOKUP(Orders!B1107,Customers!A1107:A2106,Customers!C1107:C2106,"Country not Found",0)</f>
        <v>Country not Found</v>
      </c>
      <c r="G1107" s="7" t="str">
        <f>_xlfn.XLOOKUP(C1107,Products!A1107:A1606,Products!B1107:B1606,"Product Missing",0)</f>
        <v>Product Missing</v>
      </c>
      <c r="H1107" s="7" t="str">
        <f>_xlfn.XLOOKUP(C1107,Products!A1107:A1606,Products!C1107:C1606,"Category Missing",0)</f>
        <v>Category Missing</v>
      </c>
      <c r="I1107" s="11" t="str">
        <f>_xlfn.XLOOKUP(Orders!C1107,Products!A1107:A1606,Products!D1107:D1606,"Price Missing",0)</f>
        <v>Price Missing</v>
      </c>
      <c r="J1107" s="19">
        <f t="shared" si="17"/>
        <v>0</v>
      </c>
    </row>
    <row r="1108" spans="1:10" x14ac:dyDescent="0.35">
      <c r="A1108" s="4" t="s">
        <v>5128</v>
      </c>
      <c r="B1108" s="7" t="s">
        <v>2798</v>
      </c>
      <c r="C1108" s="7" t="s">
        <v>3888</v>
      </c>
      <c r="D1108" s="5">
        <v>2</v>
      </c>
      <c r="E1108" s="7" t="str">
        <f>_xlfn.XLOOKUP(B1108,Customers!A1108:A2107,Customers!B1108:B2107,"Customer Not Found",0)</f>
        <v>Customer Not Found</v>
      </c>
      <c r="F1108" s="7" t="str">
        <f>_xlfn.XLOOKUP(Orders!B1108,Customers!A1108:A2107,Customers!C1108:C2107,"Country not Found",0)</f>
        <v>Country not Found</v>
      </c>
      <c r="G1108" s="7" t="str">
        <f>_xlfn.XLOOKUP(C1108,Products!A1108:A1607,Products!B1108:B1607,"Product Missing",0)</f>
        <v>Product Missing</v>
      </c>
      <c r="H1108" s="7" t="str">
        <f>_xlfn.XLOOKUP(C1108,Products!A1108:A1607,Products!C1108:C1607,"Category Missing",0)</f>
        <v>Category Missing</v>
      </c>
      <c r="I1108" s="11" t="str">
        <f>_xlfn.XLOOKUP(Orders!C1108,Products!A1108:A1607,Products!D1108:D1607,"Price Missing",0)</f>
        <v>Price Missing</v>
      </c>
      <c r="J1108" s="19">
        <f t="shared" si="17"/>
        <v>0</v>
      </c>
    </row>
    <row r="1109" spans="1:10" x14ac:dyDescent="0.35">
      <c r="A1109" s="4" t="s">
        <v>5129</v>
      </c>
      <c r="B1109" s="7" t="s">
        <v>605</v>
      </c>
      <c r="C1109" s="7" t="s">
        <v>3492</v>
      </c>
      <c r="D1109" s="5">
        <v>4</v>
      </c>
      <c r="E1109" s="7" t="str">
        <f>_xlfn.XLOOKUP(B1109,Customers!A1109:A2108,Customers!B1109:B2108,"Customer Not Found",0)</f>
        <v>Customer Not Found</v>
      </c>
      <c r="F1109" s="7" t="str">
        <f>_xlfn.XLOOKUP(Orders!B1109,Customers!A1109:A2108,Customers!C1109:C2108,"Country not Found",0)</f>
        <v>Country not Found</v>
      </c>
      <c r="G1109" s="7" t="str">
        <f>_xlfn.XLOOKUP(C1109,Products!A1109:A1608,Products!B1109:B1608,"Product Missing",0)</f>
        <v>Product Missing</v>
      </c>
      <c r="H1109" s="7" t="str">
        <f>_xlfn.XLOOKUP(C1109,Products!A1109:A1608,Products!C1109:C1608,"Category Missing",0)</f>
        <v>Category Missing</v>
      </c>
      <c r="I1109" s="11" t="str">
        <f>_xlfn.XLOOKUP(Orders!C1109,Products!A1109:A1608,Products!D1109:D1608,"Price Missing",0)</f>
        <v>Price Missing</v>
      </c>
      <c r="J1109" s="19">
        <f t="shared" si="17"/>
        <v>0</v>
      </c>
    </row>
    <row r="1110" spans="1:10" x14ac:dyDescent="0.35">
      <c r="A1110" s="4" t="s">
        <v>5130</v>
      </c>
      <c r="B1110" s="7" t="s">
        <v>617</v>
      </c>
      <c r="C1110" s="7" t="s">
        <v>3342</v>
      </c>
      <c r="D1110" s="5">
        <v>1</v>
      </c>
      <c r="E1110" s="7" t="str">
        <f>_xlfn.XLOOKUP(B1110,Customers!A1110:A2109,Customers!B1110:B2109,"Customer Not Found",0)</f>
        <v>Customer Not Found</v>
      </c>
      <c r="F1110" s="7" t="str">
        <f>_xlfn.XLOOKUP(Orders!B1110,Customers!A1110:A2109,Customers!C1110:C2109,"Country not Found",0)</f>
        <v>Country not Found</v>
      </c>
      <c r="G1110" s="7" t="str">
        <f>_xlfn.XLOOKUP(C1110,Products!A1110:A1609,Products!B1110:B1609,"Product Missing",0)</f>
        <v>Product Missing</v>
      </c>
      <c r="H1110" s="7" t="str">
        <f>_xlfn.XLOOKUP(C1110,Products!A1110:A1609,Products!C1110:C1609,"Category Missing",0)</f>
        <v>Category Missing</v>
      </c>
      <c r="I1110" s="11" t="str">
        <f>_xlfn.XLOOKUP(Orders!C1110,Products!A1110:A1609,Products!D1110:D1609,"Price Missing",0)</f>
        <v>Price Missing</v>
      </c>
      <c r="J1110" s="19">
        <f t="shared" si="17"/>
        <v>0</v>
      </c>
    </row>
    <row r="1111" spans="1:10" x14ac:dyDescent="0.35">
      <c r="A1111" s="4" t="s">
        <v>5131</v>
      </c>
      <c r="B1111" s="7" t="s">
        <v>86</v>
      </c>
      <c r="C1111" s="7" t="s">
        <v>3438</v>
      </c>
      <c r="D1111" s="5">
        <v>4</v>
      </c>
      <c r="E1111" s="7" t="str">
        <f>_xlfn.XLOOKUP(B1111,Customers!A1111:A2110,Customers!B1111:B2110,"Customer Not Found",0)</f>
        <v>Customer Not Found</v>
      </c>
      <c r="F1111" s="7" t="str">
        <f>_xlfn.XLOOKUP(Orders!B1111,Customers!A1111:A2110,Customers!C1111:C2110,"Country not Found",0)</f>
        <v>Country not Found</v>
      </c>
      <c r="G1111" s="7" t="str">
        <f>_xlfn.XLOOKUP(C1111,Products!A1111:A1610,Products!B1111:B1610,"Product Missing",0)</f>
        <v>Product Missing</v>
      </c>
      <c r="H1111" s="7" t="str">
        <f>_xlfn.XLOOKUP(C1111,Products!A1111:A1610,Products!C1111:C1610,"Category Missing",0)</f>
        <v>Category Missing</v>
      </c>
      <c r="I1111" s="11" t="str">
        <f>_xlfn.XLOOKUP(Orders!C1111,Products!A1111:A1610,Products!D1111:D1610,"Price Missing",0)</f>
        <v>Price Missing</v>
      </c>
      <c r="J1111" s="19">
        <f t="shared" si="17"/>
        <v>0</v>
      </c>
    </row>
    <row r="1112" spans="1:10" x14ac:dyDescent="0.35">
      <c r="A1112" s="4" t="s">
        <v>5132</v>
      </c>
      <c r="B1112" s="7" t="s">
        <v>389</v>
      </c>
      <c r="C1112" s="7" t="s">
        <v>4004</v>
      </c>
      <c r="D1112" s="5">
        <v>5</v>
      </c>
      <c r="E1112" s="7" t="str">
        <f>_xlfn.XLOOKUP(B1112,Customers!A1112:A2111,Customers!B1112:B2111,"Customer Not Found",0)</f>
        <v>Customer Not Found</v>
      </c>
      <c r="F1112" s="7" t="str">
        <f>_xlfn.XLOOKUP(Orders!B1112,Customers!A1112:A2111,Customers!C1112:C2111,"Country not Found",0)</f>
        <v>Country not Found</v>
      </c>
      <c r="G1112" s="7" t="str">
        <f>_xlfn.XLOOKUP(C1112,Products!A1112:A1611,Products!B1112:B1611,"Product Missing",0)</f>
        <v>Product Missing</v>
      </c>
      <c r="H1112" s="7" t="str">
        <f>_xlfn.XLOOKUP(C1112,Products!A1112:A1611,Products!C1112:C1611,"Category Missing",0)</f>
        <v>Category Missing</v>
      </c>
      <c r="I1112" s="11" t="str">
        <f>_xlfn.XLOOKUP(Orders!C1112,Products!A1112:A1611,Products!D1112:D1611,"Price Missing",0)</f>
        <v>Price Missing</v>
      </c>
      <c r="J1112" s="19">
        <f t="shared" si="17"/>
        <v>0</v>
      </c>
    </row>
    <row r="1113" spans="1:10" x14ac:dyDescent="0.35">
      <c r="A1113" s="4" t="s">
        <v>5133</v>
      </c>
      <c r="B1113" s="7" t="s">
        <v>2282</v>
      </c>
      <c r="C1113" s="7" t="s">
        <v>3612</v>
      </c>
      <c r="D1113" s="5">
        <v>8</v>
      </c>
      <c r="E1113" s="7" t="str">
        <f>_xlfn.XLOOKUP(B1113,Customers!A1113:A2112,Customers!B1113:B2112,"Customer Not Found",0)</f>
        <v>Customer Not Found</v>
      </c>
      <c r="F1113" s="7" t="str">
        <f>_xlfn.XLOOKUP(Orders!B1113,Customers!A1113:A2112,Customers!C1113:C2112,"Country not Found",0)</f>
        <v>Country not Found</v>
      </c>
      <c r="G1113" s="7" t="str">
        <f>_xlfn.XLOOKUP(C1113,Products!A1113:A1612,Products!B1113:B1612,"Product Missing",0)</f>
        <v>Product Missing</v>
      </c>
      <c r="H1113" s="7" t="str">
        <f>_xlfn.XLOOKUP(C1113,Products!A1113:A1612,Products!C1113:C1612,"Category Missing",0)</f>
        <v>Category Missing</v>
      </c>
      <c r="I1113" s="11" t="str">
        <f>_xlfn.XLOOKUP(Orders!C1113,Products!A1113:A1612,Products!D1113:D1612,"Price Missing",0)</f>
        <v>Price Missing</v>
      </c>
      <c r="J1113" s="19">
        <f t="shared" si="17"/>
        <v>0</v>
      </c>
    </row>
    <row r="1114" spans="1:10" x14ac:dyDescent="0.35">
      <c r="A1114" s="4" t="s">
        <v>5134</v>
      </c>
      <c r="B1114" s="7" t="s">
        <v>2561</v>
      </c>
      <c r="C1114" s="7" t="s">
        <v>3462</v>
      </c>
      <c r="D1114" s="5">
        <v>7</v>
      </c>
      <c r="E1114" s="7" t="str">
        <f>_xlfn.XLOOKUP(B1114,Customers!A1114:A2113,Customers!B1114:B2113,"Customer Not Found",0)</f>
        <v>Customer Not Found</v>
      </c>
      <c r="F1114" s="7" t="str">
        <f>_xlfn.XLOOKUP(Orders!B1114,Customers!A1114:A2113,Customers!C1114:C2113,"Country not Found",0)</f>
        <v>Country not Found</v>
      </c>
      <c r="G1114" s="7" t="str">
        <f>_xlfn.XLOOKUP(C1114,Products!A1114:A1613,Products!B1114:B1613,"Product Missing",0)</f>
        <v>Product Missing</v>
      </c>
      <c r="H1114" s="7" t="str">
        <f>_xlfn.XLOOKUP(C1114,Products!A1114:A1613,Products!C1114:C1613,"Category Missing",0)</f>
        <v>Category Missing</v>
      </c>
      <c r="I1114" s="11" t="str">
        <f>_xlfn.XLOOKUP(Orders!C1114,Products!A1114:A1613,Products!D1114:D1613,"Price Missing",0)</f>
        <v>Price Missing</v>
      </c>
      <c r="J1114" s="19">
        <f t="shared" si="17"/>
        <v>0</v>
      </c>
    </row>
    <row r="1115" spans="1:10" x14ac:dyDescent="0.35">
      <c r="A1115" s="4" t="s">
        <v>5135</v>
      </c>
      <c r="B1115" s="7" t="s">
        <v>476</v>
      </c>
      <c r="C1115" s="7" t="s">
        <v>3216</v>
      </c>
      <c r="D1115" s="5">
        <v>1</v>
      </c>
      <c r="E1115" s="7" t="str">
        <f>_xlfn.XLOOKUP(B1115,Customers!A1115:A2114,Customers!B1115:B2114,"Customer Not Found",0)</f>
        <v>Customer Not Found</v>
      </c>
      <c r="F1115" s="7" t="str">
        <f>_xlfn.XLOOKUP(Orders!B1115,Customers!A1115:A2114,Customers!C1115:C2114,"Country not Found",0)</f>
        <v>Country not Found</v>
      </c>
      <c r="G1115" s="7" t="str">
        <f>_xlfn.XLOOKUP(C1115,Products!A1115:A1614,Products!B1115:B1614,"Product Missing",0)</f>
        <v>Product Missing</v>
      </c>
      <c r="H1115" s="7" t="str">
        <f>_xlfn.XLOOKUP(C1115,Products!A1115:A1614,Products!C1115:C1614,"Category Missing",0)</f>
        <v>Category Missing</v>
      </c>
      <c r="I1115" s="11" t="str">
        <f>_xlfn.XLOOKUP(Orders!C1115,Products!A1115:A1614,Products!D1115:D1614,"Price Missing",0)</f>
        <v>Price Missing</v>
      </c>
      <c r="J1115" s="19">
        <f t="shared" si="17"/>
        <v>0</v>
      </c>
    </row>
    <row r="1116" spans="1:10" x14ac:dyDescent="0.35">
      <c r="A1116" s="4" t="s">
        <v>5136</v>
      </c>
      <c r="B1116" s="7" t="s">
        <v>584</v>
      </c>
      <c r="C1116" s="7" t="s">
        <v>3732</v>
      </c>
      <c r="D1116" s="5">
        <v>9</v>
      </c>
      <c r="E1116" s="7" t="str">
        <f>_xlfn.XLOOKUP(B1116,Customers!A1116:A2115,Customers!B1116:B2115,"Customer Not Found",0)</f>
        <v>Customer Not Found</v>
      </c>
      <c r="F1116" s="7" t="str">
        <f>_xlfn.XLOOKUP(Orders!B1116,Customers!A1116:A2115,Customers!C1116:C2115,"Country not Found",0)</f>
        <v>Country not Found</v>
      </c>
      <c r="G1116" s="7" t="str">
        <f>_xlfn.XLOOKUP(C1116,Products!A1116:A1615,Products!B1116:B1615,"Product Missing",0)</f>
        <v>Product Missing</v>
      </c>
      <c r="H1116" s="7" t="str">
        <f>_xlfn.XLOOKUP(C1116,Products!A1116:A1615,Products!C1116:C1615,"Category Missing",0)</f>
        <v>Category Missing</v>
      </c>
      <c r="I1116" s="11" t="str">
        <f>_xlfn.XLOOKUP(Orders!C1116,Products!A1116:A1615,Products!D1116:D1615,"Price Missing",0)</f>
        <v>Price Missing</v>
      </c>
      <c r="J1116" s="19">
        <f t="shared" si="17"/>
        <v>0</v>
      </c>
    </row>
    <row r="1117" spans="1:10" x14ac:dyDescent="0.35">
      <c r="A1117" s="4" t="s">
        <v>5137</v>
      </c>
      <c r="B1117" s="7" t="s">
        <v>506</v>
      </c>
      <c r="C1117" s="7" t="s">
        <v>3874</v>
      </c>
      <c r="D1117" s="5">
        <v>10</v>
      </c>
      <c r="E1117" s="7" t="str">
        <f>_xlfn.XLOOKUP(B1117,Customers!A1117:A2116,Customers!B1117:B2116,"Customer Not Found",0)</f>
        <v>Customer Not Found</v>
      </c>
      <c r="F1117" s="7" t="str">
        <f>_xlfn.XLOOKUP(Orders!B1117,Customers!A1117:A2116,Customers!C1117:C2116,"Country not Found",0)</f>
        <v>Country not Found</v>
      </c>
      <c r="G1117" s="7" t="str">
        <f>_xlfn.XLOOKUP(C1117,Products!A1117:A1616,Products!B1117:B1616,"Product Missing",0)</f>
        <v>Product Missing</v>
      </c>
      <c r="H1117" s="7" t="str">
        <f>_xlfn.XLOOKUP(C1117,Products!A1117:A1616,Products!C1117:C1616,"Category Missing",0)</f>
        <v>Category Missing</v>
      </c>
      <c r="I1117" s="11" t="str">
        <f>_xlfn.XLOOKUP(Orders!C1117,Products!A1117:A1616,Products!D1117:D1616,"Price Missing",0)</f>
        <v>Price Missing</v>
      </c>
      <c r="J1117" s="19">
        <f t="shared" si="17"/>
        <v>0</v>
      </c>
    </row>
    <row r="1118" spans="1:10" x14ac:dyDescent="0.35">
      <c r="A1118" s="4" t="s">
        <v>5138</v>
      </c>
      <c r="B1118" s="7" t="s">
        <v>2618</v>
      </c>
      <c r="C1118" s="7" t="s">
        <v>3720</v>
      </c>
      <c r="D1118" s="5">
        <v>8</v>
      </c>
      <c r="E1118" s="7" t="str">
        <f>_xlfn.XLOOKUP(B1118,Customers!A1118:A2117,Customers!B1118:B2117,"Customer Not Found",0)</f>
        <v>Customer Not Found</v>
      </c>
      <c r="F1118" s="7" t="str">
        <f>_xlfn.XLOOKUP(Orders!B1118,Customers!A1118:A2117,Customers!C1118:C2117,"Country not Found",0)</f>
        <v>Country not Found</v>
      </c>
      <c r="G1118" s="7" t="str">
        <f>_xlfn.XLOOKUP(C1118,Products!A1118:A1617,Products!B1118:B1617,"Product Missing",0)</f>
        <v>Product Missing</v>
      </c>
      <c r="H1118" s="7" t="str">
        <f>_xlfn.XLOOKUP(C1118,Products!A1118:A1617,Products!C1118:C1617,"Category Missing",0)</f>
        <v>Category Missing</v>
      </c>
      <c r="I1118" s="11" t="str">
        <f>_xlfn.XLOOKUP(Orders!C1118,Products!A1118:A1617,Products!D1118:D1617,"Price Missing",0)</f>
        <v>Price Missing</v>
      </c>
      <c r="J1118" s="19">
        <f t="shared" si="17"/>
        <v>0</v>
      </c>
    </row>
    <row r="1119" spans="1:10" x14ac:dyDescent="0.35">
      <c r="A1119" s="4" t="s">
        <v>5139</v>
      </c>
      <c r="B1119" s="7" t="s">
        <v>2870</v>
      </c>
      <c r="C1119" s="7" t="s">
        <v>3474</v>
      </c>
      <c r="D1119" s="5">
        <v>4</v>
      </c>
      <c r="E1119" s="7" t="str">
        <f>_xlfn.XLOOKUP(B1119,Customers!A1119:A2118,Customers!B1119:B2118,"Customer Not Found",0)</f>
        <v>Customer Not Found</v>
      </c>
      <c r="F1119" s="7" t="str">
        <f>_xlfn.XLOOKUP(Orders!B1119,Customers!A1119:A2118,Customers!C1119:C2118,"Country not Found",0)</f>
        <v>Country not Found</v>
      </c>
      <c r="G1119" s="7" t="str">
        <f>_xlfn.XLOOKUP(C1119,Products!A1119:A1618,Products!B1119:B1618,"Product Missing",0)</f>
        <v>Product Missing</v>
      </c>
      <c r="H1119" s="7" t="str">
        <f>_xlfn.XLOOKUP(C1119,Products!A1119:A1618,Products!C1119:C1618,"Category Missing",0)</f>
        <v>Category Missing</v>
      </c>
      <c r="I1119" s="11" t="str">
        <f>_xlfn.XLOOKUP(Orders!C1119,Products!A1119:A1618,Products!D1119:D1618,"Price Missing",0)</f>
        <v>Price Missing</v>
      </c>
      <c r="J1119" s="19">
        <f t="shared" si="17"/>
        <v>0</v>
      </c>
    </row>
    <row r="1120" spans="1:10" x14ac:dyDescent="0.35">
      <c r="A1120" s="4" t="s">
        <v>5140</v>
      </c>
      <c r="B1120" s="7" t="s">
        <v>2453</v>
      </c>
      <c r="C1120" s="7" t="s">
        <v>3462</v>
      </c>
      <c r="D1120" s="5">
        <v>1</v>
      </c>
      <c r="E1120" s="7" t="str">
        <f>_xlfn.XLOOKUP(B1120,Customers!A1120:A2119,Customers!B1120:B2119,"Customer Not Found",0)</f>
        <v>Customer Not Found</v>
      </c>
      <c r="F1120" s="7" t="str">
        <f>_xlfn.XLOOKUP(Orders!B1120,Customers!A1120:A2119,Customers!C1120:C2119,"Country not Found",0)</f>
        <v>Country not Found</v>
      </c>
      <c r="G1120" s="7" t="str">
        <f>_xlfn.XLOOKUP(C1120,Products!A1120:A1619,Products!B1120:B1619,"Product Missing",0)</f>
        <v>Product Missing</v>
      </c>
      <c r="H1120" s="7" t="str">
        <f>_xlfn.XLOOKUP(C1120,Products!A1120:A1619,Products!C1120:C1619,"Category Missing",0)</f>
        <v>Category Missing</v>
      </c>
      <c r="I1120" s="11" t="str">
        <f>_xlfn.XLOOKUP(Orders!C1120,Products!A1120:A1619,Products!D1120:D1619,"Price Missing",0)</f>
        <v>Price Missing</v>
      </c>
      <c r="J1120" s="19">
        <f t="shared" si="17"/>
        <v>0</v>
      </c>
    </row>
    <row r="1121" spans="1:10" x14ac:dyDescent="0.35">
      <c r="A1121" s="4" t="s">
        <v>5141</v>
      </c>
      <c r="B1121" s="7" t="s">
        <v>1718</v>
      </c>
      <c r="C1121" s="7" t="s">
        <v>3748</v>
      </c>
      <c r="D1121" s="5">
        <v>1</v>
      </c>
      <c r="E1121" s="7" t="str">
        <f>_xlfn.XLOOKUP(B1121,Customers!A1121:A2120,Customers!B1121:B2120,"Customer Not Found",0)</f>
        <v>Customer Not Found</v>
      </c>
      <c r="F1121" s="7" t="str">
        <f>_xlfn.XLOOKUP(Orders!B1121,Customers!A1121:A2120,Customers!C1121:C2120,"Country not Found",0)</f>
        <v>Country not Found</v>
      </c>
      <c r="G1121" s="7" t="str">
        <f>_xlfn.XLOOKUP(C1121,Products!A1121:A1620,Products!B1121:B1620,"Product Missing",0)</f>
        <v>Product Missing</v>
      </c>
      <c r="H1121" s="7" t="str">
        <f>_xlfn.XLOOKUP(C1121,Products!A1121:A1620,Products!C1121:C1620,"Category Missing",0)</f>
        <v>Category Missing</v>
      </c>
      <c r="I1121" s="11" t="str">
        <f>_xlfn.XLOOKUP(Orders!C1121,Products!A1121:A1620,Products!D1121:D1620,"Price Missing",0)</f>
        <v>Price Missing</v>
      </c>
      <c r="J1121" s="19">
        <f t="shared" si="17"/>
        <v>0</v>
      </c>
    </row>
    <row r="1122" spans="1:10" x14ac:dyDescent="0.35">
      <c r="A1122" s="4" t="s">
        <v>5142</v>
      </c>
      <c r="B1122" s="7" t="s">
        <v>671</v>
      </c>
      <c r="C1122" s="7" t="s">
        <v>3196</v>
      </c>
      <c r="D1122" s="5">
        <v>3</v>
      </c>
      <c r="E1122" s="7" t="str">
        <f>_xlfn.XLOOKUP(B1122,Customers!A1122:A2121,Customers!B1122:B2121,"Customer Not Found",0)</f>
        <v>Customer Not Found</v>
      </c>
      <c r="F1122" s="7" t="str">
        <f>_xlfn.XLOOKUP(Orders!B1122,Customers!A1122:A2121,Customers!C1122:C2121,"Country not Found",0)</f>
        <v>Country not Found</v>
      </c>
      <c r="G1122" s="7" t="str">
        <f>_xlfn.XLOOKUP(C1122,Products!A1122:A1621,Products!B1122:B1621,"Product Missing",0)</f>
        <v>Product Missing</v>
      </c>
      <c r="H1122" s="7" t="str">
        <f>_xlfn.XLOOKUP(C1122,Products!A1122:A1621,Products!C1122:C1621,"Category Missing",0)</f>
        <v>Category Missing</v>
      </c>
      <c r="I1122" s="11" t="str">
        <f>_xlfn.XLOOKUP(Orders!C1122,Products!A1122:A1621,Products!D1122:D1621,"Price Missing",0)</f>
        <v>Price Missing</v>
      </c>
      <c r="J1122" s="19">
        <f t="shared" si="17"/>
        <v>0</v>
      </c>
    </row>
    <row r="1123" spans="1:10" x14ac:dyDescent="0.35">
      <c r="A1123" s="4" t="s">
        <v>5143</v>
      </c>
      <c r="B1123" s="7" t="s">
        <v>1205</v>
      </c>
      <c r="C1123" s="7" t="s">
        <v>3692</v>
      </c>
      <c r="D1123" s="5">
        <v>7</v>
      </c>
      <c r="E1123" s="7" t="str">
        <f>_xlfn.XLOOKUP(B1123,Customers!A1123:A2122,Customers!B1123:B2122,"Customer Not Found",0)</f>
        <v>Customer Not Found</v>
      </c>
      <c r="F1123" s="7" t="str">
        <f>_xlfn.XLOOKUP(Orders!B1123,Customers!A1123:A2122,Customers!C1123:C2122,"Country not Found",0)</f>
        <v>Country not Found</v>
      </c>
      <c r="G1123" s="7" t="str">
        <f>_xlfn.XLOOKUP(C1123,Products!A1123:A1622,Products!B1123:B1622,"Product Missing",0)</f>
        <v>Product Missing</v>
      </c>
      <c r="H1123" s="7" t="str">
        <f>_xlfn.XLOOKUP(C1123,Products!A1123:A1622,Products!C1123:C1622,"Category Missing",0)</f>
        <v>Category Missing</v>
      </c>
      <c r="I1123" s="11" t="str">
        <f>_xlfn.XLOOKUP(Orders!C1123,Products!A1123:A1622,Products!D1123:D1622,"Price Missing",0)</f>
        <v>Price Missing</v>
      </c>
      <c r="J1123" s="19">
        <f t="shared" si="17"/>
        <v>0</v>
      </c>
    </row>
    <row r="1124" spans="1:10" x14ac:dyDescent="0.35">
      <c r="A1124" s="4" t="s">
        <v>5144</v>
      </c>
      <c r="B1124" s="7" t="s">
        <v>779</v>
      </c>
      <c r="C1124" s="7" t="s">
        <v>3039</v>
      </c>
      <c r="D1124" s="5">
        <v>9</v>
      </c>
      <c r="E1124" s="7" t="str">
        <f>_xlfn.XLOOKUP(B1124,Customers!A1124:A2123,Customers!B1124:B2123,"Customer Not Found",0)</f>
        <v>Customer Not Found</v>
      </c>
      <c r="F1124" s="7" t="str">
        <f>_xlfn.XLOOKUP(Orders!B1124,Customers!A1124:A2123,Customers!C1124:C2123,"Country not Found",0)</f>
        <v>Country not Found</v>
      </c>
      <c r="G1124" s="7" t="str">
        <f>_xlfn.XLOOKUP(C1124,Products!A1124:A1623,Products!B1124:B1623,"Product Missing",0)</f>
        <v>Product Missing</v>
      </c>
      <c r="H1124" s="7" t="str">
        <f>_xlfn.XLOOKUP(C1124,Products!A1124:A1623,Products!C1124:C1623,"Category Missing",0)</f>
        <v>Category Missing</v>
      </c>
      <c r="I1124" s="11" t="str">
        <f>_xlfn.XLOOKUP(Orders!C1124,Products!A1124:A1623,Products!D1124:D1623,"Price Missing",0)</f>
        <v>Price Missing</v>
      </c>
      <c r="J1124" s="19">
        <f t="shared" si="17"/>
        <v>0</v>
      </c>
    </row>
    <row r="1125" spans="1:10" x14ac:dyDescent="0.35">
      <c r="A1125" s="4" t="s">
        <v>5145</v>
      </c>
      <c r="B1125" s="7" t="s">
        <v>1781</v>
      </c>
      <c r="C1125" s="7" t="s">
        <v>3920</v>
      </c>
      <c r="D1125" s="5">
        <v>8</v>
      </c>
      <c r="E1125" s="7" t="str">
        <f>_xlfn.XLOOKUP(B1125,Customers!A1125:A2124,Customers!B1125:B2124,"Customer Not Found",0)</f>
        <v>Customer Not Found</v>
      </c>
      <c r="F1125" s="7" t="str">
        <f>_xlfn.XLOOKUP(Orders!B1125,Customers!A1125:A2124,Customers!C1125:C2124,"Country not Found",0)</f>
        <v>Country not Found</v>
      </c>
      <c r="G1125" s="7" t="str">
        <f>_xlfn.XLOOKUP(C1125,Products!A1125:A1624,Products!B1125:B1624,"Product Missing",0)</f>
        <v>Product Missing</v>
      </c>
      <c r="H1125" s="7" t="str">
        <f>_xlfn.XLOOKUP(C1125,Products!A1125:A1624,Products!C1125:C1624,"Category Missing",0)</f>
        <v>Category Missing</v>
      </c>
      <c r="I1125" s="11" t="str">
        <f>_xlfn.XLOOKUP(Orders!C1125,Products!A1125:A1624,Products!D1125:D1624,"Price Missing",0)</f>
        <v>Price Missing</v>
      </c>
      <c r="J1125" s="19">
        <f t="shared" si="17"/>
        <v>0</v>
      </c>
    </row>
    <row r="1126" spans="1:10" x14ac:dyDescent="0.35">
      <c r="A1126" s="4" t="s">
        <v>5146</v>
      </c>
      <c r="B1126" s="7" t="s">
        <v>548</v>
      </c>
      <c r="C1126" s="7" t="s">
        <v>3078</v>
      </c>
      <c r="D1126" s="5">
        <v>3</v>
      </c>
      <c r="E1126" s="7" t="str">
        <f>_xlfn.XLOOKUP(B1126,Customers!A1126:A2125,Customers!B1126:B2125,"Customer Not Found",0)</f>
        <v>Customer Not Found</v>
      </c>
      <c r="F1126" s="7" t="str">
        <f>_xlfn.XLOOKUP(Orders!B1126,Customers!A1126:A2125,Customers!C1126:C2125,"Country not Found",0)</f>
        <v>Country not Found</v>
      </c>
      <c r="G1126" s="7" t="str">
        <f>_xlfn.XLOOKUP(C1126,Products!A1126:A1625,Products!B1126:B1625,"Product Missing",0)</f>
        <v>Product Missing</v>
      </c>
      <c r="H1126" s="7" t="str">
        <f>_xlfn.XLOOKUP(C1126,Products!A1126:A1625,Products!C1126:C1625,"Category Missing",0)</f>
        <v>Category Missing</v>
      </c>
      <c r="I1126" s="11" t="str">
        <f>_xlfn.XLOOKUP(Orders!C1126,Products!A1126:A1625,Products!D1126:D1625,"Price Missing",0)</f>
        <v>Price Missing</v>
      </c>
      <c r="J1126" s="19">
        <f t="shared" si="17"/>
        <v>0</v>
      </c>
    </row>
    <row r="1127" spans="1:10" x14ac:dyDescent="0.35">
      <c r="A1127" s="4" t="s">
        <v>5147</v>
      </c>
      <c r="B1127" s="7" t="s">
        <v>2294</v>
      </c>
      <c r="C1127" s="7" t="s">
        <v>3280</v>
      </c>
      <c r="D1127" s="5">
        <v>3</v>
      </c>
      <c r="E1127" s="7" t="str">
        <f>_xlfn.XLOOKUP(B1127,Customers!A1127:A2126,Customers!B1127:B2126,"Customer Not Found",0)</f>
        <v>Customer Not Found</v>
      </c>
      <c r="F1127" s="7" t="str">
        <f>_xlfn.XLOOKUP(Orders!B1127,Customers!A1127:A2126,Customers!C1127:C2126,"Country not Found",0)</f>
        <v>Country not Found</v>
      </c>
      <c r="G1127" s="7" t="str">
        <f>_xlfn.XLOOKUP(C1127,Products!A1127:A1626,Products!B1127:B1626,"Product Missing",0)</f>
        <v>Product Missing</v>
      </c>
      <c r="H1127" s="7" t="str">
        <f>_xlfn.XLOOKUP(C1127,Products!A1127:A1626,Products!C1127:C1626,"Category Missing",0)</f>
        <v>Category Missing</v>
      </c>
      <c r="I1127" s="11" t="str">
        <f>_xlfn.XLOOKUP(Orders!C1127,Products!A1127:A1626,Products!D1127:D1626,"Price Missing",0)</f>
        <v>Price Missing</v>
      </c>
      <c r="J1127" s="19">
        <f t="shared" si="17"/>
        <v>0</v>
      </c>
    </row>
    <row r="1128" spans="1:10" x14ac:dyDescent="0.35">
      <c r="A1128" s="4" t="s">
        <v>5148</v>
      </c>
      <c r="B1128" s="7" t="s">
        <v>2699</v>
      </c>
      <c r="C1128" s="7" t="s">
        <v>3414</v>
      </c>
      <c r="D1128" s="5">
        <v>6</v>
      </c>
      <c r="E1128" s="7" t="str">
        <f>_xlfn.XLOOKUP(B1128,Customers!A1128:A2127,Customers!B1128:B2127,"Customer Not Found",0)</f>
        <v>Customer Not Found</v>
      </c>
      <c r="F1128" s="7" t="str">
        <f>_xlfn.XLOOKUP(Orders!B1128,Customers!A1128:A2127,Customers!C1128:C2127,"Country not Found",0)</f>
        <v>Country not Found</v>
      </c>
      <c r="G1128" s="7" t="str">
        <f>_xlfn.XLOOKUP(C1128,Products!A1128:A1627,Products!B1128:B1627,"Product Missing",0)</f>
        <v>Product Missing</v>
      </c>
      <c r="H1128" s="7" t="str">
        <f>_xlfn.XLOOKUP(C1128,Products!A1128:A1627,Products!C1128:C1627,"Category Missing",0)</f>
        <v>Category Missing</v>
      </c>
      <c r="I1128" s="11" t="str">
        <f>_xlfn.XLOOKUP(Orders!C1128,Products!A1128:A1627,Products!D1128:D1627,"Price Missing",0)</f>
        <v>Price Missing</v>
      </c>
      <c r="J1128" s="19">
        <f t="shared" si="17"/>
        <v>0</v>
      </c>
    </row>
    <row r="1129" spans="1:10" x14ac:dyDescent="0.35">
      <c r="A1129" s="4" t="s">
        <v>5149</v>
      </c>
      <c r="B1129" s="7" t="s">
        <v>2585</v>
      </c>
      <c r="C1129" s="7" t="s">
        <v>3312</v>
      </c>
      <c r="D1129" s="5">
        <v>9</v>
      </c>
      <c r="E1129" s="7" t="str">
        <f>_xlfn.XLOOKUP(B1129,Customers!A1129:A2128,Customers!B1129:B2128,"Customer Not Found",0)</f>
        <v>Customer Not Found</v>
      </c>
      <c r="F1129" s="7" t="str">
        <f>_xlfn.XLOOKUP(Orders!B1129,Customers!A1129:A2128,Customers!C1129:C2128,"Country not Found",0)</f>
        <v>Country not Found</v>
      </c>
      <c r="G1129" s="7" t="str">
        <f>_xlfn.XLOOKUP(C1129,Products!A1129:A1628,Products!B1129:B1628,"Product Missing",0)</f>
        <v>Product Missing</v>
      </c>
      <c r="H1129" s="7" t="str">
        <f>_xlfn.XLOOKUP(C1129,Products!A1129:A1628,Products!C1129:C1628,"Category Missing",0)</f>
        <v>Category Missing</v>
      </c>
      <c r="I1129" s="11" t="str">
        <f>_xlfn.XLOOKUP(Orders!C1129,Products!A1129:A1628,Products!D1129:D1628,"Price Missing",0)</f>
        <v>Price Missing</v>
      </c>
      <c r="J1129" s="19">
        <f t="shared" si="17"/>
        <v>0</v>
      </c>
    </row>
    <row r="1130" spans="1:10" x14ac:dyDescent="0.35">
      <c r="A1130" s="4" t="s">
        <v>5150</v>
      </c>
      <c r="B1130" s="7" t="s">
        <v>2801</v>
      </c>
      <c r="C1130" s="7" t="s">
        <v>3382</v>
      </c>
      <c r="D1130" s="5">
        <v>6</v>
      </c>
      <c r="E1130" s="7" t="str">
        <f>_xlfn.XLOOKUP(B1130,Customers!A1130:A2129,Customers!B1130:B2129,"Customer Not Found",0)</f>
        <v>Customer Not Found</v>
      </c>
      <c r="F1130" s="7" t="str">
        <f>_xlfn.XLOOKUP(Orders!B1130,Customers!A1130:A2129,Customers!C1130:C2129,"Country not Found",0)</f>
        <v>Country not Found</v>
      </c>
      <c r="G1130" s="7" t="str">
        <f>_xlfn.XLOOKUP(C1130,Products!A1130:A1629,Products!B1130:B1629,"Product Missing",0)</f>
        <v>Product Missing</v>
      </c>
      <c r="H1130" s="7" t="str">
        <f>_xlfn.XLOOKUP(C1130,Products!A1130:A1629,Products!C1130:C1629,"Category Missing",0)</f>
        <v>Category Missing</v>
      </c>
      <c r="I1130" s="11" t="str">
        <f>_xlfn.XLOOKUP(Orders!C1130,Products!A1130:A1629,Products!D1130:D1629,"Price Missing",0)</f>
        <v>Price Missing</v>
      </c>
      <c r="J1130" s="19">
        <f t="shared" si="17"/>
        <v>0</v>
      </c>
    </row>
    <row r="1131" spans="1:10" x14ac:dyDescent="0.35">
      <c r="A1131" s="4" t="s">
        <v>5151</v>
      </c>
      <c r="B1131" s="7" t="s">
        <v>2348</v>
      </c>
      <c r="C1131" s="7" t="s">
        <v>3634</v>
      </c>
      <c r="D1131" s="5">
        <v>3</v>
      </c>
      <c r="E1131" s="7" t="str">
        <f>_xlfn.XLOOKUP(B1131,Customers!A1131:A2130,Customers!B1131:B2130,"Customer Not Found",0)</f>
        <v>Customer Not Found</v>
      </c>
      <c r="F1131" s="7" t="str">
        <f>_xlfn.XLOOKUP(Orders!B1131,Customers!A1131:A2130,Customers!C1131:C2130,"Country not Found",0)</f>
        <v>Country not Found</v>
      </c>
      <c r="G1131" s="7" t="str">
        <f>_xlfn.XLOOKUP(C1131,Products!A1131:A1630,Products!B1131:B1630,"Product Missing",0)</f>
        <v>Product Missing</v>
      </c>
      <c r="H1131" s="7" t="str">
        <f>_xlfn.XLOOKUP(C1131,Products!A1131:A1630,Products!C1131:C1630,"Category Missing",0)</f>
        <v>Category Missing</v>
      </c>
      <c r="I1131" s="11" t="str">
        <f>_xlfn.XLOOKUP(Orders!C1131,Products!A1131:A1630,Products!D1131:D1630,"Price Missing",0)</f>
        <v>Price Missing</v>
      </c>
      <c r="J1131" s="19">
        <f t="shared" si="17"/>
        <v>0</v>
      </c>
    </row>
    <row r="1132" spans="1:10" x14ac:dyDescent="0.35">
      <c r="A1132" s="4" t="s">
        <v>5152</v>
      </c>
      <c r="B1132" s="7" t="s">
        <v>1091</v>
      </c>
      <c r="C1132" s="7" t="s">
        <v>3130</v>
      </c>
      <c r="D1132" s="5">
        <v>9</v>
      </c>
      <c r="E1132" s="7" t="str">
        <f>_xlfn.XLOOKUP(B1132,Customers!A1132:A2131,Customers!B1132:B2131,"Customer Not Found",0)</f>
        <v>Customer Not Found</v>
      </c>
      <c r="F1132" s="7" t="str">
        <f>_xlfn.XLOOKUP(Orders!B1132,Customers!A1132:A2131,Customers!C1132:C2131,"Country not Found",0)</f>
        <v>Country not Found</v>
      </c>
      <c r="G1132" s="7" t="str">
        <f>_xlfn.XLOOKUP(C1132,Products!A1132:A1631,Products!B1132:B1631,"Product Missing",0)</f>
        <v>Product Missing</v>
      </c>
      <c r="H1132" s="7" t="str">
        <f>_xlfn.XLOOKUP(C1132,Products!A1132:A1631,Products!C1132:C1631,"Category Missing",0)</f>
        <v>Category Missing</v>
      </c>
      <c r="I1132" s="11" t="str">
        <f>_xlfn.XLOOKUP(Orders!C1132,Products!A1132:A1631,Products!D1132:D1631,"Price Missing",0)</f>
        <v>Price Missing</v>
      </c>
      <c r="J1132" s="19">
        <f t="shared" si="17"/>
        <v>0</v>
      </c>
    </row>
    <row r="1133" spans="1:10" x14ac:dyDescent="0.35">
      <c r="A1133" s="4" t="s">
        <v>5153</v>
      </c>
      <c r="B1133" s="7" t="s">
        <v>260</v>
      </c>
      <c r="C1133" s="7" t="s">
        <v>3188</v>
      </c>
      <c r="D1133" s="5">
        <v>4</v>
      </c>
      <c r="E1133" s="7" t="str">
        <f>_xlfn.XLOOKUP(B1133,Customers!A1133:A2132,Customers!B1133:B2132,"Customer Not Found",0)</f>
        <v>Customer Not Found</v>
      </c>
      <c r="F1133" s="7" t="str">
        <f>_xlfn.XLOOKUP(Orders!B1133,Customers!A1133:A2132,Customers!C1133:C2132,"Country not Found",0)</f>
        <v>Country not Found</v>
      </c>
      <c r="G1133" s="7" t="str">
        <f>_xlfn.XLOOKUP(C1133,Products!A1133:A1632,Products!B1133:B1632,"Product Missing",0)</f>
        <v>Product Missing</v>
      </c>
      <c r="H1133" s="7" t="str">
        <f>_xlfn.XLOOKUP(C1133,Products!A1133:A1632,Products!C1133:C1632,"Category Missing",0)</f>
        <v>Category Missing</v>
      </c>
      <c r="I1133" s="11" t="str">
        <f>_xlfn.XLOOKUP(Orders!C1133,Products!A1133:A1632,Products!D1133:D1632,"Price Missing",0)</f>
        <v>Price Missing</v>
      </c>
      <c r="J1133" s="19">
        <f t="shared" si="17"/>
        <v>0</v>
      </c>
    </row>
    <row r="1134" spans="1:10" x14ac:dyDescent="0.35">
      <c r="A1134" s="4" t="s">
        <v>5154</v>
      </c>
      <c r="B1134" s="7" t="s">
        <v>2180</v>
      </c>
      <c r="C1134" s="7" t="s">
        <v>3562</v>
      </c>
      <c r="D1134" s="5">
        <v>7</v>
      </c>
      <c r="E1134" s="7" t="str">
        <f>_xlfn.XLOOKUP(B1134,Customers!A1134:A2133,Customers!B1134:B2133,"Customer Not Found",0)</f>
        <v>Customer Not Found</v>
      </c>
      <c r="F1134" s="7" t="str">
        <f>_xlfn.XLOOKUP(Orders!B1134,Customers!A1134:A2133,Customers!C1134:C2133,"Country not Found",0)</f>
        <v>Country not Found</v>
      </c>
      <c r="G1134" s="7" t="str">
        <f>_xlfn.XLOOKUP(C1134,Products!A1134:A1633,Products!B1134:B1633,"Product Missing",0)</f>
        <v>Product Missing</v>
      </c>
      <c r="H1134" s="7" t="str">
        <f>_xlfn.XLOOKUP(C1134,Products!A1134:A1633,Products!C1134:C1633,"Category Missing",0)</f>
        <v>Category Missing</v>
      </c>
      <c r="I1134" s="11" t="str">
        <f>_xlfn.XLOOKUP(Orders!C1134,Products!A1134:A1633,Products!D1134:D1633,"Price Missing",0)</f>
        <v>Price Missing</v>
      </c>
      <c r="J1134" s="19">
        <f t="shared" si="17"/>
        <v>0</v>
      </c>
    </row>
    <row r="1135" spans="1:10" x14ac:dyDescent="0.35">
      <c r="A1135" s="4" t="s">
        <v>5155</v>
      </c>
      <c r="B1135" s="7" t="s">
        <v>1868</v>
      </c>
      <c r="C1135" s="7" t="s">
        <v>3656</v>
      </c>
      <c r="D1135" s="5">
        <v>9</v>
      </c>
      <c r="E1135" s="7" t="str">
        <f>_xlfn.XLOOKUP(B1135,Customers!A1135:A2134,Customers!B1135:B2134,"Customer Not Found",0)</f>
        <v>Customer Not Found</v>
      </c>
      <c r="F1135" s="7" t="str">
        <f>_xlfn.XLOOKUP(Orders!B1135,Customers!A1135:A2134,Customers!C1135:C2134,"Country not Found",0)</f>
        <v>Country not Found</v>
      </c>
      <c r="G1135" s="7" t="str">
        <f>_xlfn.XLOOKUP(C1135,Products!A1135:A1634,Products!B1135:B1634,"Product Missing",0)</f>
        <v>Product Missing</v>
      </c>
      <c r="H1135" s="7" t="str">
        <f>_xlfn.XLOOKUP(C1135,Products!A1135:A1634,Products!C1135:C1634,"Category Missing",0)</f>
        <v>Category Missing</v>
      </c>
      <c r="I1135" s="11" t="str">
        <f>_xlfn.XLOOKUP(Orders!C1135,Products!A1135:A1634,Products!D1135:D1634,"Price Missing",0)</f>
        <v>Price Missing</v>
      </c>
      <c r="J1135" s="19">
        <f t="shared" si="17"/>
        <v>0</v>
      </c>
    </row>
    <row r="1136" spans="1:10" x14ac:dyDescent="0.35">
      <c r="A1136" s="4" t="s">
        <v>5156</v>
      </c>
      <c r="B1136" s="7" t="s">
        <v>1295</v>
      </c>
      <c r="C1136" s="7" t="s">
        <v>3176</v>
      </c>
      <c r="D1136" s="5">
        <v>1</v>
      </c>
      <c r="E1136" s="7" t="str">
        <f>_xlfn.XLOOKUP(B1136,Customers!A1136:A2135,Customers!B1136:B2135,"Customer Not Found",0)</f>
        <v>Customer Not Found</v>
      </c>
      <c r="F1136" s="7" t="str">
        <f>_xlfn.XLOOKUP(Orders!B1136,Customers!A1136:A2135,Customers!C1136:C2135,"Country not Found",0)</f>
        <v>Country not Found</v>
      </c>
      <c r="G1136" s="7" t="str">
        <f>_xlfn.XLOOKUP(C1136,Products!A1136:A1635,Products!B1136:B1635,"Product Missing",0)</f>
        <v>Product Missing</v>
      </c>
      <c r="H1136" s="7" t="str">
        <f>_xlfn.XLOOKUP(C1136,Products!A1136:A1635,Products!C1136:C1635,"Category Missing",0)</f>
        <v>Category Missing</v>
      </c>
      <c r="I1136" s="11" t="str">
        <f>_xlfn.XLOOKUP(Orders!C1136,Products!A1136:A1635,Products!D1136:D1635,"Price Missing",0)</f>
        <v>Price Missing</v>
      </c>
      <c r="J1136" s="19">
        <f t="shared" si="17"/>
        <v>0</v>
      </c>
    </row>
    <row r="1137" spans="1:10" x14ac:dyDescent="0.35">
      <c r="A1137" s="4" t="s">
        <v>5157</v>
      </c>
      <c r="B1137" s="7" t="s">
        <v>905</v>
      </c>
      <c r="C1137" s="7" t="s">
        <v>3494</v>
      </c>
      <c r="D1137" s="5">
        <v>5</v>
      </c>
      <c r="E1137" s="7" t="str">
        <f>_xlfn.XLOOKUP(B1137,Customers!A1137:A2136,Customers!B1137:B2136,"Customer Not Found",0)</f>
        <v>Customer Not Found</v>
      </c>
      <c r="F1137" s="7" t="str">
        <f>_xlfn.XLOOKUP(Orders!B1137,Customers!A1137:A2136,Customers!C1137:C2136,"Country not Found",0)</f>
        <v>Country not Found</v>
      </c>
      <c r="G1137" s="7" t="str">
        <f>_xlfn.XLOOKUP(C1137,Products!A1137:A1636,Products!B1137:B1636,"Product Missing",0)</f>
        <v>Product Missing</v>
      </c>
      <c r="H1137" s="7" t="str">
        <f>_xlfn.XLOOKUP(C1137,Products!A1137:A1636,Products!C1137:C1636,"Category Missing",0)</f>
        <v>Category Missing</v>
      </c>
      <c r="I1137" s="11" t="str">
        <f>_xlfn.XLOOKUP(Orders!C1137,Products!A1137:A1636,Products!D1137:D1636,"Price Missing",0)</f>
        <v>Price Missing</v>
      </c>
      <c r="J1137" s="19">
        <f t="shared" si="17"/>
        <v>0</v>
      </c>
    </row>
    <row r="1138" spans="1:10" x14ac:dyDescent="0.35">
      <c r="A1138" s="4" t="s">
        <v>5158</v>
      </c>
      <c r="B1138" s="7" t="s">
        <v>2843</v>
      </c>
      <c r="C1138" s="7" t="s">
        <v>3828</v>
      </c>
      <c r="D1138" s="5">
        <v>8</v>
      </c>
      <c r="E1138" s="7" t="str">
        <f>_xlfn.XLOOKUP(B1138,Customers!A1138:A2137,Customers!B1138:B2137,"Customer Not Found",0)</f>
        <v>Customer Not Found</v>
      </c>
      <c r="F1138" s="7" t="str">
        <f>_xlfn.XLOOKUP(Orders!B1138,Customers!A1138:A2137,Customers!C1138:C2137,"Country not Found",0)</f>
        <v>Country not Found</v>
      </c>
      <c r="G1138" s="7" t="str">
        <f>_xlfn.XLOOKUP(C1138,Products!A1138:A1637,Products!B1138:B1637,"Product Missing",0)</f>
        <v>Product Missing</v>
      </c>
      <c r="H1138" s="7" t="str">
        <f>_xlfn.XLOOKUP(C1138,Products!A1138:A1637,Products!C1138:C1637,"Category Missing",0)</f>
        <v>Category Missing</v>
      </c>
      <c r="I1138" s="11" t="str">
        <f>_xlfn.XLOOKUP(Orders!C1138,Products!A1138:A1637,Products!D1138:D1637,"Price Missing",0)</f>
        <v>Price Missing</v>
      </c>
      <c r="J1138" s="19">
        <f t="shared" si="17"/>
        <v>0</v>
      </c>
    </row>
    <row r="1139" spans="1:10" x14ac:dyDescent="0.35">
      <c r="A1139" s="4" t="s">
        <v>5159</v>
      </c>
      <c r="B1139" s="7" t="s">
        <v>2912</v>
      </c>
      <c r="C1139" s="7" t="s">
        <v>3268</v>
      </c>
      <c r="D1139" s="5">
        <v>9</v>
      </c>
      <c r="E1139" s="7" t="str">
        <f>_xlfn.XLOOKUP(B1139,Customers!A1139:A2138,Customers!B1139:B2138,"Customer Not Found",0)</f>
        <v>Customer Not Found</v>
      </c>
      <c r="F1139" s="7" t="str">
        <f>_xlfn.XLOOKUP(Orders!B1139,Customers!A1139:A2138,Customers!C1139:C2138,"Country not Found",0)</f>
        <v>Country not Found</v>
      </c>
      <c r="G1139" s="7" t="str">
        <f>_xlfn.XLOOKUP(C1139,Products!A1139:A1638,Products!B1139:B1638,"Product Missing",0)</f>
        <v>Product Missing</v>
      </c>
      <c r="H1139" s="7" t="str">
        <f>_xlfn.XLOOKUP(C1139,Products!A1139:A1638,Products!C1139:C1638,"Category Missing",0)</f>
        <v>Category Missing</v>
      </c>
      <c r="I1139" s="11" t="str">
        <f>_xlfn.XLOOKUP(Orders!C1139,Products!A1139:A1638,Products!D1139:D1638,"Price Missing",0)</f>
        <v>Price Missing</v>
      </c>
      <c r="J1139" s="19">
        <f t="shared" si="17"/>
        <v>0</v>
      </c>
    </row>
    <row r="1140" spans="1:10" x14ac:dyDescent="0.35">
      <c r="A1140" s="4" t="s">
        <v>5160</v>
      </c>
      <c r="B1140" s="7" t="s">
        <v>1301</v>
      </c>
      <c r="C1140" s="7" t="s">
        <v>3656</v>
      </c>
      <c r="D1140" s="5">
        <v>10</v>
      </c>
      <c r="E1140" s="7" t="str">
        <f>_xlfn.XLOOKUP(B1140,Customers!A1140:A2139,Customers!B1140:B2139,"Customer Not Found",0)</f>
        <v>Customer Not Found</v>
      </c>
      <c r="F1140" s="7" t="str">
        <f>_xlfn.XLOOKUP(Orders!B1140,Customers!A1140:A2139,Customers!C1140:C2139,"Country not Found",0)</f>
        <v>Country not Found</v>
      </c>
      <c r="G1140" s="7" t="str">
        <f>_xlfn.XLOOKUP(C1140,Products!A1140:A1639,Products!B1140:B1639,"Product Missing",0)</f>
        <v>Product Missing</v>
      </c>
      <c r="H1140" s="7" t="str">
        <f>_xlfn.XLOOKUP(C1140,Products!A1140:A1639,Products!C1140:C1639,"Category Missing",0)</f>
        <v>Category Missing</v>
      </c>
      <c r="I1140" s="11" t="str">
        <f>_xlfn.XLOOKUP(Orders!C1140,Products!A1140:A1639,Products!D1140:D1639,"Price Missing",0)</f>
        <v>Price Missing</v>
      </c>
      <c r="J1140" s="19">
        <f t="shared" si="17"/>
        <v>0</v>
      </c>
    </row>
    <row r="1141" spans="1:10" x14ac:dyDescent="0.35">
      <c r="A1141" s="4" t="s">
        <v>5161</v>
      </c>
      <c r="B1141" s="7" t="s">
        <v>1799</v>
      </c>
      <c r="C1141" s="7" t="s">
        <v>3086</v>
      </c>
      <c r="D1141" s="5">
        <v>3</v>
      </c>
      <c r="E1141" s="7" t="str">
        <f>_xlfn.XLOOKUP(B1141,Customers!A1141:A2140,Customers!B1141:B2140,"Customer Not Found",0)</f>
        <v>Customer Not Found</v>
      </c>
      <c r="F1141" s="7" t="str">
        <f>_xlfn.XLOOKUP(Orders!B1141,Customers!A1141:A2140,Customers!C1141:C2140,"Country not Found",0)</f>
        <v>Country not Found</v>
      </c>
      <c r="G1141" s="7" t="str">
        <f>_xlfn.XLOOKUP(C1141,Products!A1141:A1640,Products!B1141:B1640,"Product Missing",0)</f>
        <v>Product Missing</v>
      </c>
      <c r="H1141" s="7" t="str">
        <f>_xlfn.XLOOKUP(C1141,Products!A1141:A1640,Products!C1141:C1640,"Category Missing",0)</f>
        <v>Category Missing</v>
      </c>
      <c r="I1141" s="11" t="str">
        <f>_xlfn.XLOOKUP(Orders!C1141,Products!A1141:A1640,Products!D1141:D1640,"Price Missing",0)</f>
        <v>Price Missing</v>
      </c>
      <c r="J1141" s="19">
        <f t="shared" si="17"/>
        <v>0</v>
      </c>
    </row>
    <row r="1142" spans="1:10" x14ac:dyDescent="0.35">
      <c r="A1142" s="4" t="s">
        <v>5162</v>
      </c>
      <c r="B1142" s="7" t="s">
        <v>2261</v>
      </c>
      <c r="C1142" s="7" t="s">
        <v>3306</v>
      </c>
      <c r="D1142" s="5">
        <v>2</v>
      </c>
      <c r="E1142" s="7" t="str">
        <f>_xlfn.XLOOKUP(B1142,Customers!A1142:A2141,Customers!B1142:B2141,"Customer Not Found",0)</f>
        <v>Customer Not Found</v>
      </c>
      <c r="F1142" s="7" t="str">
        <f>_xlfn.XLOOKUP(Orders!B1142,Customers!A1142:A2141,Customers!C1142:C2141,"Country not Found",0)</f>
        <v>Country not Found</v>
      </c>
      <c r="G1142" s="7" t="str">
        <f>_xlfn.XLOOKUP(C1142,Products!A1142:A1641,Products!B1142:B1641,"Product Missing",0)</f>
        <v>Product Missing</v>
      </c>
      <c r="H1142" s="7" t="str">
        <f>_xlfn.XLOOKUP(C1142,Products!A1142:A1641,Products!C1142:C1641,"Category Missing",0)</f>
        <v>Category Missing</v>
      </c>
      <c r="I1142" s="11" t="str">
        <f>_xlfn.XLOOKUP(Orders!C1142,Products!A1142:A1641,Products!D1142:D1641,"Price Missing",0)</f>
        <v>Price Missing</v>
      </c>
      <c r="J1142" s="19">
        <f t="shared" si="17"/>
        <v>0</v>
      </c>
    </row>
    <row r="1143" spans="1:10" x14ac:dyDescent="0.35">
      <c r="A1143" s="4" t="s">
        <v>5163</v>
      </c>
      <c r="B1143" s="7" t="s">
        <v>2099</v>
      </c>
      <c r="C1143" s="7" t="s">
        <v>3746</v>
      </c>
      <c r="D1143" s="5">
        <v>2</v>
      </c>
      <c r="E1143" s="7" t="str">
        <f>_xlfn.XLOOKUP(B1143,Customers!A1143:A2142,Customers!B1143:B2142,"Customer Not Found",0)</f>
        <v>Customer Not Found</v>
      </c>
      <c r="F1143" s="7" t="str">
        <f>_xlfn.XLOOKUP(Orders!B1143,Customers!A1143:A2142,Customers!C1143:C2142,"Country not Found",0)</f>
        <v>Country not Found</v>
      </c>
      <c r="G1143" s="7" t="str">
        <f>_xlfn.XLOOKUP(C1143,Products!A1143:A1642,Products!B1143:B1642,"Product Missing",0)</f>
        <v>Product Missing</v>
      </c>
      <c r="H1143" s="7" t="str">
        <f>_xlfn.XLOOKUP(C1143,Products!A1143:A1642,Products!C1143:C1642,"Category Missing",0)</f>
        <v>Category Missing</v>
      </c>
      <c r="I1143" s="11" t="str">
        <f>_xlfn.XLOOKUP(Orders!C1143,Products!A1143:A1642,Products!D1143:D1642,"Price Missing",0)</f>
        <v>Price Missing</v>
      </c>
      <c r="J1143" s="19">
        <f t="shared" si="17"/>
        <v>0</v>
      </c>
    </row>
    <row r="1144" spans="1:10" x14ac:dyDescent="0.35">
      <c r="A1144" s="4" t="s">
        <v>5164</v>
      </c>
      <c r="B1144" s="7" t="s">
        <v>707</v>
      </c>
      <c r="C1144" s="7" t="s">
        <v>3188</v>
      </c>
      <c r="D1144" s="5">
        <v>5</v>
      </c>
      <c r="E1144" s="7" t="str">
        <f>_xlfn.XLOOKUP(B1144,Customers!A1144:A2143,Customers!B1144:B2143,"Customer Not Found",0)</f>
        <v>Customer Not Found</v>
      </c>
      <c r="F1144" s="7" t="str">
        <f>_xlfn.XLOOKUP(Orders!B1144,Customers!A1144:A2143,Customers!C1144:C2143,"Country not Found",0)</f>
        <v>Country not Found</v>
      </c>
      <c r="G1144" s="7" t="str">
        <f>_xlfn.XLOOKUP(C1144,Products!A1144:A1643,Products!B1144:B1643,"Product Missing",0)</f>
        <v>Product Missing</v>
      </c>
      <c r="H1144" s="7" t="str">
        <f>_xlfn.XLOOKUP(C1144,Products!A1144:A1643,Products!C1144:C1643,"Category Missing",0)</f>
        <v>Category Missing</v>
      </c>
      <c r="I1144" s="11" t="str">
        <f>_xlfn.XLOOKUP(Orders!C1144,Products!A1144:A1643,Products!D1144:D1643,"Price Missing",0)</f>
        <v>Price Missing</v>
      </c>
      <c r="J1144" s="19">
        <f t="shared" si="17"/>
        <v>0</v>
      </c>
    </row>
    <row r="1145" spans="1:10" x14ac:dyDescent="0.35">
      <c r="A1145" s="4" t="s">
        <v>5165</v>
      </c>
      <c r="B1145" s="7" t="s">
        <v>1331</v>
      </c>
      <c r="C1145" s="7" t="s">
        <v>3470</v>
      </c>
      <c r="D1145" s="5">
        <v>1</v>
      </c>
      <c r="E1145" s="7" t="str">
        <f>_xlfn.XLOOKUP(B1145,Customers!A1145:A2144,Customers!B1145:B2144,"Customer Not Found",0)</f>
        <v>Customer Not Found</v>
      </c>
      <c r="F1145" s="7" t="str">
        <f>_xlfn.XLOOKUP(Orders!B1145,Customers!A1145:A2144,Customers!C1145:C2144,"Country not Found",0)</f>
        <v>Country not Found</v>
      </c>
      <c r="G1145" s="7" t="str">
        <f>_xlfn.XLOOKUP(C1145,Products!A1145:A1644,Products!B1145:B1644,"Product Missing",0)</f>
        <v>Product Missing</v>
      </c>
      <c r="H1145" s="7" t="str">
        <f>_xlfn.XLOOKUP(C1145,Products!A1145:A1644,Products!C1145:C1644,"Category Missing",0)</f>
        <v>Category Missing</v>
      </c>
      <c r="I1145" s="11" t="str">
        <f>_xlfn.XLOOKUP(Orders!C1145,Products!A1145:A1644,Products!D1145:D1644,"Price Missing",0)</f>
        <v>Price Missing</v>
      </c>
      <c r="J1145" s="19">
        <f t="shared" si="17"/>
        <v>0</v>
      </c>
    </row>
    <row r="1146" spans="1:10" x14ac:dyDescent="0.35">
      <c r="A1146" s="4" t="s">
        <v>5166</v>
      </c>
      <c r="B1146" s="7" t="s">
        <v>2360</v>
      </c>
      <c r="C1146" s="7" t="s">
        <v>3434</v>
      </c>
      <c r="D1146" s="5">
        <v>6</v>
      </c>
      <c r="E1146" s="7" t="str">
        <f>_xlfn.XLOOKUP(B1146,Customers!A1146:A2145,Customers!B1146:B2145,"Customer Not Found",0)</f>
        <v>Customer Not Found</v>
      </c>
      <c r="F1146" s="7" t="str">
        <f>_xlfn.XLOOKUP(Orders!B1146,Customers!A1146:A2145,Customers!C1146:C2145,"Country not Found",0)</f>
        <v>Country not Found</v>
      </c>
      <c r="G1146" s="7" t="str">
        <f>_xlfn.XLOOKUP(C1146,Products!A1146:A1645,Products!B1146:B1645,"Product Missing",0)</f>
        <v>Product Missing</v>
      </c>
      <c r="H1146" s="7" t="str">
        <f>_xlfn.XLOOKUP(C1146,Products!A1146:A1645,Products!C1146:C1645,"Category Missing",0)</f>
        <v>Category Missing</v>
      </c>
      <c r="I1146" s="11" t="str">
        <f>_xlfn.XLOOKUP(Orders!C1146,Products!A1146:A1645,Products!D1146:D1645,"Price Missing",0)</f>
        <v>Price Missing</v>
      </c>
      <c r="J1146" s="19">
        <f t="shared" si="17"/>
        <v>0</v>
      </c>
    </row>
    <row r="1147" spans="1:10" x14ac:dyDescent="0.35">
      <c r="A1147" s="4" t="s">
        <v>5167</v>
      </c>
      <c r="B1147" s="7" t="s">
        <v>773</v>
      </c>
      <c r="C1147" s="7" t="s">
        <v>3328</v>
      </c>
      <c r="D1147" s="5">
        <v>9</v>
      </c>
      <c r="E1147" s="7" t="str">
        <f>_xlfn.XLOOKUP(B1147,Customers!A1147:A2146,Customers!B1147:B2146,"Customer Not Found",0)</f>
        <v>Customer Not Found</v>
      </c>
      <c r="F1147" s="7" t="str">
        <f>_xlfn.XLOOKUP(Orders!B1147,Customers!A1147:A2146,Customers!C1147:C2146,"Country not Found",0)</f>
        <v>Country not Found</v>
      </c>
      <c r="G1147" s="7" t="str">
        <f>_xlfn.XLOOKUP(C1147,Products!A1147:A1646,Products!B1147:B1646,"Product Missing",0)</f>
        <v>Product Missing</v>
      </c>
      <c r="H1147" s="7" t="str">
        <f>_xlfn.XLOOKUP(C1147,Products!A1147:A1646,Products!C1147:C1646,"Category Missing",0)</f>
        <v>Category Missing</v>
      </c>
      <c r="I1147" s="11" t="str">
        <f>_xlfn.XLOOKUP(Orders!C1147,Products!A1147:A1646,Products!D1147:D1646,"Price Missing",0)</f>
        <v>Price Missing</v>
      </c>
      <c r="J1147" s="19">
        <f t="shared" si="17"/>
        <v>0</v>
      </c>
    </row>
    <row r="1148" spans="1:10" x14ac:dyDescent="0.35">
      <c r="A1148" s="4" t="s">
        <v>5168</v>
      </c>
      <c r="B1148" s="7" t="s">
        <v>2708</v>
      </c>
      <c r="C1148" s="7" t="s">
        <v>3298</v>
      </c>
      <c r="D1148" s="5">
        <v>6</v>
      </c>
      <c r="E1148" s="7" t="str">
        <f>_xlfn.XLOOKUP(B1148,Customers!A1148:A2147,Customers!B1148:B2147,"Customer Not Found",0)</f>
        <v>Customer Not Found</v>
      </c>
      <c r="F1148" s="7" t="str">
        <f>_xlfn.XLOOKUP(Orders!B1148,Customers!A1148:A2147,Customers!C1148:C2147,"Country not Found",0)</f>
        <v>Country not Found</v>
      </c>
      <c r="G1148" s="7" t="str">
        <f>_xlfn.XLOOKUP(C1148,Products!A1148:A1647,Products!B1148:B1647,"Product Missing",0)</f>
        <v>Product Missing</v>
      </c>
      <c r="H1148" s="7" t="str">
        <f>_xlfn.XLOOKUP(C1148,Products!A1148:A1647,Products!C1148:C1647,"Category Missing",0)</f>
        <v>Category Missing</v>
      </c>
      <c r="I1148" s="11" t="str">
        <f>_xlfn.XLOOKUP(Orders!C1148,Products!A1148:A1647,Products!D1148:D1647,"Price Missing",0)</f>
        <v>Price Missing</v>
      </c>
      <c r="J1148" s="19">
        <f t="shared" si="17"/>
        <v>0</v>
      </c>
    </row>
    <row r="1149" spans="1:10" x14ac:dyDescent="0.35">
      <c r="A1149" s="4" t="s">
        <v>5169</v>
      </c>
      <c r="B1149" s="7" t="s">
        <v>1025</v>
      </c>
      <c r="C1149" s="7" t="s">
        <v>3266</v>
      </c>
      <c r="D1149" s="5">
        <v>5</v>
      </c>
      <c r="E1149" s="7" t="str">
        <f>_xlfn.XLOOKUP(B1149,Customers!A1149:A2148,Customers!B1149:B2148,"Customer Not Found",0)</f>
        <v>Customer Not Found</v>
      </c>
      <c r="F1149" s="7" t="str">
        <f>_xlfn.XLOOKUP(Orders!B1149,Customers!A1149:A2148,Customers!C1149:C2148,"Country not Found",0)</f>
        <v>Country not Found</v>
      </c>
      <c r="G1149" s="7" t="str">
        <f>_xlfn.XLOOKUP(C1149,Products!A1149:A1648,Products!B1149:B1648,"Product Missing",0)</f>
        <v>Product Missing</v>
      </c>
      <c r="H1149" s="7" t="str">
        <f>_xlfn.XLOOKUP(C1149,Products!A1149:A1648,Products!C1149:C1648,"Category Missing",0)</f>
        <v>Category Missing</v>
      </c>
      <c r="I1149" s="11" t="str">
        <f>_xlfn.XLOOKUP(Orders!C1149,Products!A1149:A1648,Products!D1149:D1648,"Price Missing",0)</f>
        <v>Price Missing</v>
      </c>
      <c r="J1149" s="19">
        <f t="shared" si="17"/>
        <v>0</v>
      </c>
    </row>
    <row r="1150" spans="1:10" x14ac:dyDescent="0.35">
      <c r="A1150" s="4" t="s">
        <v>5170</v>
      </c>
      <c r="B1150" s="7" t="s">
        <v>2093</v>
      </c>
      <c r="C1150" s="7" t="s">
        <v>4016</v>
      </c>
      <c r="D1150" s="5">
        <v>6</v>
      </c>
      <c r="E1150" s="7" t="str">
        <f>_xlfn.XLOOKUP(B1150,Customers!A1150:A2149,Customers!B1150:B2149,"Customer Not Found",0)</f>
        <v>Customer Not Found</v>
      </c>
      <c r="F1150" s="7" t="str">
        <f>_xlfn.XLOOKUP(Orders!B1150,Customers!A1150:A2149,Customers!C1150:C2149,"Country not Found",0)</f>
        <v>Country not Found</v>
      </c>
      <c r="G1150" s="7" t="str">
        <f>_xlfn.XLOOKUP(C1150,Products!A1150:A1649,Products!B1150:B1649,"Product Missing",0)</f>
        <v>Product Missing</v>
      </c>
      <c r="H1150" s="7" t="str">
        <f>_xlfn.XLOOKUP(C1150,Products!A1150:A1649,Products!C1150:C1649,"Category Missing",0)</f>
        <v>Category Missing</v>
      </c>
      <c r="I1150" s="11" t="str">
        <f>_xlfn.XLOOKUP(Orders!C1150,Products!A1150:A1649,Products!D1150:D1649,"Price Missing",0)</f>
        <v>Price Missing</v>
      </c>
      <c r="J1150" s="19">
        <f t="shared" si="17"/>
        <v>0</v>
      </c>
    </row>
    <row r="1151" spans="1:10" x14ac:dyDescent="0.35">
      <c r="A1151" s="4" t="s">
        <v>5171</v>
      </c>
      <c r="B1151" s="7" t="s">
        <v>260</v>
      </c>
      <c r="C1151" s="7" t="s">
        <v>3442</v>
      </c>
      <c r="D1151" s="5">
        <v>4</v>
      </c>
      <c r="E1151" s="7" t="str">
        <f>_xlfn.XLOOKUP(B1151,Customers!A1151:A2150,Customers!B1151:B2150,"Customer Not Found",0)</f>
        <v>Customer Not Found</v>
      </c>
      <c r="F1151" s="7" t="str">
        <f>_xlfn.XLOOKUP(Orders!B1151,Customers!A1151:A2150,Customers!C1151:C2150,"Country not Found",0)</f>
        <v>Country not Found</v>
      </c>
      <c r="G1151" s="7" t="str">
        <f>_xlfn.XLOOKUP(C1151,Products!A1151:A1650,Products!B1151:B1650,"Product Missing",0)</f>
        <v>Product Missing</v>
      </c>
      <c r="H1151" s="7" t="str">
        <f>_xlfn.XLOOKUP(C1151,Products!A1151:A1650,Products!C1151:C1650,"Category Missing",0)</f>
        <v>Category Missing</v>
      </c>
      <c r="I1151" s="11" t="str">
        <f>_xlfn.XLOOKUP(Orders!C1151,Products!A1151:A1650,Products!D1151:D1650,"Price Missing",0)</f>
        <v>Price Missing</v>
      </c>
      <c r="J1151" s="19">
        <f t="shared" si="17"/>
        <v>0</v>
      </c>
    </row>
    <row r="1152" spans="1:10" x14ac:dyDescent="0.35">
      <c r="A1152" s="4" t="s">
        <v>5172</v>
      </c>
      <c r="B1152" s="7" t="s">
        <v>851</v>
      </c>
      <c r="C1152" s="7" t="s">
        <v>3362</v>
      </c>
      <c r="D1152" s="5">
        <v>3</v>
      </c>
      <c r="E1152" s="7" t="str">
        <f>_xlfn.XLOOKUP(B1152,Customers!A1152:A2151,Customers!B1152:B2151,"Customer Not Found",0)</f>
        <v>Customer Not Found</v>
      </c>
      <c r="F1152" s="7" t="str">
        <f>_xlfn.XLOOKUP(Orders!B1152,Customers!A1152:A2151,Customers!C1152:C2151,"Country not Found",0)</f>
        <v>Country not Found</v>
      </c>
      <c r="G1152" s="7" t="str">
        <f>_xlfn.XLOOKUP(C1152,Products!A1152:A1651,Products!B1152:B1651,"Product Missing",0)</f>
        <v>Product Missing</v>
      </c>
      <c r="H1152" s="7" t="str">
        <f>_xlfn.XLOOKUP(C1152,Products!A1152:A1651,Products!C1152:C1651,"Category Missing",0)</f>
        <v>Category Missing</v>
      </c>
      <c r="I1152" s="11" t="str">
        <f>_xlfn.XLOOKUP(Orders!C1152,Products!A1152:A1651,Products!D1152:D1651,"Price Missing",0)</f>
        <v>Price Missing</v>
      </c>
      <c r="J1152" s="19">
        <f t="shared" si="17"/>
        <v>0</v>
      </c>
    </row>
    <row r="1153" spans="1:10" x14ac:dyDescent="0.35">
      <c r="A1153" s="4" t="s">
        <v>5173</v>
      </c>
      <c r="B1153" s="7" t="s">
        <v>641</v>
      </c>
      <c r="C1153" s="7" t="s">
        <v>3978</v>
      </c>
      <c r="D1153" s="5">
        <v>6</v>
      </c>
      <c r="E1153" s="7" t="str">
        <f>_xlfn.XLOOKUP(B1153,Customers!A1153:A2152,Customers!B1153:B2152,"Customer Not Found",0)</f>
        <v>Customer Not Found</v>
      </c>
      <c r="F1153" s="7" t="str">
        <f>_xlfn.XLOOKUP(Orders!B1153,Customers!A1153:A2152,Customers!C1153:C2152,"Country not Found",0)</f>
        <v>Country not Found</v>
      </c>
      <c r="G1153" s="7" t="str">
        <f>_xlfn.XLOOKUP(C1153,Products!A1153:A1652,Products!B1153:B1652,"Product Missing",0)</f>
        <v>Product Missing</v>
      </c>
      <c r="H1153" s="7" t="str">
        <f>_xlfn.XLOOKUP(C1153,Products!A1153:A1652,Products!C1153:C1652,"Category Missing",0)</f>
        <v>Category Missing</v>
      </c>
      <c r="I1153" s="11" t="str">
        <f>_xlfn.XLOOKUP(Orders!C1153,Products!A1153:A1652,Products!D1153:D1652,"Price Missing",0)</f>
        <v>Price Missing</v>
      </c>
      <c r="J1153" s="19">
        <f t="shared" si="17"/>
        <v>0</v>
      </c>
    </row>
    <row r="1154" spans="1:10" x14ac:dyDescent="0.35">
      <c r="A1154" s="4" t="s">
        <v>5174</v>
      </c>
      <c r="B1154" s="7" t="s">
        <v>374</v>
      </c>
      <c r="C1154" s="7" t="s">
        <v>3658</v>
      </c>
      <c r="D1154" s="5">
        <v>3</v>
      </c>
      <c r="E1154" s="7" t="str">
        <f>_xlfn.XLOOKUP(B1154,Customers!A1154:A2153,Customers!B1154:B2153,"Customer Not Found",0)</f>
        <v>Customer Not Found</v>
      </c>
      <c r="F1154" s="7" t="str">
        <f>_xlfn.XLOOKUP(Orders!B1154,Customers!A1154:A2153,Customers!C1154:C2153,"Country not Found",0)</f>
        <v>Country not Found</v>
      </c>
      <c r="G1154" s="7" t="str">
        <f>_xlfn.XLOOKUP(C1154,Products!A1154:A1653,Products!B1154:B1653,"Product Missing",0)</f>
        <v>Product Missing</v>
      </c>
      <c r="H1154" s="7" t="str">
        <f>_xlfn.XLOOKUP(C1154,Products!A1154:A1653,Products!C1154:C1653,"Category Missing",0)</f>
        <v>Category Missing</v>
      </c>
      <c r="I1154" s="11" t="str">
        <f>_xlfn.XLOOKUP(Orders!C1154,Products!A1154:A1653,Products!D1154:D1653,"Price Missing",0)</f>
        <v>Price Missing</v>
      </c>
      <c r="J1154" s="19">
        <f t="shared" si="17"/>
        <v>0</v>
      </c>
    </row>
    <row r="1155" spans="1:10" x14ac:dyDescent="0.35">
      <c r="A1155" s="4" t="s">
        <v>5175</v>
      </c>
      <c r="B1155" s="7" t="s">
        <v>815</v>
      </c>
      <c r="C1155" s="7" t="s">
        <v>3388</v>
      </c>
      <c r="D1155" s="5">
        <v>10</v>
      </c>
      <c r="E1155" s="7" t="str">
        <f>_xlfn.XLOOKUP(B1155,Customers!A1155:A2154,Customers!B1155:B2154,"Customer Not Found",0)</f>
        <v>Customer Not Found</v>
      </c>
      <c r="F1155" s="7" t="str">
        <f>_xlfn.XLOOKUP(Orders!B1155,Customers!A1155:A2154,Customers!C1155:C2154,"Country not Found",0)</f>
        <v>Country not Found</v>
      </c>
      <c r="G1155" s="7" t="str">
        <f>_xlfn.XLOOKUP(C1155,Products!A1155:A1654,Products!B1155:B1654,"Product Missing",0)</f>
        <v>Product Missing</v>
      </c>
      <c r="H1155" s="7" t="str">
        <f>_xlfn.XLOOKUP(C1155,Products!A1155:A1654,Products!C1155:C1654,"Category Missing",0)</f>
        <v>Category Missing</v>
      </c>
      <c r="I1155" s="11" t="str">
        <f>_xlfn.XLOOKUP(Orders!C1155,Products!A1155:A1654,Products!D1155:D1654,"Price Missing",0)</f>
        <v>Price Missing</v>
      </c>
      <c r="J1155" s="19">
        <f t="shared" ref="J1155:J1218" si="18">IFERROR(I1155*D1155,0)</f>
        <v>0</v>
      </c>
    </row>
    <row r="1156" spans="1:10" x14ac:dyDescent="0.35">
      <c r="A1156" s="4" t="s">
        <v>5176</v>
      </c>
      <c r="B1156" s="7" t="s">
        <v>2465</v>
      </c>
      <c r="C1156" s="7" t="s">
        <v>3688</v>
      </c>
      <c r="D1156" s="5">
        <v>2</v>
      </c>
      <c r="E1156" s="7" t="str">
        <f>_xlfn.XLOOKUP(B1156,Customers!A1156:A2155,Customers!B1156:B2155,"Customer Not Found",0)</f>
        <v>Customer Not Found</v>
      </c>
      <c r="F1156" s="7" t="str">
        <f>_xlfn.XLOOKUP(Orders!B1156,Customers!A1156:A2155,Customers!C1156:C2155,"Country not Found",0)</f>
        <v>Country not Found</v>
      </c>
      <c r="G1156" s="7" t="str">
        <f>_xlfn.XLOOKUP(C1156,Products!A1156:A1655,Products!B1156:B1655,"Product Missing",0)</f>
        <v>Product Missing</v>
      </c>
      <c r="H1156" s="7" t="str">
        <f>_xlfn.XLOOKUP(C1156,Products!A1156:A1655,Products!C1156:C1655,"Category Missing",0)</f>
        <v>Category Missing</v>
      </c>
      <c r="I1156" s="11" t="str">
        <f>_xlfn.XLOOKUP(Orders!C1156,Products!A1156:A1655,Products!D1156:D1655,"Price Missing",0)</f>
        <v>Price Missing</v>
      </c>
      <c r="J1156" s="19">
        <f t="shared" si="18"/>
        <v>0</v>
      </c>
    </row>
    <row r="1157" spans="1:10" x14ac:dyDescent="0.35">
      <c r="A1157" s="4" t="s">
        <v>5177</v>
      </c>
      <c r="B1157" s="7" t="s">
        <v>2738</v>
      </c>
      <c r="C1157" s="7" t="s">
        <v>3716</v>
      </c>
      <c r="D1157" s="5">
        <v>6</v>
      </c>
      <c r="E1157" s="7" t="str">
        <f>_xlfn.XLOOKUP(B1157,Customers!A1157:A2156,Customers!B1157:B2156,"Customer Not Found",0)</f>
        <v>Customer Not Found</v>
      </c>
      <c r="F1157" s="7" t="str">
        <f>_xlfn.XLOOKUP(Orders!B1157,Customers!A1157:A2156,Customers!C1157:C2156,"Country not Found",0)</f>
        <v>Country not Found</v>
      </c>
      <c r="G1157" s="7" t="str">
        <f>_xlfn.XLOOKUP(C1157,Products!A1157:A1656,Products!B1157:B1656,"Product Missing",0)</f>
        <v>Product Missing</v>
      </c>
      <c r="H1157" s="7" t="str">
        <f>_xlfn.XLOOKUP(C1157,Products!A1157:A1656,Products!C1157:C1656,"Category Missing",0)</f>
        <v>Category Missing</v>
      </c>
      <c r="I1157" s="11" t="str">
        <f>_xlfn.XLOOKUP(Orders!C1157,Products!A1157:A1656,Products!D1157:D1656,"Price Missing",0)</f>
        <v>Price Missing</v>
      </c>
      <c r="J1157" s="19">
        <f t="shared" si="18"/>
        <v>0</v>
      </c>
    </row>
    <row r="1158" spans="1:10" x14ac:dyDescent="0.35">
      <c r="A1158" s="4" t="s">
        <v>5178</v>
      </c>
      <c r="B1158" s="7" t="s">
        <v>326</v>
      </c>
      <c r="C1158" s="7" t="s">
        <v>3041</v>
      </c>
      <c r="D1158" s="5">
        <v>9</v>
      </c>
      <c r="E1158" s="7" t="str">
        <f>_xlfn.XLOOKUP(B1158,Customers!A1158:A2157,Customers!B1158:B2157,"Customer Not Found",0)</f>
        <v>Customer Not Found</v>
      </c>
      <c r="F1158" s="7" t="str">
        <f>_xlfn.XLOOKUP(Orders!B1158,Customers!A1158:A2157,Customers!C1158:C2157,"Country not Found",0)</f>
        <v>Country not Found</v>
      </c>
      <c r="G1158" s="7" t="str">
        <f>_xlfn.XLOOKUP(C1158,Products!A1158:A1657,Products!B1158:B1657,"Product Missing",0)</f>
        <v>Product Missing</v>
      </c>
      <c r="H1158" s="7" t="str">
        <f>_xlfn.XLOOKUP(C1158,Products!A1158:A1657,Products!C1158:C1657,"Category Missing",0)</f>
        <v>Category Missing</v>
      </c>
      <c r="I1158" s="11" t="str">
        <f>_xlfn.XLOOKUP(Orders!C1158,Products!A1158:A1657,Products!D1158:D1657,"Price Missing",0)</f>
        <v>Price Missing</v>
      </c>
      <c r="J1158" s="19">
        <f t="shared" si="18"/>
        <v>0</v>
      </c>
    </row>
    <row r="1159" spans="1:10" x14ac:dyDescent="0.35">
      <c r="A1159" s="4" t="s">
        <v>5179</v>
      </c>
      <c r="B1159" s="7" t="s">
        <v>692</v>
      </c>
      <c r="C1159" s="7" t="s">
        <v>3066</v>
      </c>
      <c r="D1159" s="5">
        <v>2</v>
      </c>
      <c r="E1159" s="7" t="str">
        <f>_xlfn.XLOOKUP(B1159,Customers!A1159:A2158,Customers!B1159:B2158,"Customer Not Found",0)</f>
        <v>Customer Not Found</v>
      </c>
      <c r="F1159" s="7" t="str">
        <f>_xlfn.XLOOKUP(Orders!B1159,Customers!A1159:A2158,Customers!C1159:C2158,"Country not Found",0)</f>
        <v>Country not Found</v>
      </c>
      <c r="G1159" s="7" t="str">
        <f>_xlfn.XLOOKUP(C1159,Products!A1159:A1658,Products!B1159:B1658,"Product Missing",0)</f>
        <v>Product Missing</v>
      </c>
      <c r="H1159" s="7" t="str">
        <f>_xlfn.XLOOKUP(C1159,Products!A1159:A1658,Products!C1159:C1658,"Category Missing",0)</f>
        <v>Category Missing</v>
      </c>
      <c r="I1159" s="11" t="str">
        <f>_xlfn.XLOOKUP(Orders!C1159,Products!A1159:A1658,Products!D1159:D1658,"Price Missing",0)</f>
        <v>Price Missing</v>
      </c>
      <c r="J1159" s="19">
        <f t="shared" si="18"/>
        <v>0</v>
      </c>
    </row>
    <row r="1160" spans="1:10" x14ac:dyDescent="0.35">
      <c r="A1160" s="4" t="s">
        <v>5180</v>
      </c>
      <c r="B1160" s="7" t="s">
        <v>404</v>
      </c>
      <c r="C1160" s="7" t="s">
        <v>3512</v>
      </c>
      <c r="D1160" s="5">
        <v>7</v>
      </c>
      <c r="E1160" s="7" t="str">
        <f>_xlfn.XLOOKUP(B1160,Customers!A1160:A2159,Customers!B1160:B2159,"Customer Not Found",0)</f>
        <v>Customer Not Found</v>
      </c>
      <c r="F1160" s="7" t="str">
        <f>_xlfn.XLOOKUP(Orders!B1160,Customers!A1160:A2159,Customers!C1160:C2159,"Country not Found",0)</f>
        <v>Country not Found</v>
      </c>
      <c r="G1160" s="7" t="str">
        <f>_xlfn.XLOOKUP(C1160,Products!A1160:A1659,Products!B1160:B1659,"Product Missing",0)</f>
        <v>Product Missing</v>
      </c>
      <c r="H1160" s="7" t="str">
        <f>_xlfn.XLOOKUP(C1160,Products!A1160:A1659,Products!C1160:C1659,"Category Missing",0)</f>
        <v>Category Missing</v>
      </c>
      <c r="I1160" s="11" t="str">
        <f>_xlfn.XLOOKUP(Orders!C1160,Products!A1160:A1659,Products!D1160:D1659,"Price Missing",0)</f>
        <v>Price Missing</v>
      </c>
      <c r="J1160" s="19">
        <f t="shared" si="18"/>
        <v>0</v>
      </c>
    </row>
    <row r="1161" spans="1:10" x14ac:dyDescent="0.35">
      <c r="A1161" s="4" t="s">
        <v>5181</v>
      </c>
      <c r="B1161" s="7" t="s">
        <v>662</v>
      </c>
      <c r="C1161" s="7" t="s">
        <v>3202</v>
      </c>
      <c r="D1161" s="5">
        <v>2</v>
      </c>
      <c r="E1161" s="7" t="str">
        <f>_xlfn.XLOOKUP(B1161,Customers!A1161:A2160,Customers!B1161:B2160,"Customer Not Found",0)</f>
        <v>Customer Not Found</v>
      </c>
      <c r="F1161" s="7" t="str">
        <f>_xlfn.XLOOKUP(Orders!B1161,Customers!A1161:A2160,Customers!C1161:C2160,"Country not Found",0)</f>
        <v>Country not Found</v>
      </c>
      <c r="G1161" s="7" t="str">
        <f>_xlfn.XLOOKUP(C1161,Products!A1161:A1660,Products!B1161:B1660,"Product Missing",0)</f>
        <v>Product Missing</v>
      </c>
      <c r="H1161" s="7" t="str">
        <f>_xlfn.XLOOKUP(C1161,Products!A1161:A1660,Products!C1161:C1660,"Category Missing",0)</f>
        <v>Category Missing</v>
      </c>
      <c r="I1161" s="11" t="str">
        <f>_xlfn.XLOOKUP(Orders!C1161,Products!A1161:A1660,Products!D1161:D1660,"Price Missing",0)</f>
        <v>Price Missing</v>
      </c>
      <c r="J1161" s="19">
        <f t="shared" si="18"/>
        <v>0</v>
      </c>
    </row>
    <row r="1162" spans="1:10" x14ac:dyDescent="0.35">
      <c r="A1162" s="4" t="s">
        <v>5182</v>
      </c>
      <c r="B1162" s="7" t="s">
        <v>1754</v>
      </c>
      <c r="C1162" s="7" t="s">
        <v>3015</v>
      </c>
      <c r="D1162" s="5">
        <v>10</v>
      </c>
      <c r="E1162" s="7" t="str">
        <f>_xlfn.XLOOKUP(B1162,Customers!A1162:A2161,Customers!B1162:B2161,"Customer Not Found",0)</f>
        <v>Customer Not Found</v>
      </c>
      <c r="F1162" s="7" t="str">
        <f>_xlfn.XLOOKUP(Orders!B1162,Customers!A1162:A2161,Customers!C1162:C2161,"Country not Found",0)</f>
        <v>Country not Found</v>
      </c>
      <c r="G1162" s="7" t="str">
        <f>_xlfn.XLOOKUP(C1162,Products!A1162:A1661,Products!B1162:B1661,"Product Missing",0)</f>
        <v>Product Missing</v>
      </c>
      <c r="H1162" s="7" t="str">
        <f>_xlfn.XLOOKUP(C1162,Products!A1162:A1661,Products!C1162:C1661,"Category Missing",0)</f>
        <v>Category Missing</v>
      </c>
      <c r="I1162" s="11" t="str">
        <f>_xlfn.XLOOKUP(Orders!C1162,Products!A1162:A1661,Products!D1162:D1661,"Price Missing",0)</f>
        <v>Price Missing</v>
      </c>
      <c r="J1162" s="19">
        <f t="shared" si="18"/>
        <v>0</v>
      </c>
    </row>
    <row r="1163" spans="1:10" x14ac:dyDescent="0.35">
      <c r="A1163" s="4" t="s">
        <v>5183</v>
      </c>
      <c r="B1163" s="7" t="s">
        <v>2231</v>
      </c>
      <c r="C1163" s="7" t="s">
        <v>3680</v>
      </c>
      <c r="D1163" s="5">
        <v>2</v>
      </c>
      <c r="E1163" s="7" t="str">
        <f>_xlfn.XLOOKUP(B1163,Customers!A1163:A2162,Customers!B1163:B2162,"Customer Not Found",0)</f>
        <v>Customer Not Found</v>
      </c>
      <c r="F1163" s="7" t="str">
        <f>_xlfn.XLOOKUP(Orders!B1163,Customers!A1163:A2162,Customers!C1163:C2162,"Country not Found",0)</f>
        <v>Country not Found</v>
      </c>
      <c r="G1163" s="7" t="str">
        <f>_xlfn.XLOOKUP(C1163,Products!A1163:A1662,Products!B1163:B1662,"Product Missing",0)</f>
        <v>Product Missing</v>
      </c>
      <c r="H1163" s="7" t="str">
        <f>_xlfn.XLOOKUP(C1163,Products!A1163:A1662,Products!C1163:C1662,"Category Missing",0)</f>
        <v>Category Missing</v>
      </c>
      <c r="I1163" s="11" t="str">
        <f>_xlfn.XLOOKUP(Orders!C1163,Products!A1163:A1662,Products!D1163:D1662,"Price Missing",0)</f>
        <v>Price Missing</v>
      </c>
      <c r="J1163" s="19">
        <f t="shared" si="18"/>
        <v>0</v>
      </c>
    </row>
    <row r="1164" spans="1:10" x14ac:dyDescent="0.35">
      <c r="A1164" s="4" t="s">
        <v>5184</v>
      </c>
      <c r="B1164" s="7" t="s">
        <v>2441</v>
      </c>
      <c r="C1164" s="7" t="s">
        <v>3678</v>
      </c>
      <c r="D1164" s="5">
        <v>10</v>
      </c>
      <c r="E1164" s="7" t="str">
        <f>_xlfn.XLOOKUP(B1164,Customers!A1164:A2163,Customers!B1164:B2163,"Customer Not Found",0)</f>
        <v>Customer Not Found</v>
      </c>
      <c r="F1164" s="7" t="str">
        <f>_xlfn.XLOOKUP(Orders!B1164,Customers!A1164:A2163,Customers!C1164:C2163,"Country not Found",0)</f>
        <v>Country not Found</v>
      </c>
      <c r="G1164" s="7" t="str">
        <f>_xlfn.XLOOKUP(C1164,Products!A1164:A1663,Products!B1164:B1663,"Product Missing",0)</f>
        <v>Product Missing</v>
      </c>
      <c r="H1164" s="7" t="str">
        <f>_xlfn.XLOOKUP(C1164,Products!A1164:A1663,Products!C1164:C1663,"Category Missing",0)</f>
        <v>Category Missing</v>
      </c>
      <c r="I1164" s="11" t="str">
        <f>_xlfn.XLOOKUP(Orders!C1164,Products!A1164:A1663,Products!D1164:D1663,"Price Missing",0)</f>
        <v>Price Missing</v>
      </c>
      <c r="J1164" s="19">
        <f t="shared" si="18"/>
        <v>0</v>
      </c>
    </row>
    <row r="1165" spans="1:10" x14ac:dyDescent="0.35">
      <c r="A1165" s="4" t="s">
        <v>5185</v>
      </c>
      <c r="B1165" s="7" t="s">
        <v>3002</v>
      </c>
      <c r="C1165" s="7" t="s">
        <v>3470</v>
      </c>
      <c r="D1165" s="5">
        <v>4</v>
      </c>
      <c r="E1165" s="7" t="str">
        <f>_xlfn.XLOOKUP(B1165,Customers!A1165:A2164,Customers!B1165:B2164,"Customer Not Found",0)</f>
        <v>Customer Not Found</v>
      </c>
      <c r="F1165" s="7" t="str">
        <f>_xlfn.XLOOKUP(Orders!B1165,Customers!A1165:A2164,Customers!C1165:C2164,"Country not Found",0)</f>
        <v>Country not Found</v>
      </c>
      <c r="G1165" s="7" t="str">
        <f>_xlfn.XLOOKUP(C1165,Products!A1165:A1664,Products!B1165:B1664,"Product Missing",0)</f>
        <v>Product Missing</v>
      </c>
      <c r="H1165" s="7" t="str">
        <f>_xlfn.XLOOKUP(C1165,Products!A1165:A1664,Products!C1165:C1664,"Category Missing",0)</f>
        <v>Category Missing</v>
      </c>
      <c r="I1165" s="11" t="str">
        <f>_xlfn.XLOOKUP(Orders!C1165,Products!A1165:A1664,Products!D1165:D1664,"Price Missing",0)</f>
        <v>Price Missing</v>
      </c>
      <c r="J1165" s="19">
        <f t="shared" si="18"/>
        <v>0</v>
      </c>
    </row>
    <row r="1166" spans="1:10" x14ac:dyDescent="0.35">
      <c r="A1166" s="4" t="s">
        <v>5186</v>
      </c>
      <c r="B1166" s="7" t="s">
        <v>1550</v>
      </c>
      <c r="C1166" s="7" t="s">
        <v>3888</v>
      </c>
      <c r="D1166" s="5">
        <v>7</v>
      </c>
      <c r="E1166" s="7" t="str">
        <f>_xlfn.XLOOKUP(B1166,Customers!A1166:A2165,Customers!B1166:B2165,"Customer Not Found",0)</f>
        <v>Customer Not Found</v>
      </c>
      <c r="F1166" s="7" t="str">
        <f>_xlfn.XLOOKUP(Orders!B1166,Customers!A1166:A2165,Customers!C1166:C2165,"Country not Found",0)</f>
        <v>Country not Found</v>
      </c>
      <c r="G1166" s="7" t="str">
        <f>_xlfn.XLOOKUP(C1166,Products!A1166:A1665,Products!B1166:B1665,"Product Missing",0)</f>
        <v>Product Missing</v>
      </c>
      <c r="H1166" s="7" t="str">
        <f>_xlfn.XLOOKUP(C1166,Products!A1166:A1665,Products!C1166:C1665,"Category Missing",0)</f>
        <v>Category Missing</v>
      </c>
      <c r="I1166" s="11" t="str">
        <f>_xlfn.XLOOKUP(Orders!C1166,Products!A1166:A1665,Products!D1166:D1665,"Price Missing",0)</f>
        <v>Price Missing</v>
      </c>
      <c r="J1166" s="19">
        <f t="shared" si="18"/>
        <v>0</v>
      </c>
    </row>
    <row r="1167" spans="1:10" x14ac:dyDescent="0.35">
      <c r="A1167" s="4" t="s">
        <v>5187</v>
      </c>
      <c r="B1167" s="7" t="s">
        <v>1892</v>
      </c>
      <c r="C1167" s="7" t="s">
        <v>3850</v>
      </c>
      <c r="D1167" s="5">
        <v>3</v>
      </c>
      <c r="E1167" s="7" t="str">
        <f>_xlfn.XLOOKUP(B1167,Customers!A1167:A2166,Customers!B1167:B2166,"Customer Not Found",0)</f>
        <v>Customer Not Found</v>
      </c>
      <c r="F1167" s="7" t="str">
        <f>_xlfn.XLOOKUP(Orders!B1167,Customers!A1167:A2166,Customers!C1167:C2166,"Country not Found",0)</f>
        <v>Country not Found</v>
      </c>
      <c r="G1167" s="7" t="str">
        <f>_xlfn.XLOOKUP(C1167,Products!A1167:A1666,Products!B1167:B1666,"Product Missing",0)</f>
        <v>Product Missing</v>
      </c>
      <c r="H1167" s="7" t="str">
        <f>_xlfn.XLOOKUP(C1167,Products!A1167:A1666,Products!C1167:C1666,"Category Missing",0)</f>
        <v>Category Missing</v>
      </c>
      <c r="I1167" s="11" t="str">
        <f>_xlfn.XLOOKUP(Orders!C1167,Products!A1167:A1666,Products!D1167:D1666,"Price Missing",0)</f>
        <v>Price Missing</v>
      </c>
      <c r="J1167" s="19">
        <f t="shared" si="18"/>
        <v>0</v>
      </c>
    </row>
    <row r="1168" spans="1:10" x14ac:dyDescent="0.35">
      <c r="A1168" s="4" t="s">
        <v>5188</v>
      </c>
      <c r="B1168" s="7" t="s">
        <v>170</v>
      </c>
      <c r="C1168" s="7" t="s">
        <v>3058</v>
      </c>
      <c r="D1168" s="5">
        <v>3</v>
      </c>
      <c r="E1168" s="7" t="str">
        <f>_xlfn.XLOOKUP(B1168,Customers!A1168:A2167,Customers!B1168:B2167,"Customer Not Found",0)</f>
        <v>Customer Not Found</v>
      </c>
      <c r="F1168" s="7" t="str">
        <f>_xlfn.XLOOKUP(Orders!B1168,Customers!A1168:A2167,Customers!C1168:C2167,"Country not Found",0)</f>
        <v>Country not Found</v>
      </c>
      <c r="G1168" s="7" t="str">
        <f>_xlfn.XLOOKUP(C1168,Products!A1168:A1667,Products!B1168:B1667,"Product Missing",0)</f>
        <v>Product Missing</v>
      </c>
      <c r="H1168" s="7" t="str">
        <f>_xlfn.XLOOKUP(C1168,Products!A1168:A1667,Products!C1168:C1667,"Category Missing",0)</f>
        <v>Category Missing</v>
      </c>
      <c r="I1168" s="11" t="str">
        <f>_xlfn.XLOOKUP(Orders!C1168,Products!A1168:A1667,Products!D1168:D1667,"Price Missing",0)</f>
        <v>Price Missing</v>
      </c>
      <c r="J1168" s="19">
        <f t="shared" si="18"/>
        <v>0</v>
      </c>
    </row>
    <row r="1169" spans="1:10" x14ac:dyDescent="0.35">
      <c r="A1169" s="4" t="s">
        <v>5189</v>
      </c>
      <c r="B1169" s="7" t="s">
        <v>1004</v>
      </c>
      <c r="C1169" s="7" t="s">
        <v>3812</v>
      </c>
      <c r="D1169" s="5">
        <v>1</v>
      </c>
      <c r="E1169" s="7" t="str">
        <f>_xlfn.XLOOKUP(B1169,Customers!A1169:A2168,Customers!B1169:B2168,"Customer Not Found",0)</f>
        <v>Customer Not Found</v>
      </c>
      <c r="F1169" s="7" t="str">
        <f>_xlfn.XLOOKUP(Orders!B1169,Customers!A1169:A2168,Customers!C1169:C2168,"Country not Found",0)</f>
        <v>Country not Found</v>
      </c>
      <c r="G1169" s="7" t="str">
        <f>_xlfn.XLOOKUP(C1169,Products!A1169:A1668,Products!B1169:B1668,"Product Missing",0)</f>
        <v>Product Missing</v>
      </c>
      <c r="H1169" s="7" t="str">
        <f>_xlfn.XLOOKUP(C1169,Products!A1169:A1668,Products!C1169:C1668,"Category Missing",0)</f>
        <v>Category Missing</v>
      </c>
      <c r="I1169" s="11" t="str">
        <f>_xlfn.XLOOKUP(Orders!C1169,Products!A1169:A1668,Products!D1169:D1668,"Price Missing",0)</f>
        <v>Price Missing</v>
      </c>
      <c r="J1169" s="19">
        <f t="shared" si="18"/>
        <v>0</v>
      </c>
    </row>
    <row r="1170" spans="1:10" x14ac:dyDescent="0.35">
      <c r="A1170" s="4" t="s">
        <v>5190</v>
      </c>
      <c r="B1170" s="7" t="s">
        <v>275</v>
      </c>
      <c r="C1170" s="7" t="s">
        <v>3746</v>
      </c>
      <c r="D1170" s="5">
        <v>4</v>
      </c>
      <c r="E1170" s="7" t="str">
        <f>_xlfn.XLOOKUP(B1170,Customers!A1170:A2169,Customers!B1170:B2169,"Customer Not Found",0)</f>
        <v>Customer Not Found</v>
      </c>
      <c r="F1170" s="7" t="str">
        <f>_xlfn.XLOOKUP(Orders!B1170,Customers!A1170:A2169,Customers!C1170:C2169,"Country not Found",0)</f>
        <v>Country not Found</v>
      </c>
      <c r="G1170" s="7" t="str">
        <f>_xlfn.XLOOKUP(C1170,Products!A1170:A1669,Products!B1170:B1669,"Product Missing",0)</f>
        <v>Product Missing</v>
      </c>
      <c r="H1170" s="7" t="str">
        <f>_xlfn.XLOOKUP(C1170,Products!A1170:A1669,Products!C1170:C1669,"Category Missing",0)</f>
        <v>Category Missing</v>
      </c>
      <c r="I1170" s="11" t="str">
        <f>_xlfn.XLOOKUP(Orders!C1170,Products!A1170:A1669,Products!D1170:D1669,"Price Missing",0)</f>
        <v>Price Missing</v>
      </c>
      <c r="J1170" s="19">
        <f t="shared" si="18"/>
        <v>0</v>
      </c>
    </row>
    <row r="1171" spans="1:10" x14ac:dyDescent="0.35">
      <c r="A1171" s="4" t="s">
        <v>5191</v>
      </c>
      <c r="B1171" s="7" t="s">
        <v>656</v>
      </c>
      <c r="C1171" s="7" t="s">
        <v>3884</v>
      </c>
      <c r="D1171" s="5">
        <v>10</v>
      </c>
      <c r="E1171" s="7" t="str">
        <f>_xlfn.XLOOKUP(B1171,Customers!A1171:A2170,Customers!B1171:B2170,"Customer Not Found",0)</f>
        <v>Customer Not Found</v>
      </c>
      <c r="F1171" s="7" t="str">
        <f>_xlfn.XLOOKUP(Orders!B1171,Customers!A1171:A2170,Customers!C1171:C2170,"Country not Found",0)</f>
        <v>Country not Found</v>
      </c>
      <c r="G1171" s="7" t="str">
        <f>_xlfn.XLOOKUP(C1171,Products!A1171:A1670,Products!B1171:B1670,"Product Missing",0)</f>
        <v>Product Missing</v>
      </c>
      <c r="H1171" s="7" t="str">
        <f>_xlfn.XLOOKUP(C1171,Products!A1171:A1670,Products!C1171:C1670,"Category Missing",0)</f>
        <v>Category Missing</v>
      </c>
      <c r="I1171" s="11" t="str">
        <f>_xlfn.XLOOKUP(Orders!C1171,Products!A1171:A1670,Products!D1171:D1670,"Price Missing",0)</f>
        <v>Price Missing</v>
      </c>
      <c r="J1171" s="19">
        <f t="shared" si="18"/>
        <v>0</v>
      </c>
    </row>
    <row r="1172" spans="1:10" x14ac:dyDescent="0.35">
      <c r="A1172" s="4" t="s">
        <v>5192</v>
      </c>
      <c r="B1172" s="7" t="s">
        <v>2420</v>
      </c>
      <c r="C1172" s="7" t="s">
        <v>3586</v>
      </c>
      <c r="D1172" s="5">
        <v>4</v>
      </c>
      <c r="E1172" s="7" t="str">
        <f>_xlfn.XLOOKUP(B1172,Customers!A1172:A2171,Customers!B1172:B2171,"Customer Not Found",0)</f>
        <v>Customer Not Found</v>
      </c>
      <c r="F1172" s="7" t="str">
        <f>_xlfn.XLOOKUP(Orders!B1172,Customers!A1172:A2171,Customers!C1172:C2171,"Country not Found",0)</f>
        <v>Country not Found</v>
      </c>
      <c r="G1172" s="7" t="str">
        <f>_xlfn.XLOOKUP(C1172,Products!A1172:A1671,Products!B1172:B1671,"Product Missing",0)</f>
        <v>Product Missing</v>
      </c>
      <c r="H1172" s="7" t="str">
        <f>_xlfn.XLOOKUP(C1172,Products!A1172:A1671,Products!C1172:C1671,"Category Missing",0)</f>
        <v>Category Missing</v>
      </c>
      <c r="I1172" s="11" t="str">
        <f>_xlfn.XLOOKUP(Orders!C1172,Products!A1172:A1671,Products!D1172:D1671,"Price Missing",0)</f>
        <v>Price Missing</v>
      </c>
      <c r="J1172" s="19">
        <f t="shared" si="18"/>
        <v>0</v>
      </c>
    </row>
    <row r="1173" spans="1:10" x14ac:dyDescent="0.35">
      <c r="A1173" s="4" t="s">
        <v>5193</v>
      </c>
      <c r="B1173" s="7" t="s">
        <v>2663</v>
      </c>
      <c r="C1173" s="7" t="s">
        <v>3064</v>
      </c>
      <c r="D1173" s="5">
        <v>4</v>
      </c>
      <c r="E1173" s="7" t="str">
        <f>_xlfn.XLOOKUP(B1173,Customers!A1173:A2172,Customers!B1173:B2172,"Customer Not Found",0)</f>
        <v>Customer Not Found</v>
      </c>
      <c r="F1173" s="7" t="str">
        <f>_xlfn.XLOOKUP(Orders!B1173,Customers!A1173:A2172,Customers!C1173:C2172,"Country not Found",0)</f>
        <v>Country not Found</v>
      </c>
      <c r="G1173" s="7" t="str">
        <f>_xlfn.XLOOKUP(C1173,Products!A1173:A1672,Products!B1173:B1672,"Product Missing",0)</f>
        <v>Product Missing</v>
      </c>
      <c r="H1173" s="7" t="str">
        <f>_xlfn.XLOOKUP(C1173,Products!A1173:A1672,Products!C1173:C1672,"Category Missing",0)</f>
        <v>Category Missing</v>
      </c>
      <c r="I1173" s="11" t="str">
        <f>_xlfn.XLOOKUP(Orders!C1173,Products!A1173:A1672,Products!D1173:D1672,"Price Missing",0)</f>
        <v>Price Missing</v>
      </c>
      <c r="J1173" s="19">
        <f t="shared" si="18"/>
        <v>0</v>
      </c>
    </row>
    <row r="1174" spans="1:10" x14ac:dyDescent="0.35">
      <c r="A1174" s="4" t="s">
        <v>5194</v>
      </c>
      <c r="B1174" s="7" t="s">
        <v>1832</v>
      </c>
      <c r="C1174" s="7" t="s">
        <v>4002</v>
      </c>
      <c r="D1174" s="5">
        <v>6</v>
      </c>
      <c r="E1174" s="7" t="str">
        <f>_xlfn.XLOOKUP(B1174,Customers!A1174:A2173,Customers!B1174:B2173,"Customer Not Found",0)</f>
        <v>Customer Not Found</v>
      </c>
      <c r="F1174" s="7" t="str">
        <f>_xlfn.XLOOKUP(Orders!B1174,Customers!A1174:A2173,Customers!C1174:C2173,"Country not Found",0)</f>
        <v>Country not Found</v>
      </c>
      <c r="G1174" s="7" t="str">
        <f>_xlfn.XLOOKUP(C1174,Products!A1174:A1673,Products!B1174:B1673,"Product Missing",0)</f>
        <v>Product Missing</v>
      </c>
      <c r="H1174" s="7" t="str">
        <f>_xlfn.XLOOKUP(C1174,Products!A1174:A1673,Products!C1174:C1673,"Category Missing",0)</f>
        <v>Category Missing</v>
      </c>
      <c r="I1174" s="11" t="str">
        <f>_xlfn.XLOOKUP(Orders!C1174,Products!A1174:A1673,Products!D1174:D1673,"Price Missing",0)</f>
        <v>Price Missing</v>
      </c>
      <c r="J1174" s="19">
        <f t="shared" si="18"/>
        <v>0</v>
      </c>
    </row>
    <row r="1175" spans="1:10" x14ac:dyDescent="0.35">
      <c r="A1175" s="4" t="s">
        <v>5195</v>
      </c>
      <c r="B1175" s="7" t="s">
        <v>680</v>
      </c>
      <c r="C1175" s="7" t="s">
        <v>3494</v>
      </c>
      <c r="D1175" s="5">
        <v>3</v>
      </c>
      <c r="E1175" s="7" t="str">
        <f>_xlfn.XLOOKUP(B1175,Customers!A1175:A2174,Customers!B1175:B2174,"Customer Not Found",0)</f>
        <v>Customer Not Found</v>
      </c>
      <c r="F1175" s="7" t="str">
        <f>_xlfn.XLOOKUP(Orders!B1175,Customers!A1175:A2174,Customers!C1175:C2174,"Country not Found",0)</f>
        <v>Country not Found</v>
      </c>
      <c r="G1175" s="7" t="str">
        <f>_xlfn.XLOOKUP(C1175,Products!A1175:A1674,Products!B1175:B1674,"Product Missing",0)</f>
        <v>Product Missing</v>
      </c>
      <c r="H1175" s="7" t="str">
        <f>_xlfn.XLOOKUP(C1175,Products!A1175:A1674,Products!C1175:C1674,"Category Missing",0)</f>
        <v>Category Missing</v>
      </c>
      <c r="I1175" s="11" t="str">
        <f>_xlfn.XLOOKUP(Orders!C1175,Products!A1175:A1674,Products!D1175:D1674,"Price Missing",0)</f>
        <v>Price Missing</v>
      </c>
      <c r="J1175" s="19">
        <f t="shared" si="18"/>
        <v>0</v>
      </c>
    </row>
    <row r="1176" spans="1:10" x14ac:dyDescent="0.35">
      <c r="A1176" s="4" t="s">
        <v>5196</v>
      </c>
      <c r="B1176" s="7" t="s">
        <v>2279</v>
      </c>
      <c r="C1176" s="7" t="s">
        <v>3718</v>
      </c>
      <c r="D1176" s="5">
        <v>2</v>
      </c>
      <c r="E1176" s="7" t="str">
        <f>_xlfn.XLOOKUP(B1176,Customers!A1176:A2175,Customers!B1176:B2175,"Customer Not Found",0)</f>
        <v>Customer Not Found</v>
      </c>
      <c r="F1176" s="7" t="str">
        <f>_xlfn.XLOOKUP(Orders!B1176,Customers!A1176:A2175,Customers!C1176:C2175,"Country not Found",0)</f>
        <v>Country not Found</v>
      </c>
      <c r="G1176" s="7" t="str">
        <f>_xlfn.XLOOKUP(C1176,Products!A1176:A1675,Products!B1176:B1675,"Product Missing",0)</f>
        <v>Product Missing</v>
      </c>
      <c r="H1176" s="7" t="str">
        <f>_xlfn.XLOOKUP(C1176,Products!A1176:A1675,Products!C1176:C1675,"Category Missing",0)</f>
        <v>Category Missing</v>
      </c>
      <c r="I1176" s="11" t="str">
        <f>_xlfn.XLOOKUP(Orders!C1176,Products!A1176:A1675,Products!D1176:D1675,"Price Missing",0)</f>
        <v>Price Missing</v>
      </c>
      <c r="J1176" s="19">
        <f t="shared" si="18"/>
        <v>0</v>
      </c>
    </row>
    <row r="1177" spans="1:10" x14ac:dyDescent="0.35">
      <c r="A1177" s="4" t="s">
        <v>5197</v>
      </c>
      <c r="B1177" s="7" t="s">
        <v>437</v>
      </c>
      <c r="C1177" s="7" t="s">
        <v>3400</v>
      </c>
      <c r="D1177" s="5">
        <v>2</v>
      </c>
      <c r="E1177" s="7" t="str">
        <f>_xlfn.XLOOKUP(B1177,Customers!A1177:A2176,Customers!B1177:B2176,"Customer Not Found",0)</f>
        <v>Customer Not Found</v>
      </c>
      <c r="F1177" s="7" t="str">
        <f>_xlfn.XLOOKUP(Orders!B1177,Customers!A1177:A2176,Customers!C1177:C2176,"Country not Found",0)</f>
        <v>Country not Found</v>
      </c>
      <c r="G1177" s="7" t="str">
        <f>_xlfn.XLOOKUP(C1177,Products!A1177:A1676,Products!B1177:B1676,"Product Missing",0)</f>
        <v>Product Missing</v>
      </c>
      <c r="H1177" s="7" t="str">
        <f>_xlfn.XLOOKUP(C1177,Products!A1177:A1676,Products!C1177:C1676,"Category Missing",0)</f>
        <v>Category Missing</v>
      </c>
      <c r="I1177" s="11" t="str">
        <f>_xlfn.XLOOKUP(Orders!C1177,Products!A1177:A1676,Products!D1177:D1676,"Price Missing",0)</f>
        <v>Price Missing</v>
      </c>
      <c r="J1177" s="19">
        <f t="shared" si="18"/>
        <v>0</v>
      </c>
    </row>
    <row r="1178" spans="1:10" x14ac:dyDescent="0.35">
      <c r="A1178" s="4" t="s">
        <v>5198</v>
      </c>
      <c r="B1178" s="7" t="s">
        <v>347</v>
      </c>
      <c r="C1178" s="7" t="s">
        <v>3838</v>
      </c>
      <c r="D1178" s="5">
        <v>4</v>
      </c>
      <c r="E1178" s="7" t="str">
        <f>_xlfn.XLOOKUP(B1178,Customers!A1178:A2177,Customers!B1178:B2177,"Customer Not Found",0)</f>
        <v>Customer Not Found</v>
      </c>
      <c r="F1178" s="7" t="str">
        <f>_xlfn.XLOOKUP(Orders!B1178,Customers!A1178:A2177,Customers!C1178:C2177,"Country not Found",0)</f>
        <v>Country not Found</v>
      </c>
      <c r="G1178" s="7" t="str">
        <f>_xlfn.XLOOKUP(C1178,Products!A1178:A1677,Products!B1178:B1677,"Product Missing",0)</f>
        <v>Product Missing</v>
      </c>
      <c r="H1178" s="7" t="str">
        <f>_xlfn.XLOOKUP(C1178,Products!A1178:A1677,Products!C1178:C1677,"Category Missing",0)</f>
        <v>Category Missing</v>
      </c>
      <c r="I1178" s="11" t="str">
        <f>_xlfn.XLOOKUP(Orders!C1178,Products!A1178:A1677,Products!D1178:D1677,"Price Missing",0)</f>
        <v>Price Missing</v>
      </c>
      <c r="J1178" s="19">
        <f t="shared" si="18"/>
        <v>0</v>
      </c>
    </row>
    <row r="1179" spans="1:10" x14ac:dyDescent="0.35">
      <c r="A1179" s="4" t="s">
        <v>5199</v>
      </c>
      <c r="B1179" s="7" t="s">
        <v>1577</v>
      </c>
      <c r="C1179" s="7" t="s">
        <v>3438</v>
      </c>
      <c r="D1179" s="5">
        <v>3</v>
      </c>
      <c r="E1179" s="7" t="str">
        <f>_xlfn.XLOOKUP(B1179,Customers!A1179:A2178,Customers!B1179:B2178,"Customer Not Found",0)</f>
        <v>Customer Not Found</v>
      </c>
      <c r="F1179" s="7" t="str">
        <f>_xlfn.XLOOKUP(Orders!B1179,Customers!A1179:A2178,Customers!C1179:C2178,"Country not Found",0)</f>
        <v>Country not Found</v>
      </c>
      <c r="G1179" s="7" t="str">
        <f>_xlfn.XLOOKUP(C1179,Products!A1179:A1678,Products!B1179:B1678,"Product Missing",0)</f>
        <v>Product Missing</v>
      </c>
      <c r="H1179" s="7" t="str">
        <f>_xlfn.XLOOKUP(C1179,Products!A1179:A1678,Products!C1179:C1678,"Category Missing",0)</f>
        <v>Category Missing</v>
      </c>
      <c r="I1179" s="11" t="str">
        <f>_xlfn.XLOOKUP(Orders!C1179,Products!A1179:A1678,Products!D1179:D1678,"Price Missing",0)</f>
        <v>Price Missing</v>
      </c>
      <c r="J1179" s="19">
        <f t="shared" si="18"/>
        <v>0</v>
      </c>
    </row>
    <row r="1180" spans="1:10" x14ac:dyDescent="0.35">
      <c r="A1180" s="4" t="s">
        <v>5200</v>
      </c>
      <c r="B1180" s="7" t="s">
        <v>368</v>
      </c>
      <c r="C1180" s="7" t="s">
        <v>3350</v>
      </c>
      <c r="D1180" s="5">
        <v>1</v>
      </c>
      <c r="E1180" s="7" t="str">
        <f>_xlfn.XLOOKUP(B1180,Customers!A1180:A2179,Customers!B1180:B2179,"Customer Not Found",0)</f>
        <v>Customer Not Found</v>
      </c>
      <c r="F1180" s="7" t="str">
        <f>_xlfn.XLOOKUP(Orders!B1180,Customers!A1180:A2179,Customers!C1180:C2179,"Country not Found",0)</f>
        <v>Country not Found</v>
      </c>
      <c r="G1180" s="7" t="str">
        <f>_xlfn.XLOOKUP(C1180,Products!A1180:A1679,Products!B1180:B1679,"Product Missing",0)</f>
        <v>Product Missing</v>
      </c>
      <c r="H1180" s="7" t="str">
        <f>_xlfn.XLOOKUP(C1180,Products!A1180:A1679,Products!C1180:C1679,"Category Missing",0)</f>
        <v>Category Missing</v>
      </c>
      <c r="I1180" s="11" t="str">
        <f>_xlfn.XLOOKUP(Orders!C1180,Products!A1180:A1679,Products!D1180:D1679,"Price Missing",0)</f>
        <v>Price Missing</v>
      </c>
      <c r="J1180" s="19">
        <f t="shared" si="18"/>
        <v>0</v>
      </c>
    </row>
    <row r="1181" spans="1:10" x14ac:dyDescent="0.35">
      <c r="A1181" s="4" t="s">
        <v>5201</v>
      </c>
      <c r="B1181" s="7" t="s">
        <v>2684</v>
      </c>
      <c r="C1181" s="7" t="s">
        <v>3538</v>
      </c>
      <c r="D1181" s="5">
        <v>9</v>
      </c>
      <c r="E1181" s="7" t="str">
        <f>_xlfn.XLOOKUP(B1181,Customers!A1181:A2180,Customers!B1181:B2180,"Customer Not Found",0)</f>
        <v>Customer Not Found</v>
      </c>
      <c r="F1181" s="7" t="str">
        <f>_xlfn.XLOOKUP(Orders!B1181,Customers!A1181:A2180,Customers!C1181:C2180,"Country not Found",0)</f>
        <v>Country not Found</v>
      </c>
      <c r="G1181" s="7" t="str">
        <f>_xlfn.XLOOKUP(C1181,Products!A1181:A1680,Products!B1181:B1680,"Product Missing",0)</f>
        <v>Product Missing</v>
      </c>
      <c r="H1181" s="7" t="str">
        <f>_xlfn.XLOOKUP(C1181,Products!A1181:A1680,Products!C1181:C1680,"Category Missing",0)</f>
        <v>Category Missing</v>
      </c>
      <c r="I1181" s="11" t="str">
        <f>_xlfn.XLOOKUP(Orders!C1181,Products!A1181:A1680,Products!D1181:D1680,"Price Missing",0)</f>
        <v>Price Missing</v>
      </c>
      <c r="J1181" s="19">
        <f t="shared" si="18"/>
        <v>0</v>
      </c>
    </row>
    <row r="1182" spans="1:10" x14ac:dyDescent="0.35">
      <c r="A1182" s="4" t="s">
        <v>5202</v>
      </c>
      <c r="B1182" s="7" t="s">
        <v>2957</v>
      </c>
      <c r="C1182" s="7" t="s">
        <v>3322</v>
      </c>
      <c r="D1182" s="5">
        <v>7</v>
      </c>
      <c r="E1182" s="7" t="str">
        <f>_xlfn.XLOOKUP(B1182,Customers!A1182:A2181,Customers!B1182:B2181,"Customer Not Found",0)</f>
        <v>Customer Not Found</v>
      </c>
      <c r="F1182" s="7" t="str">
        <f>_xlfn.XLOOKUP(Orders!B1182,Customers!A1182:A2181,Customers!C1182:C2181,"Country not Found",0)</f>
        <v>Country not Found</v>
      </c>
      <c r="G1182" s="7" t="str">
        <f>_xlfn.XLOOKUP(C1182,Products!A1182:A1681,Products!B1182:B1681,"Product Missing",0)</f>
        <v>Product Missing</v>
      </c>
      <c r="H1182" s="7" t="str">
        <f>_xlfn.XLOOKUP(C1182,Products!A1182:A1681,Products!C1182:C1681,"Category Missing",0)</f>
        <v>Category Missing</v>
      </c>
      <c r="I1182" s="11" t="str">
        <f>_xlfn.XLOOKUP(Orders!C1182,Products!A1182:A1681,Products!D1182:D1681,"Price Missing",0)</f>
        <v>Price Missing</v>
      </c>
      <c r="J1182" s="19">
        <f t="shared" si="18"/>
        <v>0</v>
      </c>
    </row>
    <row r="1183" spans="1:10" x14ac:dyDescent="0.35">
      <c r="A1183" s="4" t="s">
        <v>5203</v>
      </c>
      <c r="B1183" s="7" t="s">
        <v>2513</v>
      </c>
      <c r="C1183" s="7" t="s">
        <v>3774</v>
      </c>
      <c r="D1183" s="5">
        <v>9</v>
      </c>
      <c r="E1183" s="7" t="str">
        <f>_xlfn.XLOOKUP(B1183,Customers!A1183:A2182,Customers!B1183:B2182,"Customer Not Found",0)</f>
        <v>Customer Not Found</v>
      </c>
      <c r="F1183" s="7" t="str">
        <f>_xlfn.XLOOKUP(Orders!B1183,Customers!A1183:A2182,Customers!C1183:C2182,"Country not Found",0)</f>
        <v>Country not Found</v>
      </c>
      <c r="G1183" s="7" t="str">
        <f>_xlfn.XLOOKUP(C1183,Products!A1183:A1682,Products!B1183:B1682,"Product Missing",0)</f>
        <v>Product Missing</v>
      </c>
      <c r="H1183" s="7" t="str">
        <f>_xlfn.XLOOKUP(C1183,Products!A1183:A1682,Products!C1183:C1682,"Category Missing",0)</f>
        <v>Category Missing</v>
      </c>
      <c r="I1183" s="11" t="str">
        <f>_xlfn.XLOOKUP(Orders!C1183,Products!A1183:A1682,Products!D1183:D1682,"Price Missing",0)</f>
        <v>Price Missing</v>
      </c>
      <c r="J1183" s="19">
        <f t="shared" si="18"/>
        <v>0</v>
      </c>
    </row>
    <row r="1184" spans="1:10" x14ac:dyDescent="0.35">
      <c r="A1184" s="4" t="s">
        <v>5204</v>
      </c>
      <c r="B1184" s="7" t="s">
        <v>1166</v>
      </c>
      <c r="C1184" s="7" t="s">
        <v>3372</v>
      </c>
      <c r="D1184" s="5">
        <v>7</v>
      </c>
      <c r="E1184" s="7" t="str">
        <f>_xlfn.XLOOKUP(B1184,Customers!A1184:A2183,Customers!B1184:B2183,"Customer Not Found",0)</f>
        <v>Customer Not Found</v>
      </c>
      <c r="F1184" s="7" t="str">
        <f>_xlfn.XLOOKUP(Orders!B1184,Customers!A1184:A2183,Customers!C1184:C2183,"Country not Found",0)</f>
        <v>Country not Found</v>
      </c>
      <c r="G1184" s="7" t="str">
        <f>_xlfn.XLOOKUP(C1184,Products!A1184:A1683,Products!B1184:B1683,"Product Missing",0)</f>
        <v>Product Missing</v>
      </c>
      <c r="H1184" s="7" t="str">
        <f>_xlfn.XLOOKUP(C1184,Products!A1184:A1683,Products!C1184:C1683,"Category Missing",0)</f>
        <v>Category Missing</v>
      </c>
      <c r="I1184" s="11" t="str">
        <f>_xlfn.XLOOKUP(Orders!C1184,Products!A1184:A1683,Products!D1184:D1683,"Price Missing",0)</f>
        <v>Price Missing</v>
      </c>
      <c r="J1184" s="19">
        <f t="shared" si="18"/>
        <v>0</v>
      </c>
    </row>
    <row r="1185" spans="1:10" x14ac:dyDescent="0.35">
      <c r="A1185" s="4" t="s">
        <v>5205</v>
      </c>
      <c r="B1185" s="7" t="s">
        <v>2996</v>
      </c>
      <c r="C1185" s="7" t="s">
        <v>3070</v>
      </c>
      <c r="D1185" s="5">
        <v>7</v>
      </c>
      <c r="E1185" s="7" t="str">
        <f>_xlfn.XLOOKUP(B1185,Customers!A1185:A2184,Customers!B1185:B2184,"Customer Not Found",0)</f>
        <v>Customer Not Found</v>
      </c>
      <c r="F1185" s="7" t="str">
        <f>_xlfn.XLOOKUP(Orders!B1185,Customers!A1185:A2184,Customers!C1185:C2184,"Country not Found",0)</f>
        <v>Country not Found</v>
      </c>
      <c r="G1185" s="7" t="str">
        <f>_xlfn.XLOOKUP(C1185,Products!A1185:A1684,Products!B1185:B1684,"Product Missing",0)</f>
        <v>Product Missing</v>
      </c>
      <c r="H1185" s="7" t="str">
        <f>_xlfn.XLOOKUP(C1185,Products!A1185:A1684,Products!C1185:C1684,"Category Missing",0)</f>
        <v>Category Missing</v>
      </c>
      <c r="I1185" s="11" t="str">
        <f>_xlfn.XLOOKUP(Orders!C1185,Products!A1185:A1684,Products!D1185:D1684,"Price Missing",0)</f>
        <v>Price Missing</v>
      </c>
      <c r="J1185" s="19">
        <f t="shared" si="18"/>
        <v>0</v>
      </c>
    </row>
    <row r="1186" spans="1:10" x14ac:dyDescent="0.35">
      <c r="A1186" s="4" t="s">
        <v>5206</v>
      </c>
      <c r="B1186" s="7" t="s">
        <v>2183</v>
      </c>
      <c r="C1186" s="7" t="s">
        <v>3260</v>
      </c>
      <c r="D1186" s="5">
        <v>7</v>
      </c>
      <c r="E1186" s="7" t="str">
        <f>_xlfn.XLOOKUP(B1186,Customers!A1186:A2185,Customers!B1186:B2185,"Customer Not Found",0)</f>
        <v>Customer Not Found</v>
      </c>
      <c r="F1186" s="7" t="str">
        <f>_xlfn.XLOOKUP(Orders!B1186,Customers!A1186:A2185,Customers!C1186:C2185,"Country not Found",0)</f>
        <v>Country not Found</v>
      </c>
      <c r="G1186" s="7" t="str">
        <f>_xlfn.XLOOKUP(C1186,Products!A1186:A1685,Products!B1186:B1685,"Product Missing",0)</f>
        <v>Product Missing</v>
      </c>
      <c r="H1186" s="7" t="str">
        <f>_xlfn.XLOOKUP(C1186,Products!A1186:A1685,Products!C1186:C1685,"Category Missing",0)</f>
        <v>Category Missing</v>
      </c>
      <c r="I1186" s="11" t="str">
        <f>_xlfn.XLOOKUP(Orders!C1186,Products!A1186:A1685,Products!D1186:D1685,"Price Missing",0)</f>
        <v>Price Missing</v>
      </c>
      <c r="J1186" s="19">
        <f t="shared" si="18"/>
        <v>0</v>
      </c>
    </row>
    <row r="1187" spans="1:10" x14ac:dyDescent="0.35">
      <c r="A1187" s="4" t="s">
        <v>5207</v>
      </c>
      <c r="B1187" s="7" t="s">
        <v>515</v>
      </c>
      <c r="C1187" s="7" t="s">
        <v>3096</v>
      </c>
      <c r="D1187" s="5">
        <v>9</v>
      </c>
      <c r="E1187" s="7" t="str">
        <f>_xlfn.XLOOKUP(B1187,Customers!A1187:A2186,Customers!B1187:B2186,"Customer Not Found",0)</f>
        <v>Customer Not Found</v>
      </c>
      <c r="F1187" s="7" t="str">
        <f>_xlfn.XLOOKUP(Orders!B1187,Customers!A1187:A2186,Customers!C1187:C2186,"Country not Found",0)</f>
        <v>Country not Found</v>
      </c>
      <c r="G1187" s="7" t="str">
        <f>_xlfn.XLOOKUP(C1187,Products!A1187:A1686,Products!B1187:B1686,"Product Missing",0)</f>
        <v>Product Missing</v>
      </c>
      <c r="H1187" s="7" t="str">
        <f>_xlfn.XLOOKUP(C1187,Products!A1187:A1686,Products!C1187:C1686,"Category Missing",0)</f>
        <v>Category Missing</v>
      </c>
      <c r="I1187" s="11" t="str">
        <f>_xlfn.XLOOKUP(Orders!C1187,Products!A1187:A1686,Products!D1187:D1686,"Price Missing",0)</f>
        <v>Price Missing</v>
      </c>
      <c r="J1187" s="19">
        <f t="shared" si="18"/>
        <v>0</v>
      </c>
    </row>
    <row r="1188" spans="1:10" x14ac:dyDescent="0.35">
      <c r="A1188" s="4" t="s">
        <v>5208</v>
      </c>
      <c r="B1188" s="7" t="s">
        <v>1367</v>
      </c>
      <c r="C1188" s="7" t="s">
        <v>3250</v>
      </c>
      <c r="D1188" s="5">
        <v>5</v>
      </c>
      <c r="E1188" s="7" t="str">
        <f>_xlfn.XLOOKUP(B1188,Customers!A1188:A2187,Customers!B1188:B2187,"Customer Not Found",0)</f>
        <v>Customer Not Found</v>
      </c>
      <c r="F1188" s="7" t="str">
        <f>_xlfn.XLOOKUP(Orders!B1188,Customers!A1188:A2187,Customers!C1188:C2187,"Country not Found",0)</f>
        <v>Country not Found</v>
      </c>
      <c r="G1188" s="7" t="str">
        <f>_xlfn.XLOOKUP(C1188,Products!A1188:A1687,Products!B1188:B1687,"Product Missing",0)</f>
        <v>Product Missing</v>
      </c>
      <c r="H1188" s="7" t="str">
        <f>_xlfn.XLOOKUP(C1188,Products!A1188:A1687,Products!C1188:C1687,"Category Missing",0)</f>
        <v>Category Missing</v>
      </c>
      <c r="I1188" s="11" t="str">
        <f>_xlfn.XLOOKUP(Orders!C1188,Products!A1188:A1687,Products!D1188:D1687,"Price Missing",0)</f>
        <v>Price Missing</v>
      </c>
      <c r="J1188" s="19">
        <f t="shared" si="18"/>
        <v>0</v>
      </c>
    </row>
    <row r="1189" spans="1:10" x14ac:dyDescent="0.35">
      <c r="A1189" s="4" t="s">
        <v>5209</v>
      </c>
      <c r="B1189" s="7" t="s">
        <v>494</v>
      </c>
      <c r="C1189" s="7" t="s">
        <v>3260</v>
      </c>
      <c r="D1189" s="5">
        <v>4</v>
      </c>
      <c r="E1189" s="7" t="str">
        <f>_xlfn.XLOOKUP(B1189,Customers!A1189:A2188,Customers!B1189:B2188,"Customer Not Found",0)</f>
        <v>Customer Not Found</v>
      </c>
      <c r="F1189" s="7" t="str">
        <f>_xlfn.XLOOKUP(Orders!B1189,Customers!A1189:A2188,Customers!C1189:C2188,"Country not Found",0)</f>
        <v>Country not Found</v>
      </c>
      <c r="G1189" s="7" t="str">
        <f>_xlfn.XLOOKUP(C1189,Products!A1189:A1688,Products!B1189:B1688,"Product Missing",0)</f>
        <v>Product Missing</v>
      </c>
      <c r="H1189" s="7" t="str">
        <f>_xlfn.XLOOKUP(C1189,Products!A1189:A1688,Products!C1189:C1688,"Category Missing",0)</f>
        <v>Category Missing</v>
      </c>
      <c r="I1189" s="11" t="str">
        <f>_xlfn.XLOOKUP(Orders!C1189,Products!A1189:A1688,Products!D1189:D1688,"Price Missing",0)</f>
        <v>Price Missing</v>
      </c>
      <c r="J1189" s="19">
        <f t="shared" si="18"/>
        <v>0</v>
      </c>
    </row>
    <row r="1190" spans="1:10" x14ac:dyDescent="0.35">
      <c r="A1190" s="4" t="s">
        <v>5210</v>
      </c>
      <c r="B1190" s="7" t="s">
        <v>2405</v>
      </c>
      <c r="C1190" s="7" t="s">
        <v>3964</v>
      </c>
      <c r="D1190" s="5">
        <v>3</v>
      </c>
      <c r="E1190" s="7" t="str">
        <f>_xlfn.XLOOKUP(B1190,Customers!A1190:A2189,Customers!B1190:B2189,"Customer Not Found",0)</f>
        <v>Customer Not Found</v>
      </c>
      <c r="F1190" s="7" t="str">
        <f>_xlfn.XLOOKUP(Orders!B1190,Customers!A1190:A2189,Customers!C1190:C2189,"Country not Found",0)</f>
        <v>Country not Found</v>
      </c>
      <c r="G1190" s="7" t="str">
        <f>_xlfn.XLOOKUP(C1190,Products!A1190:A1689,Products!B1190:B1689,"Product Missing",0)</f>
        <v>Product Missing</v>
      </c>
      <c r="H1190" s="7" t="str">
        <f>_xlfn.XLOOKUP(C1190,Products!A1190:A1689,Products!C1190:C1689,"Category Missing",0)</f>
        <v>Category Missing</v>
      </c>
      <c r="I1190" s="11" t="str">
        <f>_xlfn.XLOOKUP(Orders!C1190,Products!A1190:A1689,Products!D1190:D1689,"Price Missing",0)</f>
        <v>Price Missing</v>
      </c>
      <c r="J1190" s="19">
        <f t="shared" si="18"/>
        <v>0</v>
      </c>
    </row>
    <row r="1191" spans="1:10" x14ac:dyDescent="0.35">
      <c r="A1191" s="4" t="s">
        <v>5211</v>
      </c>
      <c r="B1191" s="7" t="s">
        <v>2330</v>
      </c>
      <c r="C1191" s="7" t="s">
        <v>3286</v>
      </c>
      <c r="D1191" s="5">
        <v>4</v>
      </c>
      <c r="E1191" s="7" t="str">
        <f>_xlfn.XLOOKUP(B1191,Customers!A1191:A2190,Customers!B1191:B2190,"Customer Not Found",0)</f>
        <v>Customer Not Found</v>
      </c>
      <c r="F1191" s="7" t="str">
        <f>_xlfn.XLOOKUP(Orders!B1191,Customers!A1191:A2190,Customers!C1191:C2190,"Country not Found",0)</f>
        <v>Country not Found</v>
      </c>
      <c r="G1191" s="7" t="str">
        <f>_xlfn.XLOOKUP(C1191,Products!A1191:A1690,Products!B1191:B1690,"Product Missing",0)</f>
        <v>Product Missing</v>
      </c>
      <c r="H1191" s="7" t="str">
        <f>_xlfn.XLOOKUP(C1191,Products!A1191:A1690,Products!C1191:C1690,"Category Missing",0)</f>
        <v>Category Missing</v>
      </c>
      <c r="I1191" s="11" t="str">
        <f>_xlfn.XLOOKUP(Orders!C1191,Products!A1191:A1690,Products!D1191:D1690,"Price Missing",0)</f>
        <v>Price Missing</v>
      </c>
      <c r="J1191" s="19">
        <f t="shared" si="18"/>
        <v>0</v>
      </c>
    </row>
    <row r="1192" spans="1:10" x14ac:dyDescent="0.35">
      <c r="A1192" s="4" t="s">
        <v>5212</v>
      </c>
      <c r="B1192" s="7" t="s">
        <v>1850</v>
      </c>
      <c r="C1192" s="7" t="s">
        <v>3528</v>
      </c>
      <c r="D1192" s="5">
        <v>5</v>
      </c>
      <c r="E1192" s="7" t="str">
        <f>_xlfn.XLOOKUP(B1192,Customers!A1192:A2191,Customers!B1192:B2191,"Customer Not Found",0)</f>
        <v>Customer Not Found</v>
      </c>
      <c r="F1192" s="7" t="str">
        <f>_xlfn.XLOOKUP(Orders!B1192,Customers!A1192:A2191,Customers!C1192:C2191,"Country not Found",0)</f>
        <v>Country not Found</v>
      </c>
      <c r="G1192" s="7" t="str">
        <f>_xlfn.XLOOKUP(C1192,Products!A1192:A1691,Products!B1192:B1691,"Product Missing",0)</f>
        <v>Product Missing</v>
      </c>
      <c r="H1192" s="7" t="str">
        <f>_xlfn.XLOOKUP(C1192,Products!A1192:A1691,Products!C1192:C1691,"Category Missing",0)</f>
        <v>Category Missing</v>
      </c>
      <c r="I1192" s="11" t="str">
        <f>_xlfn.XLOOKUP(Orders!C1192,Products!A1192:A1691,Products!D1192:D1691,"Price Missing",0)</f>
        <v>Price Missing</v>
      </c>
      <c r="J1192" s="19">
        <f t="shared" si="18"/>
        <v>0</v>
      </c>
    </row>
    <row r="1193" spans="1:10" x14ac:dyDescent="0.35">
      <c r="A1193" s="4" t="s">
        <v>5213</v>
      </c>
      <c r="B1193" s="7" t="s">
        <v>1277</v>
      </c>
      <c r="C1193" s="7" t="s">
        <v>3406</v>
      </c>
      <c r="D1193" s="5">
        <v>9</v>
      </c>
      <c r="E1193" s="7" t="str">
        <f>_xlfn.XLOOKUP(B1193,Customers!A1193:A2192,Customers!B1193:B2192,"Customer Not Found",0)</f>
        <v>Customer Not Found</v>
      </c>
      <c r="F1193" s="7" t="str">
        <f>_xlfn.XLOOKUP(Orders!B1193,Customers!A1193:A2192,Customers!C1193:C2192,"Country not Found",0)</f>
        <v>Country not Found</v>
      </c>
      <c r="G1193" s="7" t="str">
        <f>_xlfn.XLOOKUP(C1193,Products!A1193:A1692,Products!B1193:B1692,"Product Missing",0)</f>
        <v>Product Missing</v>
      </c>
      <c r="H1193" s="7" t="str">
        <f>_xlfn.XLOOKUP(C1193,Products!A1193:A1692,Products!C1193:C1692,"Category Missing",0)</f>
        <v>Category Missing</v>
      </c>
      <c r="I1193" s="11" t="str">
        <f>_xlfn.XLOOKUP(Orders!C1193,Products!A1193:A1692,Products!D1193:D1692,"Price Missing",0)</f>
        <v>Price Missing</v>
      </c>
      <c r="J1193" s="19">
        <f t="shared" si="18"/>
        <v>0</v>
      </c>
    </row>
    <row r="1194" spans="1:10" x14ac:dyDescent="0.35">
      <c r="A1194" s="4" t="s">
        <v>5214</v>
      </c>
      <c r="B1194" s="7" t="s">
        <v>971</v>
      </c>
      <c r="C1194" s="7" t="s">
        <v>3908</v>
      </c>
      <c r="D1194" s="5">
        <v>3</v>
      </c>
      <c r="E1194" s="7" t="str">
        <f>_xlfn.XLOOKUP(B1194,Customers!A1194:A2193,Customers!B1194:B2193,"Customer Not Found",0)</f>
        <v>Customer Not Found</v>
      </c>
      <c r="F1194" s="7" t="str">
        <f>_xlfn.XLOOKUP(Orders!B1194,Customers!A1194:A2193,Customers!C1194:C2193,"Country not Found",0)</f>
        <v>Country not Found</v>
      </c>
      <c r="G1194" s="7" t="str">
        <f>_xlfn.XLOOKUP(C1194,Products!A1194:A1693,Products!B1194:B1693,"Product Missing",0)</f>
        <v>Product Missing</v>
      </c>
      <c r="H1194" s="7" t="str">
        <f>_xlfn.XLOOKUP(C1194,Products!A1194:A1693,Products!C1194:C1693,"Category Missing",0)</f>
        <v>Category Missing</v>
      </c>
      <c r="I1194" s="11" t="str">
        <f>_xlfn.XLOOKUP(Orders!C1194,Products!A1194:A1693,Products!D1194:D1693,"Price Missing",0)</f>
        <v>Price Missing</v>
      </c>
      <c r="J1194" s="19">
        <f t="shared" si="18"/>
        <v>0</v>
      </c>
    </row>
    <row r="1195" spans="1:10" x14ac:dyDescent="0.35">
      <c r="A1195" s="4" t="s">
        <v>5215</v>
      </c>
      <c r="B1195" s="7" t="s">
        <v>365</v>
      </c>
      <c r="C1195" s="7" t="s">
        <v>3170</v>
      </c>
      <c r="D1195" s="5">
        <v>5</v>
      </c>
      <c r="E1195" s="7" t="str">
        <f>_xlfn.XLOOKUP(B1195,Customers!A1195:A2194,Customers!B1195:B2194,"Customer Not Found",0)</f>
        <v>Customer Not Found</v>
      </c>
      <c r="F1195" s="7" t="str">
        <f>_xlfn.XLOOKUP(Orders!B1195,Customers!A1195:A2194,Customers!C1195:C2194,"Country not Found",0)</f>
        <v>Country not Found</v>
      </c>
      <c r="G1195" s="7" t="str">
        <f>_xlfn.XLOOKUP(C1195,Products!A1195:A1694,Products!B1195:B1694,"Product Missing",0)</f>
        <v>Product Missing</v>
      </c>
      <c r="H1195" s="7" t="str">
        <f>_xlfn.XLOOKUP(C1195,Products!A1195:A1694,Products!C1195:C1694,"Category Missing",0)</f>
        <v>Category Missing</v>
      </c>
      <c r="I1195" s="11" t="str">
        <f>_xlfn.XLOOKUP(Orders!C1195,Products!A1195:A1694,Products!D1195:D1694,"Price Missing",0)</f>
        <v>Price Missing</v>
      </c>
      <c r="J1195" s="19">
        <f t="shared" si="18"/>
        <v>0</v>
      </c>
    </row>
    <row r="1196" spans="1:10" x14ac:dyDescent="0.35">
      <c r="A1196" s="4" t="s">
        <v>5216</v>
      </c>
      <c r="B1196" s="7" t="s">
        <v>1112</v>
      </c>
      <c r="C1196" s="7" t="s">
        <v>3536</v>
      </c>
      <c r="D1196" s="5">
        <v>8</v>
      </c>
      <c r="E1196" s="7" t="str">
        <f>_xlfn.XLOOKUP(B1196,Customers!A1196:A2195,Customers!B1196:B2195,"Customer Not Found",0)</f>
        <v>Customer Not Found</v>
      </c>
      <c r="F1196" s="7" t="str">
        <f>_xlfn.XLOOKUP(Orders!B1196,Customers!A1196:A2195,Customers!C1196:C2195,"Country not Found",0)</f>
        <v>Country not Found</v>
      </c>
      <c r="G1196" s="7" t="str">
        <f>_xlfn.XLOOKUP(C1196,Products!A1196:A1695,Products!B1196:B1695,"Product Missing",0)</f>
        <v>Product Missing</v>
      </c>
      <c r="H1196" s="7" t="str">
        <f>_xlfn.XLOOKUP(C1196,Products!A1196:A1695,Products!C1196:C1695,"Category Missing",0)</f>
        <v>Category Missing</v>
      </c>
      <c r="I1196" s="11" t="str">
        <f>_xlfn.XLOOKUP(Orders!C1196,Products!A1196:A1695,Products!D1196:D1695,"Price Missing",0)</f>
        <v>Price Missing</v>
      </c>
      <c r="J1196" s="19">
        <f t="shared" si="18"/>
        <v>0</v>
      </c>
    </row>
    <row r="1197" spans="1:10" x14ac:dyDescent="0.35">
      <c r="A1197" s="4" t="s">
        <v>5217</v>
      </c>
      <c r="B1197" s="7" t="s">
        <v>128</v>
      </c>
      <c r="C1197" s="7" t="s">
        <v>3482</v>
      </c>
      <c r="D1197" s="5">
        <v>7</v>
      </c>
      <c r="E1197" s="7" t="str">
        <f>_xlfn.XLOOKUP(B1197,Customers!A1197:A2196,Customers!B1197:B2196,"Customer Not Found",0)</f>
        <v>Customer Not Found</v>
      </c>
      <c r="F1197" s="7" t="str">
        <f>_xlfn.XLOOKUP(Orders!B1197,Customers!A1197:A2196,Customers!C1197:C2196,"Country not Found",0)</f>
        <v>Country not Found</v>
      </c>
      <c r="G1197" s="7" t="str">
        <f>_xlfn.XLOOKUP(C1197,Products!A1197:A1696,Products!B1197:B1696,"Product Missing",0)</f>
        <v>Product Missing</v>
      </c>
      <c r="H1197" s="7" t="str">
        <f>_xlfn.XLOOKUP(C1197,Products!A1197:A1696,Products!C1197:C1696,"Category Missing",0)</f>
        <v>Category Missing</v>
      </c>
      <c r="I1197" s="11" t="str">
        <f>_xlfn.XLOOKUP(Orders!C1197,Products!A1197:A1696,Products!D1197:D1696,"Price Missing",0)</f>
        <v>Price Missing</v>
      </c>
      <c r="J1197" s="19">
        <f t="shared" si="18"/>
        <v>0</v>
      </c>
    </row>
    <row r="1198" spans="1:10" x14ac:dyDescent="0.35">
      <c r="A1198" s="4" t="s">
        <v>5218</v>
      </c>
      <c r="B1198" s="7" t="s">
        <v>2804</v>
      </c>
      <c r="C1198" s="7" t="s">
        <v>3552</v>
      </c>
      <c r="D1198" s="5">
        <v>6</v>
      </c>
      <c r="E1198" s="7" t="str">
        <f>_xlfn.XLOOKUP(B1198,Customers!A1198:A2197,Customers!B1198:B2197,"Customer Not Found",0)</f>
        <v>Customer Not Found</v>
      </c>
      <c r="F1198" s="7" t="str">
        <f>_xlfn.XLOOKUP(Orders!B1198,Customers!A1198:A2197,Customers!C1198:C2197,"Country not Found",0)</f>
        <v>Country not Found</v>
      </c>
      <c r="G1198" s="7" t="str">
        <f>_xlfn.XLOOKUP(C1198,Products!A1198:A1697,Products!B1198:B1697,"Product Missing",0)</f>
        <v>Product Missing</v>
      </c>
      <c r="H1198" s="7" t="str">
        <f>_xlfn.XLOOKUP(C1198,Products!A1198:A1697,Products!C1198:C1697,"Category Missing",0)</f>
        <v>Category Missing</v>
      </c>
      <c r="I1198" s="11" t="str">
        <f>_xlfn.XLOOKUP(Orders!C1198,Products!A1198:A1697,Products!D1198:D1697,"Price Missing",0)</f>
        <v>Price Missing</v>
      </c>
      <c r="J1198" s="19">
        <f t="shared" si="18"/>
        <v>0</v>
      </c>
    </row>
    <row r="1199" spans="1:10" x14ac:dyDescent="0.35">
      <c r="A1199" s="4" t="s">
        <v>5219</v>
      </c>
      <c r="B1199" s="7" t="s">
        <v>212</v>
      </c>
      <c r="C1199" s="7" t="s">
        <v>3670</v>
      </c>
      <c r="D1199" s="5">
        <v>4</v>
      </c>
      <c r="E1199" s="7" t="str">
        <f>_xlfn.XLOOKUP(B1199,Customers!A1199:A2198,Customers!B1199:B2198,"Customer Not Found",0)</f>
        <v>Customer Not Found</v>
      </c>
      <c r="F1199" s="7" t="str">
        <f>_xlfn.XLOOKUP(Orders!B1199,Customers!A1199:A2198,Customers!C1199:C2198,"Country not Found",0)</f>
        <v>Country not Found</v>
      </c>
      <c r="G1199" s="7" t="str">
        <f>_xlfn.XLOOKUP(C1199,Products!A1199:A1698,Products!B1199:B1698,"Product Missing",0)</f>
        <v>Product Missing</v>
      </c>
      <c r="H1199" s="7" t="str">
        <f>_xlfn.XLOOKUP(C1199,Products!A1199:A1698,Products!C1199:C1698,"Category Missing",0)</f>
        <v>Category Missing</v>
      </c>
      <c r="I1199" s="11" t="str">
        <f>_xlfn.XLOOKUP(Orders!C1199,Products!A1199:A1698,Products!D1199:D1698,"Price Missing",0)</f>
        <v>Price Missing</v>
      </c>
      <c r="J1199" s="19">
        <f t="shared" si="18"/>
        <v>0</v>
      </c>
    </row>
    <row r="1200" spans="1:10" x14ac:dyDescent="0.35">
      <c r="A1200" s="4" t="s">
        <v>5220</v>
      </c>
      <c r="B1200" s="7" t="s">
        <v>779</v>
      </c>
      <c r="C1200" s="7" t="s">
        <v>3996</v>
      </c>
      <c r="D1200" s="5">
        <v>3</v>
      </c>
      <c r="E1200" s="7" t="str">
        <f>_xlfn.XLOOKUP(B1200,Customers!A1200:A2199,Customers!B1200:B2199,"Customer Not Found",0)</f>
        <v>Customer Not Found</v>
      </c>
      <c r="F1200" s="7" t="str">
        <f>_xlfn.XLOOKUP(Orders!B1200,Customers!A1200:A2199,Customers!C1200:C2199,"Country not Found",0)</f>
        <v>Country not Found</v>
      </c>
      <c r="G1200" s="7" t="str">
        <f>_xlfn.XLOOKUP(C1200,Products!A1200:A1699,Products!B1200:B1699,"Product Missing",0)</f>
        <v>Product Missing</v>
      </c>
      <c r="H1200" s="7" t="str">
        <f>_xlfn.XLOOKUP(C1200,Products!A1200:A1699,Products!C1200:C1699,"Category Missing",0)</f>
        <v>Category Missing</v>
      </c>
      <c r="I1200" s="11" t="str">
        <f>_xlfn.XLOOKUP(Orders!C1200,Products!A1200:A1699,Products!D1200:D1699,"Price Missing",0)</f>
        <v>Price Missing</v>
      </c>
      <c r="J1200" s="19">
        <f t="shared" si="18"/>
        <v>0</v>
      </c>
    </row>
    <row r="1201" spans="1:10" x14ac:dyDescent="0.35">
      <c r="A1201" s="4" t="s">
        <v>5221</v>
      </c>
      <c r="B1201" s="7" t="s">
        <v>1121</v>
      </c>
      <c r="C1201" s="7" t="s">
        <v>3622</v>
      </c>
      <c r="D1201" s="5">
        <v>2</v>
      </c>
      <c r="E1201" s="7" t="str">
        <f>_xlfn.XLOOKUP(B1201,Customers!A1201:A2200,Customers!B1201:B2200,"Customer Not Found",0)</f>
        <v>Customer Not Found</v>
      </c>
      <c r="F1201" s="7" t="str">
        <f>_xlfn.XLOOKUP(Orders!B1201,Customers!A1201:A2200,Customers!C1201:C2200,"Country not Found",0)</f>
        <v>Country not Found</v>
      </c>
      <c r="G1201" s="7" t="str">
        <f>_xlfn.XLOOKUP(C1201,Products!A1201:A1700,Products!B1201:B1700,"Product Missing",0)</f>
        <v>Product Missing</v>
      </c>
      <c r="H1201" s="7" t="str">
        <f>_xlfn.XLOOKUP(C1201,Products!A1201:A1700,Products!C1201:C1700,"Category Missing",0)</f>
        <v>Category Missing</v>
      </c>
      <c r="I1201" s="11" t="str">
        <f>_xlfn.XLOOKUP(Orders!C1201,Products!A1201:A1700,Products!D1201:D1700,"Price Missing",0)</f>
        <v>Price Missing</v>
      </c>
      <c r="J1201" s="19">
        <f t="shared" si="18"/>
        <v>0</v>
      </c>
    </row>
    <row r="1202" spans="1:10" x14ac:dyDescent="0.35">
      <c r="A1202" s="4" t="s">
        <v>5222</v>
      </c>
      <c r="B1202" s="7" t="s">
        <v>626</v>
      </c>
      <c r="C1202" s="7" t="s">
        <v>3134</v>
      </c>
      <c r="D1202" s="5">
        <v>10</v>
      </c>
      <c r="E1202" s="7" t="str">
        <f>_xlfn.XLOOKUP(B1202,Customers!A1202:A2201,Customers!B1202:B2201,"Customer Not Found",0)</f>
        <v>Customer Not Found</v>
      </c>
      <c r="F1202" s="7" t="str">
        <f>_xlfn.XLOOKUP(Orders!B1202,Customers!A1202:A2201,Customers!C1202:C2201,"Country not Found",0)</f>
        <v>Country not Found</v>
      </c>
      <c r="G1202" s="7" t="str">
        <f>_xlfn.XLOOKUP(C1202,Products!A1202:A1701,Products!B1202:B1701,"Product Missing",0)</f>
        <v>Product Missing</v>
      </c>
      <c r="H1202" s="7" t="str">
        <f>_xlfn.XLOOKUP(C1202,Products!A1202:A1701,Products!C1202:C1701,"Category Missing",0)</f>
        <v>Category Missing</v>
      </c>
      <c r="I1202" s="11" t="str">
        <f>_xlfn.XLOOKUP(Orders!C1202,Products!A1202:A1701,Products!D1202:D1701,"Price Missing",0)</f>
        <v>Price Missing</v>
      </c>
      <c r="J1202" s="19">
        <f t="shared" si="18"/>
        <v>0</v>
      </c>
    </row>
    <row r="1203" spans="1:10" x14ac:dyDescent="0.35">
      <c r="A1203" s="4" t="s">
        <v>5223</v>
      </c>
      <c r="B1203" s="7" t="s">
        <v>1487</v>
      </c>
      <c r="C1203" s="7" t="s">
        <v>3422</v>
      </c>
      <c r="D1203" s="5">
        <v>1</v>
      </c>
      <c r="E1203" s="7" t="str">
        <f>_xlfn.XLOOKUP(B1203,Customers!A1203:A2202,Customers!B1203:B2202,"Customer Not Found",0)</f>
        <v>Customer Not Found</v>
      </c>
      <c r="F1203" s="7" t="str">
        <f>_xlfn.XLOOKUP(Orders!B1203,Customers!A1203:A2202,Customers!C1203:C2202,"Country not Found",0)</f>
        <v>Country not Found</v>
      </c>
      <c r="G1203" s="7" t="str">
        <f>_xlfn.XLOOKUP(C1203,Products!A1203:A1702,Products!B1203:B1702,"Product Missing",0)</f>
        <v>Product Missing</v>
      </c>
      <c r="H1203" s="7" t="str">
        <f>_xlfn.XLOOKUP(C1203,Products!A1203:A1702,Products!C1203:C1702,"Category Missing",0)</f>
        <v>Category Missing</v>
      </c>
      <c r="I1203" s="11" t="str">
        <f>_xlfn.XLOOKUP(Orders!C1203,Products!A1203:A1702,Products!D1203:D1702,"Price Missing",0)</f>
        <v>Price Missing</v>
      </c>
      <c r="J1203" s="19">
        <f t="shared" si="18"/>
        <v>0</v>
      </c>
    </row>
    <row r="1204" spans="1:10" x14ac:dyDescent="0.35">
      <c r="A1204" s="4" t="s">
        <v>5224</v>
      </c>
      <c r="B1204" s="7" t="s">
        <v>1361</v>
      </c>
      <c r="C1204" s="7" t="s">
        <v>3818</v>
      </c>
      <c r="D1204" s="5">
        <v>6</v>
      </c>
      <c r="E1204" s="7" t="str">
        <f>_xlfn.XLOOKUP(B1204,Customers!A1204:A2203,Customers!B1204:B2203,"Customer Not Found",0)</f>
        <v>Customer Not Found</v>
      </c>
      <c r="F1204" s="7" t="str">
        <f>_xlfn.XLOOKUP(Orders!B1204,Customers!A1204:A2203,Customers!C1204:C2203,"Country not Found",0)</f>
        <v>Country not Found</v>
      </c>
      <c r="G1204" s="7" t="str">
        <f>_xlfn.XLOOKUP(C1204,Products!A1204:A1703,Products!B1204:B1703,"Product Missing",0)</f>
        <v>Product Missing</v>
      </c>
      <c r="H1204" s="7" t="str">
        <f>_xlfn.XLOOKUP(C1204,Products!A1204:A1703,Products!C1204:C1703,"Category Missing",0)</f>
        <v>Category Missing</v>
      </c>
      <c r="I1204" s="11" t="str">
        <f>_xlfn.XLOOKUP(Orders!C1204,Products!A1204:A1703,Products!D1204:D1703,"Price Missing",0)</f>
        <v>Price Missing</v>
      </c>
      <c r="J1204" s="19">
        <f t="shared" si="18"/>
        <v>0</v>
      </c>
    </row>
    <row r="1205" spans="1:10" x14ac:dyDescent="0.35">
      <c r="A1205" s="4" t="s">
        <v>5225</v>
      </c>
      <c r="B1205" s="7" t="s">
        <v>2645</v>
      </c>
      <c r="C1205" s="7" t="s">
        <v>3440</v>
      </c>
      <c r="D1205" s="5">
        <v>8</v>
      </c>
      <c r="E1205" s="7" t="str">
        <f>_xlfn.XLOOKUP(B1205,Customers!A1205:A2204,Customers!B1205:B2204,"Customer Not Found",0)</f>
        <v>Customer Not Found</v>
      </c>
      <c r="F1205" s="7" t="str">
        <f>_xlfn.XLOOKUP(Orders!B1205,Customers!A1205:A2204,Customers!C1205:C2204,"Country not Found",0)</f>
        <v>Country not Found</v>
      </c>
      <c r="G1205" s="7" t="str">
        <f>_xlfn.XLOOKUP(C1205,Products!A1205:A1704,Products!B1205:B1704,"Product Missing",0)</f>
        <v>Product Missing</v>
      </c>
      <c r="H1205" s="7" t="str">
        <f>_xlfn.XLOOKUP(C1205,Products!A1205:A1704,Products!C1205:C1704,"Category Missing",0)</f>
        <v>Category Missing</v>
      </c>
      <c r="I1205" s="11" t="str">
        <f>_xlfn.XLOOKUP(Orders!C1205,Products!A1205:A1704,Products!D1205:D1704,"Price Missing",0)</f>
        <v>Price Missing</v>
      </c>
      <c r="J1205" s="19">
        <f t="shared" si="18"/>
        <v>0</v>
      </c>
    </row>
    <row r="1206" spans="1:10" x14ac:dyDescent="0.35">
      <c r="A1206" s="4" t="s">
        <v>5226</v>
      </c>
      <c r="B1206" s="7" t="s">
        <v>2945</v>
      </c>
      <c r="C1206" s="7" t="s">
        <v>3758</v>
      </c>
      <c r="D1206" s="5">
        <v>6</v>
      </c>
      <c r="E1206" s="7" t="str">
        <f>_xlfn.XLOOKUP(B1206,Customers!A1206:A2205,Customers!B1206:B2205,"Customer Not Found",0)</f>
        <v>Customer Not Found</v>
      </c>
      <c r="F1206" s="7" t="str">
        <f>_xlfn.XLOOKUP(Orders!B1206,Customers!A1206:A2205,Customers!C1206:C2205,"Country not Found",0)</f>
        <v>Country not Found</v>
      </c>
      <c r="G1206" s="7" t="str">
        <f>_xlfn.XLOOKUP(C1206,Products!A1206:A1705,Products!B1206:B1705,"Product Missing",0)</f>
        <v>Product Missing</v>
      </c>
      <c r="H1206" s="7" t="str">
        <f>_xlfn.XLOOKUP(C1206,Products!A1206:A1705,Products!C1206:C1705,"Category Missing",0)</f>
        <v>Category Missing</v>
      </c>
      <c r="I1206" s="11" t="str">
        <f>_xlfn.XLOOKUP(Orders!C1206,Products!A1206:A1705,Products!D1206:D1705,"Price Missing",0)</f>
        <v>Price Missing</v>
      </c>
      <c r="J1206" s="19">
        <f t="shared" si="18"/>
        <v>0</v>
      </c>
    </row>
    <row r="1207" spans="1:10" x14ac:dyDescent="0.35">
      <c r="A1207" s="4" t="s">
        <v>5227</v>
      </c>
      <c r="B1207" s="7" t="s">
        <v>1223</v>
      </c>
      <c r="C1207" s="7" t="s">
        <v>3644</v>
      </c>
      <c r="D1207" s="5">
        <v>6</v>
      </c>
      <c r="E1207" s="7" t="str">
        <f>_xlfn.XLOOKUP(B1207,Customers!A1207:A2206,Customers!B1207:B2206,"Customer Not Found",0)</f>
        <v>Customer Not Found</v>
      </c>
      <c r="F1207" s="7" t="str">
        <f>_xlfn.XLOOKUP(Orders!B1207,Customers!A1207:A2206,Customers!C1207:C2206,"Country not Found",0)</f>
        <v>Country not Found</v>
      </c>
      <c r="G1207" s="7" t="str">
        <f>_xlfn.XLOOKUP(C1207,Products!A1207:A1706,Products!B1207:B1706,"Product Missing",0)</f>
        <v>Product Missing</v>
      </c>
      <c r="H1207" s="7" t="str">
        <f>_xlfn.XLOOKUP(C1207,Products!A1207:A1706,Products!C1207:C1706,"Category Missing",0)</f>
        <v>Category Missing</v>
      </c>
      <c r="I1207" s="11" t="str">
        <f>_xlfn.XLOOKUP(Orders!C1207,Products!A1207:A1706,Products!D1207:D1706,"Price Missing",0)</f>
        <v>Price Missing</v>
      </c>
      <c r="J1207" s="19">
        <f t="shared" si="18"/>
        <v>0</v>
      </c>
    </row>
    <row r="1208" spans="1:10" x14ac:dyDescent="0.35">
      <c r="A1208" s="4" t="s">
        <v>5228</v>
      </c>
      <c r="B1208" s="7" t="s">
        <v>314</v>
      </c>
      <c r="C1208" s="7" t="s">
        <v>3474</v>
      </c>
      <c r="D1208" s="5">
        <v>9</v>
      </c>
      <c r="E1208" s="7" t="str">
        <f>_xlfn.XLOOKUP(B1208,Customers!A1208:A2207,Customers!B1208:B2207,"Customer Not Found",0)</f>
        <v>Customer Not Found</v>
      </c>
      <c r="F1208" s="7" t="str">
        <f>_xlfn.XLOOKUP(Orders!B1208,Customers!A1208:A2207,Customers!C1208:C2207,"Country not Found",0)</f>
        <v>Country not Found</v>
      </c>
      <c r="G1208" s="7" t="str">
        <f>_xlfn.XLOOKUP(C1208,Products!A1208:A1707,Products!B1208:B1707,"Product Missing",0)</f>
        <v>Product Missing</v>
      </c>
      <c r="H1208" s="7" t="str">
        <f>_xlfn.XLOOKUP(C1208,Products!A1208:A1707,Products!C1208:C1707,"Category Missing",0)</f>
        <v>Category Missing</v>
      </c>
      <c r="I1208" s="11" t="str">
        <f>_xlfn.XLOOKUP(Orders!C1208,Products!A1208:A1707,Products!D1208:D1707,"Price Missing",0)</f>
        <v>Price Missing</v>
      </c>
      <c r="J1208" s="19">
        <f t="shared" si="18"/>
        <v>0</v>
      </c>
    </row>
    <row r="1209" spans="1:10" x14ac:dyDescent="0.35">
      <c r="A1209" s="4" t="s">
        <v>5229</v>
      </c>
      <c r="B1209" s="7" t="s">
        <v>851</v>
      </c>
      <c r="C1209" s="7" t="s">
        <v>3214</v>
      </c>
      <c r="D1209" s="5">
        <v>9</v>
      </c>
      <c r="E1209" s="7" t="str">
        <f>_xlfn.XLOOKUP(B1209,Customers!A1209:A2208,Customers!B1209:B2208,"Customer Not Found",0)</f>
        <v>Customer Not Found</v>
      </c>
      <c r="F1209" s="7" t="str">
        <f>_xlfn.XLOOKUP(Orders!B1209,Customers!A1209:A2208,Customers!C1209:C2208,"Country not Found",0)</f>
        <v>Country not Found</v>
      </c>
      <c r="G1209" s="7" t="str">
        <f>_xlfn.XLOOKUP(C1209,Products!A1209:A1708,Products!B1209:B1708,"Product Missing",0)</f>
        <v>Product Missing</v>
      </c>
      <c r="H1209" s="7" t="str">
        <f>_xlfn.XLOOKUP(C1209,Products!A1209:A1708,Products!C1209:C1708,"Category Missing",0)</f>
        <v>Category Missing</v>
      </c>
      <c r="I1209" s="11" t="str">
        <f>_xlfn.XLOOKUP(Orders!C1209,Products!A1209:A1708,Products!D1209:D1708,"Price Missing",0)</f>
        <v>Price Missing</v>
      </c>
      <c r="J1209" s="19">
        <f t="shared" si="18"/>
        <v>0</v>
      </c>
    </row>
    <row r="1210" spans="1:10" x14ac:dyDescent="0.35">
      <c r="A1210" s="4" t="s">
        <v>5230</v>
      </c>
      <c r="B1210" s="7" t="s">
        <v>2213</v>
      </c>
      <c r="C1210" s="7" t="s">
        <v>3644</v>
      </c>
      <c r="D1210" s="5">
        <v>3</v>
      </c>
      <c r="E1210" s="7" t="str">
        <f>_xlfn.XLOOKUP(B1210,Customers!A1210:A2209,Customers!B1210:B2209,"Customer Not Found",0)</f>
        <v>Customer Not Found</v>
      </c>
      <c r="F1210" s="7" t="str">
        <f>_xlfn.XLOOKUP(Orders!B1210,Customers!A1210:A2209,Customers!C1210:C2209,"Country not Found",0)</f>
        <v>Country not Found</v>
      </c>
      <c r="G1210" s="7" t="str">
        <f>_xlfn.XLOOKUP(C1210,Products!A1210:A1709,Products!B1210:B1709,"Product Missing",0)</f>
        <v>Product Missing</v>
      </c>
      <c r="H1210" s="7" t="str">
        <f>_xlfn.XLOOKUP(C1210,Products!A1210:A1709,Products!C1210:C1709,"Category Missing",0)</f>
        <v>Category Missing</v>
      </c>
      <c r="I1210" s="11" t="str">
        <f>_xlfn.XLOOKUP(Orders!C1210,Products!A1210:A1709,Products!D1210:D1709,"Price Missing",0)</f>
        <v>Price Missing</v>
      </c>
      <c r="J1210" s="19">
        <f t="shared" si="18"/>
        <v>0</v>
      </c>
    </row>
    <row r="1211" spans="1:10" x14ac:dyDescent="0.35">
      <c r="A1211" s="4" t="s">
        <v>5231</v>
      </c>
      <c r="B1211" s="7" t="s">
        <v>2981</v>
      </c>
      <c r="C1211" s="7" t="s">
        <v>3242</v>
      </c>
      <c r="D1211" s="5">
        <v>2</v>
      </c>
      <c r="E1211" s="7" t="str">
        <f>_xlfn.XLOOKUP(B1211,Customers!A1211:A2210,Customers!B1211:B2210,"Customer Not Found",0)</f>
        <v>Customer Not Found</v>
      </c>
      <c r="F1211" s="7" t="str">
        <f>_xlfn.XLOOKUP(Orders!B1211,Customers!A1211:A2210,Customers!C1211:C2210,"Country not Found",0)</f>
        <v>Country not Found</v>
      </c>
      <c r="G1211" s="7" t="str">
        <f>_xlfn.XLOOKUP(C1211,Products!A1211:A1710,Products!B1211:B1710,"Product Missing",0)</f>
        <v>Product Missing</v>
      </c>
      <c r="H1211" s="7" t="str">
        <f>_xlfn.XLOOKUP(C1211,Products!A1211:A1710,Products!C1211:C1710,"Category Missing",0)</f>
        <v>Category Missing</v>
      </c>
      <c r="I1211" s="11" t="str">
        <f>_xlfn.XLOOKUP(Orders!C1211,Products!A1211:A1710,Products!D1211:D1710,"Price Missing",0)</f>
        <v>Price Missing</v>
      </c>
      <c r="J1211" s="19">
        <f t="shared" si="18"/>
        <v>0</v>
      </c>
    </row>
    <row r="1212" spans="1:10" x14ac:dyDescent="0.35">
      <c r="A1212" s="4" t="s">
        <v>5232</v>
      </c>
      <c r="B1212" s="7" t="s">
        <v>1883</v>
      </c>
      <c r="C1212" s="7" t="s">
        <v>3716</v>
      </c>
      <c r="D1212" s="5">
        <v>7</v>
      </c>
      <c r="E1212" s="7" t="str">
        <f>_xlfn.XLOOKUP(B1212,Customers!A1212:A2211,Customers!B1212:B2211,"Customer Not Found",0)</f>
        <v>Customer Not Found</v>
      </c>
      <c r="F1212" s="7" t="str">
        <f>_xlfn.XLOOKUP(Orders!B1212,Customers!A1212:A2211,Customers!C1212:C2211,"Country not Found",0)</f>
        <v>Country not Found</v>
      </c>
      <c r="G1212" s="7" t="str">
        <f>_xlfn.XLOOKUP(C1212,Products!A1212:A1711,Products!B1212:B1711,"Product Missing",0)</f>
        <v>Product Missing</v>
      </c>
      <c r="H1212" s="7" t="str">
        <f>_xlfn.XLOOKUP(C1212,Products!A1212:A1711,Products!C1212:C1711,"Category Missing",0)</f>
        <v>Category Missing</v>
      </c>
      <c r="I1212" s="11" t="str">
        <f>_xlfn.XLOOKUP(Orders!C1212,Products!A1212:A1711,Products!D1212:D1711,"Price Missing",0)</f>
        <v>Price Missing</v>
      </c>
      <c r="J1212" s="19">
        <f t="shared" si="18"/>
        <v>0</v>
      </c>
    </row>
    <row r="1213" spans="1:10" x14ac:dyDescent="0.35">
      <c r="A1213" s="4" t="s">
        <v>5233</v>
      </c>
      <c r="B1213" s="7" t="s">
        <v>1946</v>
      </c>
      <c r="C1213" s="7" t="s">
        <v>3720</v>
      </c>
      <c r="D1213" s="5">
        <v>1</v>
      </c>
      <c r="E1213" s="7" t="str">
        <f>_xlfn.XLOOKUP(B1213,Customers!A1213:A2212,Customers!B1213:B2212,"Customer Not Found",0)</f>
        <v>Customer Not Found</v>
      </c>
      <c r="F1213" s="7" t="str">
        <f>_xlfn.XLOOKUP(Orders!B1213,Customers!A1213:A2212,Customers!C1213:C2212,"Country not Found",0)</f>
        <v>Country not Found</v>
      </c>
      <c r="G1213" s="7" t="str">
        <f>_xlfn.XLOOKUP(C1213,Products!A1213:A1712,Products!B1213:B1712,"Product Missing",0)</f>
        <v>Product Missing</v>
      </c>
      <c r="H1213" s="7" t="str">
        <f>_xlfn.XLOOKUP(C1213,Products!A1213:A1712,Products!C1213:C1712,"Category Missing",0)</f>
        <v>Category Missing</v>
      </c>
      <c r="I1213" s="11" t="str">
        <f>_xlfn.XLOOKUP(Orders!C1213,Products!A1213:A1712,Products!D1213:D1712,"Price Missing",0)</f>
        <v>Price Missing</v>
      </c>
      <c r="J1213" s="19">
        <f t="shared" si="18"/>
        <v>0</v>
      </c>
    </row>
    <row r="1214" spans="1:10" x14ac:dyDescent="0.35">
      <c r="A1214" s="4" t="s">
        <v>5234</v>
      </c>
      <c r="B1214" s="7" t="s">
        <v>119</v>
      </c>
      <c r="C1214" s="7" t="s">
        <v>3694</v>
      </c>
      <c r="D1214" s="5">
        <v>8</v>
      </c>
      <c r="E1214" s="7" t="str">
        <f>_xlfn.XLOOKUP(B1214,Customers!A1214:A2213,Customers!B1214:B2213,"Customer Not Found",0)</f>
        <v>Customer Not Found</v>
      </c>
      <c r="F1214" s="7" t="str">
        <f>_xlfn.XLOOKUP(Orders!B1214,Customers!A1214:A2213,Customers!C1214:C2213,"Country not Found",0)</f>
        <v>Country not Found</v>
      </c>
      <c r="G1214" s="7" t="str">
        <f>_xlfn.XLOOKUP(C1214,Products!A1214:A1713,Products!B1214:B1713,"Product Missing",0)</f>
        <v>Product Missing</v>
      </c>
      <c r="H1214" s="7" t="str">
        <f>_xlfn.XLOOKUP(C1214,Products!A1214:A1713,Products!C1214:C1713,"Category Missing",0)</f>
        <v>Category Missing</v>
      </c>
      <c r="I1214" s="11" t="str">
        <f>_xlfn.XLOOKUP(Orders!C1214,Products!A1214:A1713,Products!D1214:D1713,"Price Missing",0)</f>
        <v>Price Missing</v>
      </c>
      <c r="J1214" s="19">
        <f t="shared" si="18"/>
        <v>0</v>
      </c>
    </row>
    <row r="1215" spans="1:10" x14ac:dyDescent="0.35">
      <c r="A1215" s="4" t="s">
        <v>5235</v>
      </c>
      <c r="B1215" s="7" t="s">
        <v>1802</v>
      </c>
      <c r="C1215" s="7" t="s">
        <v>3932</v>
      </c>
      <c r="D1215" s="5">
        <v>8</v>
      </c>
      <c r="E1215" s="7" t="str">
        <f>_xlfn.XLOOKUP(B1215,Customers!A1215:A2214,Customers!B1215:B2214,"Customer Not Found",0)</f>
        <v>Customer Not Found</v>
      </c>
      <c r="F1215" s="7" t="str">
        <f>_xlfn.XLOOKUP(Orders!B1215,Customers!A1215:A2214,Customers!C1215:C2214,"Country not Found",0)</f>
        <v>Country not Found</v>
      </c>
      <c r="G1215" s="7" t="str">
        <f>_xlfn.XLOOKUP(C1215,Products!A1215:A1714,Products!B1215:B1714,"Product Missing",0)</f>
        <v>Product Missing</v>
      </c>
      <c r="H1215" s="7" t="str">
        <f>_xlfn.XLOOKUP(C1215,Products!A1215:A1714,Products!C1215:C1714,"Category Missing",0)</f>
        <v>Category Missing</v>
      </c>
      <c r="I1215" s="11" t="str">
        <f>_xlfn.XLOOKUP(Orders!C1215,Products!A1215:A1714,Products!D1215:D1714,"Price Missing",0)</f>
        <v>Price Missing</v>
      </c>
      <c r="J1215" s="19">
        <f t="shared" si="18"/>
        <v>0</v>
      </c>
    </row>
    <row r="1216" spans="1:10" x14ac:dyDescent="0.35">
      <c r="A1216" s="4" t="s">
        <v>5236</v>
      </c>
      <c r="B1216" s="7" t="s">
        <v>2267</v>
      </c>
      <c r="C1216" s="7" t="s">
        <v>3956</v>
      </c>
      <c r="D1216" s="5">
        <v>1</v>
      </c>
      <c r="E1216" s="7" t="str">
        <f>_xlfn.XLOOKUP(B1216,Customers!A1216:A2215,Customers!B1216:B2215,"Customer Not Found",0)</f>
        <v>Customer Not Found</v>
      </c>
      <c r="F1216" s="7" t="str">
        <f>_xlfn.XLOOKUP(Orders!B1216,Customers!A1216:A2215,Customers!C1216:C2215,"Country not Found",0)</f>
        <v>Country not Found</v>
      </c>
      <c r="G1216" s="7" t="str">
        <f>_xlfn.XLOOKUP(C1216,Products!A1216:A1715,Products!B1216:B1715,"Product Missing",0)</f>
        <v>Product Missing</v>
      </c>
      <c r="H1216" s="7" t="str">
        <f>_xlfn.XLOOKUP(C1216,Products!A1216:A1715,Products!C1216:C1715,"Category Missing",0)</f>
        <v>Category Missing</v>
      </c>
      <c r="I1216" s="11" t="str">
        <f>_xlfn.XLOOKUP(Orders!C1216,Products!A1216:A1715,Products!D1216:D1715,"Price Missing",0)</f>
        <v>Price Missing</v>
      </c>
      <c r="J1216" s="19">
        <f t="shared" si="18"/>
        <v>0</v>
      </c>
    </row>
    <row r="1217" spans="1:10" x14ac:dyDescent="0.35">
      <c r="A1217" s="4" t="s">
        <v>5237</v>
      </c>
      <c r="B1217" s="7" t="s">
        <v>968</v>
      </c>
      <c r="C1217" s="7" t="s">
        <v>3558</v>
      </c>
      <c r="D1217" s="5">
        <v>8</v>
      </c>
      <c r="E1217" s="7" t="str">
        <f>_xlfn.XLOOKUP(B1217,Customers!A1217:A2216,Customers!B1217:B2216,"Customer Not Found",0)</f>
        <v>Customer Not Found</v>
      </c>
      <c r="F1217" s="7" t="str">
        <f>_xlfn.XLOOKUP(Orders!B1217,Customers!A1217:A2216,Customers!C1217:C2216,"Country not Found",0)</f>
        <v>Country not Found</v>
      </c>
      <c r="G1217" s="7" t="str">
        <f>_xlfn.XLOOKUP(C1217,Products!A1217:A1716,Products!B1217:B1716,"Product Missing",0)</f>
        <v>Product Missing</v>
      </c>
      <c r="H1217" s="7" t="str">
        <f>_xlfn.XLOOKUP(C1217,Products!A1217:A1716,Products!C1217:C1716,"Category Missing",0)</f>
        <v>Category Missing</v>
      </c>
      <c r="I1217" s="11" t="str">
        <f>_xlfn.XLOOKUP(Orders!C1217,Products!A1217:A1716,Products!D1217:D1716,"Price Missing",0)</f>
        <v>Price Missing</v>
      </c>
      <c r="J1217" s="19">
        <f t="shared" si="18"/>
        <v>0</v>
      </c>
    </row>
    <row r="1218" spans="1:10" x14ac:dyDescent="0.35">
      <c r="A1218" s="4" t="s">
        <v>5238</v>
      </c>
      <c r="B1218" s="7" t="s">
        <v>617</v>
      </c>
      <c r="C1218" s="7" t="s">
        <v>3830</v>
      </c>
      <c r="D1218" s="5">
        <v>7</v>
      </c>
      <c r="E1218" s="7" t="str">
        <f>_xlfn.XLOOKUP(B1218,Customers!A1218:A2217,Customers!B1218:B2217,"Customer Not Found",0)</f>
        <v>Customer Not Found</v>
      </c>
      <c r="F1218" s="7" t="str">
        <f>_xlfn.XLOOKUP(Orders!B1218,Customers!A1218:A2217,Customers!C1218:C2217,"Country not Found",0)</f>
        <v>Country not Found</v>
      </c>
      <c r="G1218" s="7" t="str">
        <f>_xlfn.XLOOKUP(C1218,Products!A1218:A1717,Products!B1218:B1717,"Product Missing",0)</f>
        <v>Product Missing</v>
      </c>
      <c r="H1218" s="7" t="str">
        <f>_xlfn.XLOOKUP(C1218,Products!A1218:A1717,Products!C1218:C1717,"Category Missing",0)</f>
        <v>Category Missing</v>
      </c>
      <c r="I1218" s="11" t="str">
        <f>_xlfn.XLOOKUP(Orders!C1218,Products!A1218:A1717,Products!D1218:D1717,"Price Missing",0)</f>
        <v>Price Missing</v>
      </c>
      <c r="J1218" s="19">
        <f t="shared" si="18"/>
        <v>0</v>
      </c>
    </row>
    <row r="1219" spans="1:10" x14ac:dyDescent="0.35">
      <c r="A1219" s="4" t="s">
        <v>5239</v>
      </c>
      <c r="B1219" s="7" t="s">
        <v>2435</v>
      </c>
      <c r="C1219" s="7" t="s">
        <v>3158</v>
      </c>
      <c r="D1219" s="5">
        <v>5</v>
      </c>
      <c r="E1219" s="7" t="str">
        <f>_xlfn.XLOOKUP(B1219,Customers!A1219:A2218,Customers!B1219:B2218,"Customer Not Found",0)</f>
        <v>Customer Not Found</v>
      </c>
      <c r="F1219" s="7" t="str">
        <f>_xlfn.XLOOKUP(Orders!B1219,Customers!A1219:A2218,Customers!C1219:C2218,"Country not Found",0)</f>
        <v>Country not Found</v>
      </c>
      <c r="G1219" s="7" t="str">
        <f>_xlfn.XLOOKUP(C1219,Products!A1219:A1718,Products!B1219:B1718,"Product Missing",0)</f>
        <v>Product Missing</v>
      </c>
      <c r="H1219" s="7" t="str">
        <f>_xlfn.XLOOKUP(C1219,Products!A1219:A1718,Products!C1219:C1718,"Category Missing",0)</f>
        <v>Category Missing</v>
      </c>
      <c r="I1219" s="11" t="str">
        <f>_xlfn.XLOOKUP(Orders!C1219,Products!A1219:A1718,Products!D1219:D1718,"Price Missing",0)</f>
        <v>Price Missing</v>
      </c>
      <c r="J1219" s="19">
        <f t="shared" ref="J1219:J1282" si="19">IFERROR(I1219*D1219,0)</f>
        <v>0</v>
      </c>
    </row>
    <row r="1220" spans="1:10" x14ac:dyDescent="0.35">
      <c r="A1220" s="4" t="s">
        <v>5240</v>
      </c>
      <c r="B1220" s="7" t="s">
        <v>2570</v>
      </c>
      <c r="C1220" s="7" t="s">
        <v>3602</v>
      </c>
      <c r="D1220" s="5">
        <v>5</v>
      </c>
      <c r="E1220" s="7" t="str">
        <f>_xlfn.XLOOKUP(B1220,Customers!A1220:A2219,Customers!B1220:B2219,"Customer Not Found",0)</f>
        <v>Customer Not Found</v>
      </c>
      <c r="F1220" s="7" t="str">
        <f>_xlfn.XLOOKUP(Orders!B1220,Customers!A1220:A2219,Customers!C1220:C2219,"Country not Found",0)</f>
        <v>Country not Found</v>
      </c>
      <c r="G1220" s="7" t="str">
        <f>_xlfn.XLOOKUP(C1220,Products!A1220:A1719,Products!B1220:B1719,"Product Missing",0)</f>
        <v>Product Missing</v>
      </c>
      <c r="H1220" s="7" t="str">
        <f>_xlfn.XLOOKUP(C1220,Products!A1220:A1719,Products!C1220:C1719,"Category Missing",0)</f>
        <v>Category Missing</v>
      </c>
      <c r="I1220" s="11" t="str">
        <f>_xlfn.XLOOKUP(Orders!C1220,Products!A1220:A1719,Products!D1220:D1719,"Price Missing",0)</f>
        <v>Price Missing</v>
      </c>
      <c r="J1220" s="19">
        <f t="shared" si="19"/>
        <v>0</v>
      </c>
    </row>
    <row r="1221" spans="1:10" x14ac:dyDescent="0.35">
      <c r="A1221" s="4" t="s">
        <v>5241</v>
      </c>
      <c r="B1221" s="7" t="s">
        <v>2924</v>
      </c>
      <c r="C1221" s="7" t="s">
        <v>3212</v>
      </c>
      <c r="D1221" s="5">
        <v>6</v>
      </c>
      <c r="E1221" s="7" t="str">
        <f>_xlfn.XLOOKUP(B1221,Customers!A1221:A2220,Customers!B1221:B2220,"Customer Not Found",0)</f>
        <v>Customer Not Found</v>
      </c>
      <c r="F1221" s="7" t="str">
        <f>_xlfn.XLOOKUP(Orders!B1221,Customers!A1221:A2220,Customers!C1221:C2220,"Country not Found",0)</f>
        <v>Country not Found</v>
      </c>
      <c r="G1221" s="7" t="str">
        <f>_xlfn.XLOOKUP(C1221,Products!A1221:A1720,Products!B1221:B1720,"Product Missing",0)</f>
        <v>Product Missing</v>
      </c>
      <c r="H1221" s="7" t="str">
        <f>_xlfn.XLOOKUP(C1221,Products!A1221:A1720,Products!C1221:C1720,"Category Missing",0)</f>
        <v>Category Missing</v>
      </c>
      <c r="I1221" s="11" t="str">
        <f>_xlfn.XLOOKUP(Orders!C1221,Products!A1221:A1720,Products!D1221:D1720,"Price Missing",0)</f>
        <v>Price Missing</v>
      </c>
      <c r="J1221" s="19">
        <f t="shared" si="19"/>
        <v>0</v>
      </c>
    </row>
    <row r="1222" spans="1:10" x14ac:dyDescent="0.35">
      <c r="A1222" s="4" t="s">
        <v>5242</v>
      </c>
      <c r="B1222" s="7" t="s">
        <v>2105</v>
      </c>
      <c r="C1222" s="7" t="s">
        <v>3378</v>
      </c>
      <c r="D1222" s="5">
        <v>5</v>
      </c>
      <c r="E1222" s="7" t="str">
        <f>_xlfn.XLOOKUP(B1222,Customers!A1222:A2221,Customers!B1222:B2221,"Customer Not Found",0)</f>
        <v>Customer Not Found</v>
      </c>
      <c r="F1222" s="7" t="str">
        <f>_xlfn.XLOOKUP(Orders!B1222,Customers!A1222:A2221,Customers!C1222:C2221,"Country not Found",0)</f>
        <v>Country not Found</v>
      </c>
      <c r="G1222" s="7" t="str">
        <f>_xlfn.XLOOKUP(C1222,Products!A1222:A1721,Products!B1222:B1721,"Product Missing",0)</f>
        <v>Product Missing</v>
      </c>
      <c r="H1222" s="7" t="str">
        <f>_xlfn.XLOOKUP(C1222,Products!A1222:A1721,Products!C1222:C1721,"Category Missing",0)</f>
        <v>Category Missing</v>
      </c>
      <c r="I1222" s="11" t="str">
        <f>_xlfn.XLOOKUP(Orders!C1222,Products!A1222:A1721,Products!D1222:D1721,"Price Missing",0)</f>
        <v>Price Missing</v>
      </c>
      <c r="J1222" s="19">
        <f t="shared" si="19"/>
        <v>0</v>
      </c>
    </row>
    <row r="1223" spans="1:10" x14ac:dyDescent="0.35">
      <c r="A1223" s="4" t="s">
        <v>5243</v>
      </c>
      <c r="B1223" s="7" t="s">
        <v>461</v>
      </c>
      <c r="C1223" s="7" t="s">
        <v>3212</v>
      </c>
      <c r="D1223" s="5">
        <v>5</v>
      </c>
      <c r="E1223" s="7" t="str">
        <f>_xlfn.XLOOKUP(B1223,Customers!A1223:A2222,Customers!B1223:B2222,"Customer Not Found",0)</f>
        <v>Customer Not Found</v>
      </c>
      <c r="F1223" s="7" t="str">
        <f>_xlfn.XLOOKUP(Orders!B1223,Customers!A1223:A2222,Customers!C1223:C2222,"Country not Found",0)</f>
        <v>Country not Found</v>
      </c>
      <c r="G1223" s="7" t="str">
        <f>_xlfn.XLOOKUP(C1223,Products!A1223:A1722,Products!B1223:B1722,"Product Missing",0)</f>
        <v>Product Missing</v>
      </c>
      <c r="H1223" s="7" t="str">
        <f>_xlfn.XLOOKUP(C1223,Products!A1223:A1722,Products!C1223:C1722,"Category Missing",0)</f>
        <v>Category Missing</v>
      </c>
      <c r="I1223" s="11" t="str">
        <f>_xlfn.XLOOKUP(Orders!C1223,Products!A1223:A1722,Products!D1223:D1722,"Price Missing",0)</f>
        <v>Price Missing</v>
      </c>
      <c r="J1223" s="19">
        <f t="shared" si="19"/>
        <v>0</v>
      </c>
    </row>
    <row r="1224" spans="1:10" x14ac:dyDescent="0.35">
      <c r="A1224" s="4" t="s">
        <v>5244</v>
      </c>
      <c r="B1224" s="7" t="s">
        <v>2048</v>
      </c>
      <c r="C1224" s="7" t="s">
        <v>3682</v>
      </c>
      <c r="D1224" s="5">
        <v>6</v>
      </c>
      <c r="E1224" s="7" t="str">
        <f>_xlfn.XLOOKUP(B1224,Customers!A1224:A2223,Customers!B1224:B2223,"Customer Not Found",0)</f>
        <v>Customer Not Found</v>
      </c>
      <c r="F1224" s="7" t="str">
        <f>_xlfn.XLOOKUP(Orders!B1224,Customers!A1224:A2223,Customers!C1224:C2223,"Country not Found",0)</f>
        <v>Country not Found</v>
      </c>
      <c r="G1224" s="7" t="str">
        <f>_xlfn.XLOOKUP(C1224,Products!A1224:A1723,Products!B1224:B1723,"Product Missing",0)</f>
        <v>Product Missing</v>
      </c>
      <c r="H1224" s="7" t="str">
        <f>_xlfn.XLOOKUP(C1224,Products!A1224:A1723,Products!C1224:C1723,"Category Missing",0)</f>
        <v>Category Missing</v>
      </c>
      <c r="I1224" s="11" t="str">
        <f>_xlfn.XLOOKUP(Orders!C1224,Products!A1224:A1723,Products!D1224:D1723,"Price Missing",0)</f>
        <v>Price Missing</v>
      </c>
      <c r="J1224" s="19">
        <f t="shared" si="19"/>
        <v>0</v>
      </c>
    </row>
    <row r="1225" spans="1:10" x14ac:dyDescent="0.35">
      <c r="A1225" s="4" t="s">
        <v>5245</v>
      </c>
      <c r="B1225" s="7" t="s">
        <v>1751</v>
      </c>
      <c r="C1225" s="7" t="s">
        <v>3538</v>
      </c>
      <c r="D1225" s="5">
        <v>2</v>
      </c>
      <c r="E1225" s="7" t="str">
        <f>_xlfn.XLOOKUP(B1225,Customers!A1225:A2224,Customers!B1225:B2224,"Customer Not Found",0)</f>
        <v>Customer Not Found</v>
      </c>
      <c r="F1225" s="7" t="str">
        <f>_xlfn.XLOOKUP(Orders!B1225,Customers!A1225:A2224,Customers!C1225:C2224,"Country not Found",0)</f>
        <v>Country not Found</v>
      </c>
      <c r="G1225" s="7" t="str">
        <f>_xlfn.XLOOKUP(C1225,Products!A1225:A1724,Products!B1225:B1724,"Product Missing",0)</f>
        <v>Product Missing</v>
      </c>
      <c r="H1225" s="7" t="str">
        <f>_xlfn.XLOOKUP(C1225,Products!A1225:A1724,Products!C1225:C1724,"Category Missing",0)</f>
        <v>Category Missing</v>
      </c>
      <c r="I1225" s="11" t="str">
        <f>_xlfn.XLOOKUP(Orders!C1225,Products!A1225:A1724,Products!D1225:D1724,"Price Missing",0)</f>
        <v>Price Missing</v>
      </c>
      <c r="J1225" s="19">
        <f t="shared" si="19"/>
        <v>0</v>
      </c>
    </row>
    <row r="1226" spans="1:10" x14ac:dyDescent="0.35">
      <c r="A1226" s="4" t="s">
        <v>5246</v>
      </c>
      <c r="B1226" s="7" t="s">
        <v>2612</v>
      </c>
      <c r="C1226" s="7" t="s">
        <v>3458</v>
      </c>
      <c r="D1226" s="5">
        <v>3</v>
      </c>
      <c r="E1226" s="7" t="str">
        <f>_xlfn.XLOOKUP(B1226,Customers!A1226:A2225,Customers!B1226:B2225,"Customer Not Found",0)</f>
        <v>Customer Not Found</v>
      </c>
      <c r="F1226" s="7" t="str">
        <f>_xlfn.XLOOKUP(Orders!B1226,Customers!A1226:A2225,Customers!C1226:C2225,"Country not Found",0)</f>
        <v>Country not Found</v>
      </c>
      <c r="G1226" s="7" t="str">
        <f>_xlfn.XLOOKUP(C1226,Products!A1226:A1725,Products!B1226:B1725,"Product Missing",0)</f>
        <v>Product Missing</v>
      </c>
      <c r="H1226" s="7" t="str">
        <f>_xlfn.XLOOKUP(C1226,Products!A1226:A1725,Products!C1226:C1725,"Category Missing",0)</f>
        <v>Category Missing</v>
      </c>
      <c r="I1226" s="11" t="str">
        <f>_xlfn.XLOOKUP(Orders!C1226,Products!A1226:A1725,Products!D1226:D1725,"Price Missing",0)</f>
        <v>Price Missing</v>
      </c>
      <c r="J1226" s="19">
        <f t="shared" si="19"/>
        <v>0</v>
      </c>
    </row>
    <row r="1227" spans="1:10" x14ac:dyDescent="0.35">
      <c r="A1227" s="4" t="s">
        <v>5247</v>
      </c>
      <c r="B1227" s="7" t="s">
        <v>155</v>
      </c>
      <c r="C1227" s="7" t="s">
        <v>3632</v>
      </c>
      <c r="D1227" s="5">
        <v>1</v>
      </c>
      <c r="E1227" s="7" t="str">
        <f>_xlfn.XLOOKUP(B1227,Customers!A1227:A2226,Customers!B1227:B2226,"Customer Not Found",0)</f>
        <v>Customer Not Found</v>
      </c>
      <c r="F1227" s="7" t="str">
        <f>_xlfn.XLOOKUP(Orders!B1227,Customers!A1227:A2226,Customers!C1227:C2226,"Country not Found",0)</f>
        <v>Country not Found</v>
      </c>
      <c r="G1227" s="7" t="str">
        <f>_xlfn.XLOOKUP(C1227,Products!A1227:A1726,Products!B1227:B1726,"Product Missing",0)</f>
        <v>Product Missing</v>
      </c>
      <c r="H1227" s="7" t="str">
        <f>_xlfn.XLOOKUP(C1227,Products!A1227:A1726,Products!C1227:C1726,"Category Missing",0)</f>
        <v>Category Missing</v>
      </c>
      <c r="I1227" s="11" t="str">
        <f>_xlfn.XLOOKUP(Orders!C1227,Products!A1227:A1726,Products!D1227:D1726,"Price Missing",0)</f>
        <v>Price Missing</v>
      </c>
      <c r="J1227" s="19">
        <f t="shared" si="19"/>
        <v>0</v>
      </c>
    </row>
    <row r="1228" spans="1:10" x14ac:dyDescent="0.35">
      <c r="A1228" s="4" t="s">
        <v>5248</v>
      </c>
      <c r="B1228" s="7" t="s">
        <v>389</v>
      </c>
      <c r="C1228" s="7" t="s">
        <v>3910</v>
      </c>
      <c r="D1228" s="5">
        <v>5</v>
      </c>
      <c r="E1228" s="7" t="str">
        <f>_xlfn.XLOOKUP(B1228,Customers!A1228:A2227,Customers!B1228:B2227,"Customer Not Found",0)</f>
        <v>Customer Not Found</v>
      </c>
      <c r="F1228" s="7" t="str">
        <f>_xlfn.XLOOKUP(Orders!B1228,Customers!A1228:A2227,Customers!C1228:C2227,"Country not Found",0)</f>
        <v>Country not Found</v>
      </c>
      <c r="G1228" s="7" t="str">
        <f>_xlfn.XLOOKUP(C1228,Products!A1228:A1727,Products!B1228:B1727,"Product Missing",0)</f>
        <v>Product Missing</v>
      </c>
      <c r="H1228" s="7" t="str">
        <f>_xlfn.XLOOKUP(C1228,Products!A1228:A1727,Products!C1228:C1727,"Category Missing",0)</f>
        <v>Category Missing</v>
      </c>
      <c r="I1228" s="11" t="str">
        <f>_xlfn.XLOOKUP(Orders!C1228,Products!A1228:A1727,Products!D1228:D1727,"Price Missing",0)</f>
        <v>Price Missing</v>
      </c>
      <c r="J1228" s="19">
        <f t="shared" si="19"/>
        <v>0</v>
      </c>
    </row>
    <row r="1229" spans="1:10" x14ac:dyDescent="0.35">
      <c r="A1229" s="4" t="s">
        <v>5249</v>
      </c>
      <c r="B1229" s="7" t="s">
        <v>881</v>
      </c>
      <c r="C1229" s="7" t="s">
        <v>3804</v>
      </c>
      <c r="D1229" s="5">
        <v>5</v>
      </c>
      <c r="E1229" s="7" t="str">
        <f>_xlfn.XLOOKUP(B1229,Customers!A1229:A2228,Customers!B1229:B2228,"Customer Not Found",0)</f>
        <v>Customer Not Found</v>
      </c>
      <c r="F1229" s="7" t="str">
        <f>_xlfn.XLOOKUP(Orders!B1229,Customers!A1229:A2228,Customers!C1229:C2228,"Country not Found",0)</f>
        <v>Country not Found</v>
      </c>
      <c r="G1229" s="7" t="str">
        <f>_xlfn.XLOOKUP(C1229,Products!A1229:A1728,Products!B1229:B1728,"Product Missing",0)</f>
        <v>Product Missing</v>
      </c>
      <c r="H1229" s="7" t="str">
        <f>_xlfn.XLOOKUP(C1229,Products!A1229:A1728,Products!C1229:C1728,"Category Missing",0)</f>
        <v>Category Missing</v>
      </c>
      <c r="I1229" s="11" t="str">
        <f>_xlfn.XLOOKUP(Orders!C1229,Products!A1229:A1728,Products!D1229:D1728,"Price Missing",0)</f>
        <v>Price Missing</v>
      </c>
      <c r="J1229" s="19">
        <f t="shared" si="19"/>
        <v>0</v>
      </c>
    </row>
    <row r="1230" spans="1:10" x14ac:dyDescent="0.35">
      <c r="A1230" s="4" t="s">
        <v>5250</v>
      </c>
      <c r="B1230" s="7" t="s">
        <v>719</v>
      </c>
      <c r="C1230" s="7" t="s">
        <v>3630</v>
      </c>
      <c r="D1230" s="5">
        <v>10</v>
      </c>
      <c r="E1230" s="7" t="str">
        <f>_xlfn.XLOOKUP(B1230,Customers!A1230:A2229,Customers!B1230:B2229,"Customer Not Found",0)</f>
        <v>Customer Not Found</v>
      </c>
      <c r="F1230" s="7" t="str">
        <f>_xlfn.XLOOKUP(Orders!B1230,Customers!A1230:A2229,Customers!C1230:C2229,"Country not Found",0)</f>
        <v>Country not Found</v>
      </c>
      <c r="G1230" s="7" t="str">
        <f>_xlfn.XLOOKUP(C1230,Products!A1230:A1729,Products!B1230:B1729,"Product Missing",0)</f>
        <v>Product Missing</v>
      </c>
      <c r="H1230" s="7" t="str">
        <f>_xlfn.XLOOKUP(C1230,Products!A1230:A1729,Products!C1230:C1729,"Category Missing",0)</f>
        <v>Category Missing</v>
      </c>
      <c r="I1230" s="11" t="str">
        <f>_xlfn.XLOOKUP(Orders!C1230,Products!A1230:A1729,Products!D1230:D1729,"Price Missing",0)</f>
        <v>Price Missing</v>
      </c>
      <c r="J1230" s="19">
        <f t="shared" si="19"/>
        <v>0</v>
      </c>
    </row>
    <row r="1231" spans="1:10" x14ac:dyDescent="0.35">
      <c r="A1231" s="4" t="s">
        <v>5251</v>
      </c>
      <c r="B1231" s="7" t="s">
        <v>587</v>
      </c>
      <c r="C1231" s="7" t="s">
        <v>3348</v>
      </c>
      <c r="D1231" s="5">
        <v>10</v>
      </c>
      <c r="E1231" s="7" t="str">
        <f>_xlfn.XLOOKUP(B1231,Customers!A1231:A2230,Customers!B1231:B2230,"Customer Not Found",0)</f>
        <v>Customer Not Found</v>
      </c>
      <c r="F1231" s="7" t="str">
        <f>_xlfn.XLOOKUP(Orders!B1231,Customers!A1231:A2230,Customers!C1231:C2230,"Country not Found",0)</f>
        <v>Country not Found</v>
      </c>
      <c r="G1231" s="7" t="str">
        <f>_xlfn.XLOOKUP(C1231,Products!A1231:A1730,Products!B1231:B1730,"Product Missing",0)</f>
        <v>Product Missing</v>
      </c>
      <c r="H1231" s="7" t="str">
        <f>_xlfn.XLOOKUP(C1231,Products!A1231:A1730,Products!C1231:C1730,"Category Missing",0)</f>
        <v>Category Missing</v>
      </c>
      <c r="I1231" s="11" t="str">
        <f>_xlfn.XLOOKUP(Orders!C1231,Products!A1231:A1730,Products!D1231:D1730,"Price Missing",0)</f>
        <v>Price Missing</v>
      </c>
      <c r="J1231" s="19">
        <f t="shared" si="19"/>
        <v>0</v>
      </c>
    </row>
    <row r="1232" spans="1:10" x14ac:dyDescent="0.35">
      <c r="A1232" s="4" t="s">
        <v>5252</v>
      </c>
      <c r="B1232" s="7" t="s">
        <v>36</v>
      </c>
      <c r="C1232" s="7" t="s">
        <v>3998</v>
      </c>
      <c r="D1232" s="5">
        <v>6</v>
      </c>
      <c r="E1232" s="7" t="str">
        <f>_xlfn.XLOOKUP(B1232,Customers!A1232:A2231,Customers!B1232:B2231,"Customer Not Found",0)</f>
        <v>Customer Not Found</v>
      </c>
      <c r="F1232" s="7" t="str">
        <f>_xlfn.XLOOKUP(Orders!B1232,Customers!A1232:A2231,Customers!C1232:C2231,"Country not Found",0)</f>
        <v>Country not Found</v>
      </c>
      <c r="G1232" s="7" t="str">
        <f>_xlfn.XLOOKUP(C1232,Products!A1232:A1731,Products!B1232:B1731,"Product Missing",0)</f>
        <v>Product Missing</v>
      </c>
      <c r="H1232" s="7" t="str">
        <f>_xlfn.XLOOKUP(C1232,Products!A1232:A1731,Products!C1232:C1731,"Category Missing",0)</f>
        <v>Category Missing</v>
      </c>
      <c r="I1232" s="11" t="str">
        <f>_xlfn.XLOOKUP(Orders!C1232,Products!A1232:A1731,Products!D1232:D1731,"Price Missing",0)</f>
        <v>Price Missing</v>
      </c>
      <c r="J1232" s="19">
        <f t="shared" si="19"/>
        <v>0</v>
      </c>
    </row>
    <row r="1233" spans="1:10" x14ac:dyDescent="0.35">
      <c r="A1233" s="4" t="s">
        <v>5253</v>
      </c>
      <c r="B1233" s="7" t="s">
        <v>2522</v>
      </c>
      <c r="C1233" s="7" t="s">
        <v>3320</v>
      </c>
      <c r="D1233" s="5">
        <v>8</v>
      </c>
      <c r="E1233" s="7" t="str">
        <f>_xlfn.XLOOKUP(B1233,Customers!A1233:A2232,Customers!B1233:B2232,"Customer Not Found",0)</f>
        <v>Customer Not Found</v>
      </c>
      <c r="F1233" s="7" t="str">
        <f>_xlfn.XLOOKUP(Orders!B1233,Customers!A1233:A2232,Customers!C1233:C2232,"Country not Found",0)</f>
        <v>Country not Found</v>
      </c>
      <c r="G1233" s="7" t="str">
        <f>_xlfn.XLOOKUP(C1233,Products!A1233:A1732,Products!B1233:B1732,"Product Missing",0)</f>
        <v>Product Missing</v>
      </c>
      <c r="H1233" s="7" t="str">
        <f>_xlfn.XLOOKUP(C1233,Products!A1233:A1732,Products!C1233:C1732,"Category Missing",0)</f>
        <v>Category Missing</v>
      </c>
      <c r="I1233" s="11" t="str">
        <f>_xlfn.XLOOKUP(Orders!C1233,Products!A1233:A1732,Products!D1233:D1732,"Price Missing",0)</f>
        <v>Price Missing</v>
      </c>
      <c r="J1233" s="19">
        <f t="shared" si="19"/>
        <v>0</v>
      </c>
    </row>
    <row r="1234" spans="1:10" x14ac:dyDescent="0.35">
      <c r="A1234" s="4" t="s">
        <v>5254</v>
      </c>
      <c r="B1234" s="7" t="s">
        <v>1415</v>
      </c>
      <c r="C1234" s="7" t="s">
        <v>3360</v>
      </c>
      <c r="D1234" s="5">
        <v>3</v>
      </c>
      <c r="E1234" s="7" t="str">
        <f>_xlfn.XLOOKUP(B1234,Customers!A1234:A2233,Customers!B1234:B2233,"Customer Not Found",0)</f>
        <v>Customer Not Found</v>
      </c>
      <c r="F1234" s="7" t="str">
        <f>_xlfn.XLOOKUP(Orders!B1234,Customers!A1234:A2233,Customers!C1234:C2233,"Country not Found",0)</f>
        <v>Country not Found</v>
      </c>
      <c r="G1234" s="7" t="str">
        <f>_xlfn.XLOOKUP(C1234,Products!A1234:A1733,Products!B1234:B1733,"Product Missing",0)</f>
        <v>Product Missing</v>
      </c>
      <c r="H1234" s="7" t="str">
        <f>_xlfn.XLOOKUP(C1234,Products!A1234:A1733,Products!C1234:C1733,"Category Missing",0)</f>
        <v>Category Missing</v>
      </c>
      <c r="I1234" s="11" t="str">
        <f>_xlfn.XLOOKUP(Orders!C1234,Products!A1234:A1733,Products!D1234:D1733,"Price Missing",0)</f>
        <v>Price Missing</v>
      </c>
      <c r="J1234" s="19">
        <f t="shared" si="19"/>
        <v>0</v>
      </c>
    </row>
    <row r="1235" spans="1:10" x14ac:dyDescent="0.35">
      <c r="A1235" s="4" t="s">
        <v>5255</v>
      </c>
      <c r="B1235" s="7" t="s">
        <v>1823</v>
      </c>
      <c r="C1235" s="7" t="s">
        <v>3752</v>
      </c>
      <c r="D1235" s="5">
        <v>7</v>
      </c>
      <c r="E1235" s="7" t="str">
        <f>_xlfn.XLOOKUP(B1235,Customers!A1235:A2234,Customers!B1235:B2234,"Customer Not Found",0)</f>
        <v>Customer Not Found</v>
      </c>
      <c r="F1235" s="7" t="str">
        <f>_xlfn.XLOOKUP(Orders!B1235,Customers!A1235:A2234,Customers!C1235:C2234,"Country not Found",0)</f>
        <v>Country not Found</v>
      </c>
      <c r="G1235" s="7" t="str">
        <f>_xlfn.XLOOKUP(C1235,Products!A1235:A1734,Products!B1235:B1734,"Product Missing",0)</f>
        <v>Product Missing</v>
      </c>
      <c r="H1235" s="7" t="str">
        <f>_xlfn.XLOOKUP(C1235,Products!A1235:A1734,Products!C1235:C1734,"Category Missing",0)</f>
        <v>Category Missing</v>
      </c>
      <c r="I1235" s="11" t="str">
        <f>_xlfn.XLOOKUP(Orders!C1235,Products!A1235:A1734,Products!D1235:D1734,"Price Missing",0)</f>
        <v>Price Missing</v>
      </c>
      <c r="J1235" s="19">
        <f t="shared" si="19"/>
        <v>0</v>
      </c>
    </row>
    <row r="1236" spans="1:10" x14ac:dyDescent="0.35">
      <c r="A1236" s="4" t="s">
        <v>5256</v>
      </c>
      <c r="B1236" s="7" t="s">
        <v>1133</v>
      </c>
      <c r="C1236" s="7" t="s">
        <v>3264</v>
      </c>
      <c r="D1236" s="5">
        <v>10</v>
      </c>
      <c r="E1236" s="7" t="str">
        <f>_xlfn.XLOOKUP(B1236,Customers!A1236:A2235,Customers!B1236:B2235,"Customer Not Found",0)</f>
        <v>Customer Not Found</v>
      </c>
      <c r="F1236" s="7" t="str">
        <f>_xlfn.XLOOKUP(Orders!B1236,Customers!A1236:A2235,Customers!C1236:C2235,"Country not Found",0)</f>
        <v>Country not Found</v>
      </c>
      <c r="G1236" s="7" t="str">
        <f>_xlfn.XLOOKUP(C1236,Products!A1236:A1735,Products!B1236:B1735,"Product Missing",0)</f>
        <v>Product Missing</v>
      </c>
      <c r="H1236" s="7" t="str">
        <f>_xlfn.XLOOKUP(C1236,Products!A1236:A1735,Products!C1236:C1735,"Category Missing",0)</f>
        <v>Category Missing</v>
      </c>
      <c r="I1236" s="11" t="str">
        <f>_xlfn.XLOOKUP(Orders!C1236,Products!A1236:A1735,Products!D1236:D1735,"Price Missing",0)</f>
        <v>Price Missing</v>
      </c>
      <c r="J1236" s="19">
        <f t="shared" si="19"/>
        <v>0</v>
      </c>
    </row>
    <row r="1237" spans="1:10" x14ac:dyDescent="0.35">
      <c r="A1237" s="4" t="s">
        <v>5257</v>
      </c>
      <c r="B1237" s="7" t="s">
        <v>1526</v>
      </c>
      <c r="C1237" s="7" t="s">
        <v>3512</v>
      </c>
      <c r="D1237" s="5">
        <v>10</v>
      </c>
      <c r="E1237" s="7" t="str">
        <f>_xlfn.XLOOKUP(B1237,Customers!A1237:A2236,Customers!B1237:B2236,"Customer Not Found",0)</f>
        <v>Customer Not Found</v>
      </c>
      <c r="F1237" s="7" t="str">
        <f>_xlfn.XLOOKUP(Orders!B1237,Customers!A1237:A2236,Customers!C1237:C2236,"Country not Found",0)</f>
        <v>Country not Found</v>
      </c>
      <c r="G1237" s="7" t="str">
        <f>_xlfn.XLOOKUP(C1237,Products!A1237:A1736,Products!B1237:B1736,"Product Missing",0)</f>
        <v>Product Missing</v>
      </c>
      <c r="H1237" s="7" t="str">
        <f>_xlfn.XLOOKUP(C1237,Products!A1237:A1736,Products!C1237:C1736,"Category Missing",0)</f>
        <v>Category Missing</v>
      </c>
      <c r="I1237" s="11" t="str">
        <f>_xlfn.XLOOKUP(Orders!C1237,Products!A1237:A1736,Products!D1237:D1736,"Price Missing",0)</f>
        <v>Price Missing</v>
      </c>
      <c r="J1237" s="19">
        <f t="shared" si="19"/>
        <v>0</v>
      </c>
    </row>
    <row r="1238" spans="1:10" x14ac:dyDescent="0.35">
      <c r="A1238" s="4" t="s">
        <v>5258</v>
      </c>
      <c r="B1238" s="7" t="s">
        <v>1862</v>
      </c>
      <c r="C1238" s="7" t="s">
        <v>3274</v>
      </c>
      <c r="D1238" s="5">
        <v>8</v>
      </c>
      <c r="E1238" s="7" t="str">
        <f>_xlfn.XLOOKUP(B1238,Customers!A1238:A2237,Customers!B1238:B2237,"Customer Not Found",0)</f>
        <v>Customer Not Found</v>
      </c>
      <c r="F1238" s="7" t="str">
        <f>_xlfn.XLOOKUP(Orders!B1238,Customers!A1238:A2237,Customers!C1238:C2237,"Country not Found",0)</f>
        <v>Country not Found</v>
      </c>
      <c r="G1238" s="7" t="str">
        <f>_xlfn.XLOOKUP(C1238,Products!A1238:A1737,Products!B1238:B1737,"Product Missing",0)</f>
        <v>Product Missing</v>
      </c>
      <c r="H1238" s="7" t="str">
        <f>_xlfn.XLOOKUP(C1238,Products!A1238:A1737,Products!C1238:C1737,"Category Missing",0)</f>
        <v>Category Missing</v>
      </c>
      <c r="I1238" s="11" t="str">
        <f>_xlfn.XLOOKUP(Orders!C1238,Products!A1238:A1737,Products!D1238:D1737,"Price Missing",0)</f>
        <v>Price Missing</v>
      </c>
      <c r="J1238" s="19">
        <f t="shared" si="19"/>
        <v>0</v>
      </c>
    </row>
    <row r="1239" spans="1:10" x14ac:dyDescent="0.35">
      <c r="A1239" s="4" t="s">
        <v>5259</v>
      </c>
      <c r="B1239" s="7" t="s">
        <v>1172</v>
      </c>
      <c r="C1239" s="7" t="s">
        <v>3994</v>
      </c>
      <c r="D1239" s="5">
        <v>9</v>
      </c>
      <c r="E1239" s="7" t="str">
        <f>_xlfn.XLOOKUP(B1239,Customers!A1239:A2238,Customers!B1239:B2238,"Customer Not Found",0)</f>
        <v>Customer Not Found</v>
      </c>
      <c r="F1239" s="7" t="str">
        <f>_xlfn.XLOOKUP(Orders!B1239,Customers!A1239:A2238,Customers!C1239:C2238,"Country not Found",0)</f>
        <v>Country not Found</v>
      </c>
      <c r="G1239" s="7" t="str">
        <f>_xlfn.XLOOKUP(C1239,Products!A1239:A1738,Products!B1239:B1738,"Product Missing",0)</f>
        <v>Product Missing</v>
      </c>
      <c r="H1239" s="7" t="str">
        <f>_xlfn.XLOOKUP(C1239,Products!A1239:A1738,Products!C1239:C1738,"Category Missing",0)</f>
        <v>Category Missing</v>
      </c>
      <c r="I1239" s="11" t="str">
        <f>_xlfn.XLOOKUP(Orders!C1239,Products!A1239:A1738,Products!D1239:D1738,"Price Missing",0)</f>
        <v>Price Missing</v>
      </c>
      <c r="J1239" s="19">
        <f t="shared" si="19"/>
        <v>0</v>
      </c>
    </row>
    <row r="1240" spans="1:10" x14ac:dyDescent="0.35">
      <c r="A1240" s="4" t="s">
        <v>5260</v>
      </c>
      <c r="B1240" s="7" t="s">
        <v>1784</v>
      </c>
      <c r="C1240" s="7" t="s">
        <v>3794</v>
      </c>
      <c r="D1240" s="5">
        <v>7</v>
      </c>
      <c r="E1240" s="7" t="str">
        <f>_xlfn.XLOOKUP(B1240,Customers!A1240:A2239,Customers!B1240:B2239,"Customer Not Found",0)</f>
        <v>Customer Not Found</v>
      </c>
      <c r="F1240" s="7" t="str">
        <f>_xlfn.XLOOKUP(Orders!B1240,Customers!A1240:A2239,Customers!C1240:C2239,"Country not Found",0)</f>
        <v>Country not Found</v>
      </c>
      <c r="G1240" s="7" t="str">
        <f>_xlfn.XLOOKUP(C1240,Products!A1240:A1739,Products!B1240:B1739,"Product Missing",0)</f>
        <v>Product Missing</v>
      </c>
      <c r="H1240" s="7" t="str">
        <f>_xlfn.XLOOKUP(C1240,Products!A1240:A1739,Products!C1240:C1739,"Category Missing",0)</f>
        <v>Category Missing</v>
      </c>
      <c r="I1240" s="11" t="str">
        <f>_xlfn.XLOOKUP(Orders!C1240,Products!A1240:A1739,Products!D1240:D1739,"Price Missing",0)</f>
        <v>Price Missing</v>
      </c>
      <c r="J1240" s="19">
        <f t="shared" si="19"/>
        <v>0</v>
      </c>
    </row>
    <row r="1241" spans="1:10" x14ac:dyDescent="0.35">
      <c r="A1241" s="4" t="s">
        <v>5261</v>
      </c>
      <c r="B1241" s="7" t="s">
        <v>218</v>
      </c>
      <c r="C1241" s="7" t="s">
        <v>4004</v>
      </c>
      <c r="D1241" s="5">
        <v>1</v>
      </c>
      <c r="E1241" s="7" t="str">
        <f>_xlfn.XLOOKUP(B1241,Customers!A1241:A2240,Customers!B1241:B2240,"Customer Not Found",0)</f>
        <v>Customer Not Found</v>
      </c>
      <c r="F1241" s="7" t="str">
        <f>_xlfn.XLOOKUP(Orders!B1241,Customers!A1241:A2240,Customers!C1241:C2240,"Country not Found",0)</f>
        <v>Country not Found</v>
      </c>
      <c r="G1241" s="7" t="str">
        <f>_xlfn.XLOOKUP(C1241,Products!A1241:A1740,Products!B1241:B1740,"Product Missing",0)</f>
        <v>Product Missing</v>
      </c>
      <c r="H1241" s="7" t="str">
        <f>_xlfn.XLOOKUP(C1241,Products!A1241:A1740,Products!C1241:C1740,"Category Missing",0)</f>
        <v>Category Missing</v>
      </c>
      <c r="I1241" s="11" t="str">
        <f>_xlfn.XLOOKUP(Orders!C1241,Products!A1241:A1740,Products!D1241:D1740,"Price Missing",0)</f>
        <v>Price Missing</v>
      </c>
      <c r="J1241" s="19">
        <f t="shared" si="19"/>
        <v>0</v>
      </c>
    </row>
    <row r="1242" spans="1:10" x14ac:dyDescent="0.35">
      <c r="A1242" s="4" t="s">
        <v>5262</v>
      </c>
      <c r="B1242" s="7" t="s">
        <v>2714</v>
      </c>
      <c r="C1242" s="7" t="s">
        <v>3826</v>
      </c>
      <c r="D1242" s="5">
        <v>4</v>
      </c>
      <c r="E1242" s="7" t="str">
        <f>_xlfn.XLOOKUP(B1242,Customers!A1242:A2241,Customers!B1242:B2241,"Customer Not Found",0)</f>
        <v>Customer Not Found</v>
      </c>
      <c r="F1242" s="7" t="str">
        <f>_xlfn.XLOOKUP(Orders!B1242,Customers!A1242:A2241,Customers!C1242:C2241,"Country not Found",0)</f>
        <v>Country not Found</v>
      </c>
      <c r="G1242" s="7" t="str">
        <f>_xlfn.XLOOKUP(C1242,Products!A1242:A1741,Products!B1242:B1741,"Product Missing",0)</f>
        <v>Product Missing</v>
      </c>
      <c r="H1242" s="7" t="str">
        <f>_xlfn.XLOOKUP(C1242,Products!A1242:A1741,Products!C1242:C1741,"Category Missing",0)</f>
        <v>Category Missing</v>
      </c>
      <c r="I1242" s="11" t="str">
        <f>_xlfn.XLOOKUP(Orders!C1242,Products!A1242:A1741,Products!D1242:D1741,"Price Missing",0)</f>
        <v>Price Missing</v>
      </c>
      <c r="J1242" s="19">
        <f t="shared" si="19"/>
        <v>0</v>
      </c>
    </row>
    <row r="1243" spans="1:10" x14ac:dyDescent="0.35">
      <c r="A1243" s="4" t="s">
        <v>5263</v>
      </c>
      <c r="B1243" s="7" t="s">
        <v>881</v>
      </c>
      <c r="C1243" s="7" t="s">
        <v>3766</v>
      </c>
      <c r="D1243" s="5">
        <v>10</v>
      </c>
      <c r="E1243" s="7" t="str">
        <f>_xlfn.XLOOKUP(B1243,Customers!A1243:A2242,Customers!B1243:B2242,"Customer Not Found",0)</f>
        <v>Customer Not Found</v>
      </c>
      <c r="F1243" s="7" t="str">
        <f>_xlfn.XLOOKUP(Orders!B1243,Customers!A1243:A2242,Customers!C1243:C2242,"Country not Found",0)</f>
        <v>Country not Found</v>
      </c>
      <c r="G1243" s="7" t="str">
        <f>_xlfn.XLOOKUP(C1243,Products!A1243:A1742,Products!B1243:B1742,"Product Missing",0)</f>
        <v>Product Missing</v>
      </c>
      <c r="H1243" s="7" t="str">
        <f>_xlfn.XLOOKUP(C1243,Products!A1243:A1742,Products!C1243:C1742,"Category Missing",0)</f>
        <v>Category Missing</v>
      </c>
      <c r="I1243" s="11" t="str">
        <f>_xlfn.XLOOKUP(Orders!C1243,Products!A1243:A1742,Products!D1243:D1742,"Price Missing",0)</f>
        <v>Price Missing</v>
      </c>
      <c r="J1243" s="19">
        <f t="shared" si="19"/>
        <v>0</v>
      </c>
    </row>
    <row r="1244" spans="1:10" x14ac:dyDescent="0.35">
      <c r="A1244" s="4" t="s">
        <v>5264</v>
      </c>
      <c r="B1244" s="7" t="s">
        <v>2303</v>
      </c>
      <c r="C1244" s="7" t="s">
        <v>3968</v>
      </c>
      <c r="D1244" s="5">
        <v>5</v>
      </c>
      <c r="E1244" s="7" t="str">
        <f>_xlfn.XLOOKUP(B1244,Customers!A1244:A2243,Customers!B1244:B2243,"Customer Not Found",0)</f>
        <v>Customer Not Found</v>
      </c>
      <c r="F1244" s="7" t="str">
        <f>_xlfn.XLOOKUP(Orders!B1244,Customers!A1244:A2243,Customers!C1244:C2243,"Country not Found",0)</f>
        <v>Country not Found</v>
      </c>
      <c r="G1244" s="7" t="str">
        <f>_xlfn.XLOOKUP(C1244,Products!A1244:A1743,Products!B1244:B1743,"Product Missing",0)</f>
        <v>Product Missing</v>
      </c>
      <c r="H1244" s="7" t="str">
        <f>_xlfn.XLOOKUP(C1244,Products!A1244:A1743,Products!C1244:C1743,"Category Missing",0)</f>
        <v>Category Missing</v>
      </c>
      <c r="I1244" s="11" t="str">
        <f>_xlfn.XLOOKUP(Orders!C1244,Products!A1244:A1743,Products!D1244:D1743,"Price Missing",0)</f>
        <v>Price Missing</v>
      </c>
      <c r="J1244" s="19">
        <f t="shared" si="19"/>
        <v>0</v>
      </c>
    </row>
    <row r="1245" spans="1:10" x14ac:dyDescent="0.35">
      <c r="A1245" s="4" t="s">
        <v>5265</v>
      </c>
      <c r="B1245" s="7" t="s">
        <v>512</v>
      </c>
      <c r="C1245" s="7" t="s">
        <v>3542</v>
      </c>
      <c r="D1245" s="5">
        <v>4</v>
      </c>
      <c r="E1245" s="7" t="str">
        <f>_xlfn.XLOOKUP(B1245,Customers!A1245:A2244,Customers!B1245:B2244,"Customer Not Found",0)</f>
        <v>Customer Not Found</v>
      </c>
      <c r="F1245" s="7" t="str">
        <f>_xlfn.XLOOKUP(Orders!B1245,Customers!A1245:A2244,Customers!C1245:C2244,"Country not Found",0)</f>
        <v>Country not Found</v>
      </c>
      <c r="G1245" s="7" t="str">
        <f>_xlfn.XLOOKUP(C1245,Products!A1245:A1744,Products!B1245:B1744,"Product Missing",0)</f>
        <v>Product Missing</v>
      </c>
      <c r="H1245" s="7" t="str">
        <f>_xlfn.XLOOKUP(C1245,Products!A1245:A1744,Products!C1245:C1744,"Category Missing",0)</f>
        <v>Category Missing</v>
      </c>
      <c r="I1245" s="11" t="str">
        <f>_xlfn.XLOOKUP(Orders!C1245,Products!A1245:A1744,Products!D1245:D1744,"Price Missing",0)</f>
        <v>Price Missing</v>
      </c>
      <c r="J1245" s="19">
        <f t="shared" si="19"/>
        <v>0</v>
      </c>
    </row>
    <row r="1246" spans="1:10" x14ac:dyDescent="0.35">
      <c r="A1246" s="4" t="s">
        <v>5266</v>
      </c>
      <c r="B1246" s="7" t="s">
        <v>2474</v>
      </c>
      <c r="C1246" s="7" t="s">
        <v>3962</v>
      </c>
      <c r="D1246" s="5">
        <v>7</v>
      </c>
      <c r="E1246" s="7" t="str">
        <f>_xlfn.XLOOKUP(B1246,Customers!A1246:A2245,Customers!B1246:B2245,"Customer Not Found",0)</f>
        <v>Customer Not Found</v>
      </c>
      <c r="F1246" s="7" t="str">
        <f>_xlfn.XLOOKUP(Orders!B1246,Customers!A1246:A2245,Customers!C1246:C2245,"Country not Found",0)</f>
        <v>Country not Found</v>
      </c>
      <c r="G1246" s="7" t="str">
        <f>_xlfn.XLOOKUP(C1246,Products!A1246:A1745,Products!B1246:B1745,"Product Missing",0)</f>
        <v>Product Missing</v>
      </c>
      <c r="H1246" s="7" t="str">
        <f>_xlfn.XLOOKUP(C1246,Products!A1246:A1745,Products!C1246:C1745,"Category Missing",0)</f>
        <v>Category Missing</v>
      </c>
      <c r="I1246" s="11" t="str">
        <f>_xlfn.XLOOKUP(Orders!C1246,Products!A1246:A1745,Products!D1246:D1745,"Price Missing",0)</f>
        <v>Price Missing</v>
      </c>
      <c r="J1246" s="19">
        <f t="shared" si="19"/>
        <v>0</v>
      </c>
    </row>
    <row r="1247" spans="1:10" x14ac:dyDescent="0.35">
      <c r="A1247" s="4" t="s">
        <v>5267</v>
      </c>
      <c r="B1247" s="7" t="s">
        <v>2285</v>
      </c>
      <c r="C1247" s="7" t="s">
        <v>3550</v>
      </c>
      <c r="D1247" s="5">
        <v>4</v>
      </c>
      <c r="E1247" s="7" t="str">
        <f>_xlfn.XLOOKUP(B1247,Customers!A1247:A2246,Customers!B1247:B2246,"Customer Not Found",0)</f>
        <v>Customer Not Found</v>
      </c>
      <c r="F1247" s="7" t="str">
        <f>_xlfn.XLOOKUP(Orders!B1247,Customers!A1247:A2246,Customers!C1247:C2246,"Country not Found",0)</f>
        <v>Country not Found</v>
      </c>
      <c r="G1247" s="7" t="str">
        <f>_xlfn.XLOOKUP(C1247,Products!A1247:A1746,Products!B1247:B1746,"Product Missing",0)</f>
        <v>Product Missing</v>
      </c>
      <c r="H1247" s="7" t="str">
        <f>_xlfn.XLOOKUP(C1247,Products!A1247:A1746,Products!C1247:C1746,"Category Missing",0)</f>
        <v>Category Missing</v>
      </c>
      <c r="I1247" s="11" t="str">
        <f>_xlfn.XLOOKUP(Orders!C1247,Products!A1247:A1746,Products!D1247:D1746,"Price Missing",0)</f>
        <v>Price Missing</v>
      </c>
      <c r="J1247" s="19">
        <f t="shared" si="19"/>
        <v>0</v>
      </c>
    </row>
    <row r="1248" spans="1:10" x14ac:dyDescent="0.35">
      <c r="A1248" s="4" t="s">
        <v>5268</v>
      </c>
      <c r="B1248" s="7" t="s">
        <v>1478</v>
      </c>
      <c r="C1248" s="7" t="s">
        <v>3084</v>
      </c>
      <c r="D1248" s="5">
        <v>8</v>
      </c>
      <c r="E1248" s="7" t="str">
        <f>_xlfn.XLOOKUP(B1248,Customers!A1248:A2247,Customers!B1248:B2247,"Customer Not Found",0)</f>
        <v>Customer Not Found</v>
      </c>
      <c r="F1248" s="7" t="str">
        <f>_xlfn.XLOOKUP(Orders!B1248,Customers!A1248:A2247,Customers!C1248:C2247,"Country not Found",0)</f>
        <v>Country not Found</v>
      </c>
      <c r="G1248" s="7" t="str">
        <f>_xlfn.XLOOKUP(C1248,Products!A1248:A1747,Products!B1248:B1747,"Product Missing",0)</f>
        <v>Product Missing</v>
      </c>
      <c r="H1248" s="7" t="str">
        <f>_xlfn.XLOOKUP(C1248,Products!A1248:A1747,Products!C1248:C1747,"Category Missing",0)</f>
        <v>Category Missing</v>
      </c>
      <c r="I1248" s="11" t="str">
        <f>_xlfn.XLOOKUP(Orders!C1248,Products!A1248:A1747,Products!D1248:D1747,"Price Missing",0)</f>
        <v>Price Missing</v>
      </c>
      <c r="J1248" s="19">
        <f t="shared" si="19"/>
        <v>0</v>
      </c>
    </row>
    <row r="1249" spans="1:10" x14ac:dyDescent="0.35">
      <c r="A1249" s="4" t="s">
        <v>5269</v>
      </c>
      <c r="B1249" s="7" t="s">
        <v>64</v>
      </c>
      <c r="C1249" s="7" t="s">
        <v>3030</v>
      </c>
      <c r="D1249" s="5">
        <v>10</v>
      </c>
      <c r="E1249" s="7" t="str">
        <f>_xlfn.XLOOKUP(B1249,Customers!A1249:A2248,Customers!B1249:B2248,"Customer Not Found",0)</f>
        <v>Customer Not Found</v>
      </c>
      <c r="F1249" s="7" t="str">
        <f>_xlfn.XLOOKUP(Orders!B1249,Customers!A1249:A2248,Customers!C1249:C2248,"Country not Found",0)</f>
        <v>Country not Found</v>
      </c>
      <c r="G1249" s="7" t="str">
        <f>_xlfn.XLOOKUP(C1249,Products!A1249:A1748,Products!B1249:B1748,"Product Missing",0)</f>
        <v>Product Missing</v>
      </c>
      <c r="H1249" s="7" t="str">
        <f>_xlfn.XLOOKUP(C1249,Products!A1249:A1748,Products!C1249:C1748,"Category Missing",0)</f>
        <v>Category Missing</v>
      </c>
      <c r="I1249" s="11" t="str">
        <f>_xlfn.XLOOKUP(Orders!C1249,Products!A1249:A1748,Products!D1249:D1748,"Price Missing",0)</f>
        <v>Price Missing</v>
      </c>
      <c r="J1249" s="19">
        <f t="shared" si="19"/>
        <v>0</v>
      </c>
    </row>
    <row r="1250" spans="1:10" x14ac:dyDescent="0.35">
      <c r="A1250" s="4" t="s">
        <v>5270</v>
      </c>
      <c r="B1250" s="7" t="s">
        <v>2051</v>
      </c>
      <c r="C1250" s="7" t="s">
        <v>3430</v>
      </c>
      <c r="D1250" s="5">
        <v>10</v>
      </c>
      <c r="E1250" s="7" t="str">
        <f>_xlfn.XLOOKUP(B1250,Customers!A1250:A2249,Customers!B1250:B2249,"Customer Not Found",0)</f>
        <v>Customer Not Found</v>
      </c>
      <c r="F1250" s="7" t="str">
        <f>_xlfn.XLOOKUP(Orders!B1250,Customers!A1250:A2249,Customers!C1250:C2249,"Country not Found",0)</f>
        <v>Country not Found</v>
      </c>
      <c r="G1250" s="7" t="str">
        <f>_xlfn.XLOOKUP(C1250,Products!A1250:A1749,Products!B1250:B1749,"Product Missing",0)</f>
        <v>Product Missing</v>
      </c>
      <c r="H1250" s="7" t="str">
        <f>_xlfn.XLOOKUP(C1250,Products!A1250:A1749,Products!C1250:C1749,"Category Missing",0)</f>
        <v>Category Missing</v>
      </c>
      <c r="I1250" s="11" t="str">
        <f>_xlfn.XLOOKUP(Orders!C1250,Products!A1250:A1749,Products!D1250:D1749,"Price Missing",0)</f>
        <v>Price Missing</v>
      </c>
      <c r="J1250" s="19">
        <f t="shared" si="19"/>
        <v>0</v>
      </c>
    </row>
    <row r="1251" spans="1:10" x14ac:dyDescent="0.35">
      <c r="A1251" s="4" t="s">
        <v>5271</v>
      </c>
      <c r="B1251" s="7" t="s">
        <v>2897</v>
      </c>
      <c r="C1251" s="7" t="s">
        <v>3630</v>
      </c>
      <c r="D1251" s="5">
        <v>7</v>
      </c>
      <c r="E1251" s="7" t="str">
        <f>_xlfn.XLOOKUP(B1251,Customers!A1251:A2250,Customers!B1251:B2250,"Customer Not Found",0)</f>
        <v>Customer Not Found</v>
      </c>
      <c r="F1251" s="7" t="str">
        <f>_xlfn.XLOOKUP(Orders!B1251,Customers!A1251:A2250,Customers!C1251:C2250,"Country not Found",0)</f>
        <v>Country not Found</v>
      </c>
      <c r="G1251" s="7" t="str">
        <f>_xlfn.XLOOKUP(C1251,Products!A1251:A1750,Products!B1251:B1750,"Product Missing",0)</f>
        <v>Product Missing</v>
      </c>
      <c r="H1251" s="7" t="str">
        <f>_xlfn.XLOOKUP(C1251,Products!A1251:A1750,Products!C1251:C1750,"Category Missing",0)</f>
        <v>Category Missing</v>
      </c>
      <c r="I1251" s="11" t="str">
        <f>_xlfn.XLOOKUP(Orders!C1251,Products!A1251:A1750,Products!D1251:D1750,"Price Missing",0)</f>
        <v>Price Missing</v>
      </c>
      <c r="J1251" s="19">
        <f t="shared" si="19"/>
        <v>0</v>
      </c>
    </row>
    <row r="1252" spans="1:10" x14ac:dyDescent="0.35">
      <c r="A1252" s="4" t="s">
        <v>5272</v>
      </c>
      <c r="B1252" s="7" t="s">
        <v>2339</v>
      </c>
      <c r="C1252" s="7" t="s">
        <v>3386</v>
      </c>
      <c r="D1252" s="5">
        <v>6</v>
      </c>
      <c r="E1252" s="7" t="str">
        <f>_xlfn.XLOOKUP(B1252,Customers!A1252:A2251,Customers!B1252:B2251,"Customer Not Found",0)</f>
        <v>Customer Not Found</v>
      </c>
      <c r="F1252" s="7" t="str">
        <f>_xlfn.XLOOKUP(Orders!B1252,Customers!A1252:A2251,Customers!C1252:C2251,"Country not Found",0)</f>
        <v>Country not Found</v>
      </c>
      <c r="G1252" s="7" t="str">
        <f>_xlfn.XLOOKUP(C1252,Products!A1252:A1751,Products!B1252:B1751,"Product Missing",0)</f>
        <v>Product Missing</v>
      </c>
      <c r="H1252" s="7" t="str">
        <f>_xlfn.XLOOKUP(C1252,Products!A1252:A1751,Products!C1252:C1751,"Category Missing",0)</f>
        <v>Category Missing</v>
      </c>
      <c r="I1252" s="11" t="str">
        <f>_xlfn.XLOOKUP(Orders!C1252,Products!A1252:A1751,Products!D1252:D1751,"Price Missing",0)</f>
        <v>Price Missing</v>
      </c>
      <c r="J1252" s="19">
        <f t="shared" si="19"/>
        <v>0</v>
      </c>
    </row>
    <row r="1253" spans="1:10" x14ac:dyDescent="0.35">
      <c r="A1253" s="4" t="s">
        <v>5273</v>
      </c>
      <c r="B1253" s="7" t="s">
        <v>2051</v>
      </c>
      <c r="C1253" s="7" t="s">
        <v>3060</v>
      </c>
      <c r="D1253" s="5">
        <v>2</v>
      </c>
      <c r="E1253" s="7" t="str">
        <f>_xlfn.XLOOKUP(B1253,Customers!A1253:A2252,Customers!B1253:B2252,"Customer Not Found",0)</f>
        <v>Customer Not Found</v>
      </c>
      <c r="F1253" s="7" t="str">
        <f>_xlfn.XLOOKUP(Orders!B1253,Customers!A1253:A2252,Customers!C1253:C2252,"Country not Found",0)</f>
        <v>Country not Found</v>
      </c>
      <c r="G1253" s="7" t="str">
        <f>_xlfn.XLOOKUP(C1253,Products!A1253:A1752,Products!B1253:B1752,"Product Missing",0)</f>
        <v>Product Missing</v>
      </c>
      <c r="H1253" s="7" t="str">
        <f>_xlfn.XLOOKUP(C1253,Products!A1253:A1752,Products!C1253:C1752,"Category Missing",0)</f>
        <v>Category Missing</v>
      </c>
      <c r="I1253" s="11" t="str">
        <f>_xlfn.XLOOKUP(Orders!C1253,Products!A1253:A1752,Products!D1253:D1752,"Price Missing",0)</f>
        <v>Price Missing</v>
      </c>
      <c r="J1253" s="19">
        <f t="shared" si="19"/>
        <v>0</v>
      </c>
    </row>
    <row r="1254" spans="1:10" x14ac:dyDescent="0.35">
      <c r="A1254" s="4" t="s">
        <v>5274</v>
      </c>
      <c r="B1254" s="7" t="s">
        <v>2894</v>
      </c>
      <c r="C1254" s="7" t="s">
        <v>3904</v>
      </c>
      <c r="D1254" s="5">
        <v>8</v>
      </c>
      <c r="E1254" s="7" t="str">
        <f>_xlfn.XLOOKUP(B1254,Customers!A1254:A2253,Customers!B1254:B2253,"Customer Not Found",0)</f>
        <v>Customer Not Found</v>
      </c>
      <c r="F1254" s="7" t="str">
        <f>_xlfn.XLOOKUP(Orders!B1254,Customers!A1254:A2253,Customers!C1254:C2253,"Country not Found",0)</f>
        <v>Country not Found</v>
      </c>
      <c r="G1254" s="7" t="str">
        <f>_xlfn.XLOOKUP(C1254,Products!A1254:A1753,Products!B1254:B1753,"Product Missing",0)</f>
        <v>Product Missing</v>
      </c>
      <c r="H1254" s="7" t="str">
        <f>_xlfn.XLOOKUP(C1254,Products!A1254:A1753,Products!C1254:C1753,"Category Missing",0)</f>
        <v>Category Missing</v>
      </c>
      <c r="I1254" s="11" t="str">
        <f>_xlfn.XLOOKUP(Orders!C1254,Products!A1254:A1753,Products!D1254:D1753,"Price Missing",0)</f>
        <v>Price Missing</v>
      </c>
      <c r="J1254" s="19">
        <f t="shared" si="19"/>
        <v>0</v>
      </c>
    </row>
    <row r="1255" spans="1:10" x14ac:dyDescent="0.35">
      <c r="A1255" s="4" t="s">
        <v>5275</v>
      </c>
      <c r="B1255" s="7" t="s">
        <v>2309</v>
      </c>
      <c r="C1255" s="7" t="s">
        <v>3616</v>
      </c>
      <c r="D1255" s="5">
        <v>3</v>
      </c>
      <c r="E1255" s="7" t="str">
        <f>_xlfn.XLOOKUP(B1255,Customers!A1255:A2254,Customers!B1255:B2254,"Customer Not Found",0)</f>
        <v>Customer Not Found</v>
      </c>
      <c r="F1255" s="7" t="str">
        <f>_xlfn.XLOOKUP(Orders!B1255,Customers!A1255:A2254,Customers!C1255:C2254,"Country not Found",0)</f>
        <v>Country not Found</v>
      </c>
      <c r="G1255" s="7" t="str">
        <f>_xlfn.XLOOKUP(C1255,Products!A1255:A1754,Products!B1255:B1754,"Product Missing",0)</f>
        <v>Product Missing</v>
      </c>
      <c r="H1255" s="7" t="str">
        <f>_xlfn.XLOOKUP(C1255,Products!A1255:A1754,Products!C1255:C1754,"Category Missing",0)</f>
        <v>Category Missing</v>
      </c>
      <c r="I1255" s="11" t="str">
        <f>_xlfn.XLOOKUP(Orders!C1255,Products!A1255:A1754,Products!D1255:D1754,"Price Missing",0)</f>
        <v>Price Missing</v>
      </c>
      <c r="J1255" s="19">
        <f t="shared" si="19"/>
        <v>0</v>
      </c>
    </row>
    <row r="1256" spans="1:10" x14ac:dyDescent="0.35">
      <c r="A1256" s="4" t="s">
        <v>5276</v>
      </c>
      <c r="B1256" s="7" t="s">
        <v>1760</v>
      </c>
      <c r="C1256" s="7" t="s">
        <v>3504</v>
      </c>
      <c r="D1256" s="5">
        <v>9</v>
      </c>
      <c r="E1256" s="7" t="str">
        <f>_xlfn.XLOOKUP(B1256,Customers!A1256:A2255,Customers!B1256:B2255,"Customer Not Found",0)</f>
        <v>Customer Not Found</v>
      </c>
      <c r="F1256" s="7" t="str">
        <f>_xlfn.XLOOKUP(Orders!B1256,Customers!A1256:A2255,Customers!C1256:C2255,"Country not Found",0)</f>
        <v>Country not Found</v>
      </c>
      <c r="G1256" s="7" t="str">
        <f>_xlfn.XLOOKUP(C1256,Products!A1256:A1755,Products!B1256:B1755,"Product Missing",0)</f>
        <v>Product Missing</v>
      </c>
      <c r="H1256" s="7" t="str">
        <f>_xlfn.XLOOKUP(C1256,Products!A1256:A1755,Products!C1256:C1755,"Category Missing",0)</f>
        <v>Category Missing</v>
      </c>
      <c r="I1256" s="11" t="str">
        <f>_xlfn.XLOOKUP(Orders!C1256,Products!A1256:A1755,Products!D1256:D1755,"Price Missing",0)</f>
        <v>Price Missing</v>
      </c>
      <c r="J1256" s="19">
        <f t="shared" si="19"/>
        <v>0</v>
      </c>
    </row>
    <row r="1257" spans="1:10" x14ac:dyDescent="0.35">
      <c r="A1257" s="4" t="s">
        <v>5277</v>
      </c>
      <c r="B1257" s="7" t="s">
        <v>2123</v>
      </c>
      <c r="C1257" s="7" t="s">
        <v>3034</v>
      </c>
      <c r="D1257" s="5">
        <v>2</v>
      </c>
      <c r="E1257" s="7" t="str">
        <f>_xlfn.XLOOKUP(B1257,Customers!A1257:A2256,Customers!B1257:B2256,"Customer Not Found",0)</f>
        <v>Customer Not Found</v>
      </c>
      <c r="F1257" s="7" t="str">
        <f>_xlfn.XLOOKUP(Orders!B1257,Customers!A1257:A2256,Customers!C1257:C2256,"Country not Found",0)</f>
        <v>Country not Found</v>
      </c>
      <c r="G1257" s="7" t="str">
        <f>_xlfn.XLOOKUP(C1257,Products!A1257:A1756,Products!B1257:B1756,"Product Missing",0)</f>
        <v>Product Missing</v>
      </c>
      <c r="H1257" s="7" t="str">
        <f>_xlfn.XLOOKUP(C1257,Products!A1257:A1756,Products!C1257:C1756,"Category Missing",0)</f>
        <v>Category Missing</v>
      </c>
      <c r="I1257" s="11" t="str">
        <f>_xlfn.XLOOKUP(Orders!C1257,Products!A1257:A1756,Products!D1257:D1756,"Price Missing",0)</f>
        <v>Price Missing</v>
      </c>
      <c r="J1257" s="19">
        <f t="shared" si="19"/>
        <v>0</v>
      </c>
    </row>
    <row r="1258" spans="1:10" x14ac:dyDescent="0.35">
      <c r="A1258" s="4" t="s">
        <v>5278</v>
      </c>
      <c r="B1258" s="7" t="s">
        <v>2213</v>
      </c>
      <c r="C1258" s="7" t="s">
        <v>3578</v>
      </c>
      <c r="D1258" s="5">
        <v>2</v>
      </c>
      <c r="E1258" s="7" t="str">
        <f>_xlfn.XLOOKUP(B1258,Customers!A1258:A2257,Customers!B1258:B2257,"Customer Not Found",0)</f>
        <v>Customer Not Found</v>
      </c>
      <c r="F1258" s="7" t="str">
        <f>_xlfn.XLOOKUP(Orders!B1258,Customers!A1258:A2257,Customers!C1258:C2257,"Country not Found",0)</f>
        <v>Country not Found</v>
      </c>
      <c r="G1258" s="7" t="str">
        <f>_xlfn.XLOOKUP(C1258,Products!A1258:A1757,Products!B1258:B1757,"Product Missing",0)</f>
        <v>Product Missing</v>
      </c>
      <c r="H1258" s="7" t="str">
        <f>_xlfn.XLOOKUP(C1258,Products!A1258:A1757,Products!C1258:C1757,"Category Missing",0)</f>
        <v>Category Missing</v>
      </c>
      <c r="I1258" s="11" t="str">
        <f>_xlfn.XLOOKUP(Orders!C1258,Products!A1258:A1757,Products!D1258:D1757,"Price Missing",0)</f>
        <v>Price Missing</v>
      </c>
      <c r="J1258" s="19">
        <f t="shared" si="19"/>
        <v>0</v>
      </c>
    </row>
    <row r="1259" spans="1:10" x14ac:dyDescent="0.35">
      <c r="A1259" s="4" t="s">
        <v>5279</v>
      </c>
      <c r="B1259" s="7" t="s">
        <v>203</v>
      </c>
      <c r="C1259" s="7" t="s">
        <v>3424</v>
      </c>
      <c r="D1259" s="5">
        <v>6</v>
      </c>
      <c r="E1259" s="7" t="str">
        <f>_xlfn.XLOOKUP(B1259,Customers!A1259:A2258,Customers!B1259:B2258,"Customer Not Found",0)</f>
        <v>Customer Not Found</v>
      </c>
      <c r="F1259" s="7" t="str">
        <f>_xlfn.XLOOKUP(Orders!B1259,Customers!A1259:A2258,Customers!C1259:C2258,"Country not Found",0)</f>
        <v>Country not Found</v>
      </c>
      <c r="G1259" s="7" t="str">
        <f>_xlfn.XLOOKUP(C1259,Products!A1259:A1758,Products!B1259:B1758,"Product Missing",0)</f>
        <v>Product Missing</v>
      </c>
      <c r="H1259" s="7" t="str">
        <f>_xlfn.XLOOKUP(C1259,Products!A1259:A1758,Products!C1259:C1758,"Category Missing",0)</f>
        <v>Category Missing</v>
      </c>
      <c r="I1259" s="11" t="str">
        <f>_xlfn.XLOOKUP(Orders!C1259,Products!A1259:A1758,Products!D1259:D1758,"Price Missing",0)</f>
        <v>Price Missing</v>
      </c>
      <c r="J1259" s="19">
        <f t="shared" si="19"/>
        <v>0</v>
      </c>
    </row>
    <row r="1260" spans="1:10" x14ac:dyDescent="0.35">
      <c r="A1260" s="4" t="s">
        <v>5280</v>
      </c>
      <c r="B1260" s="7" t="s">
        <v>2558</v>
      </c>
      <c r="C1260" s="7" t="s">
        <v>3904</v>
      </c>
      <c r="D1260" s="5">
        <v>4</v>
      </c>
      <c r="E1260" s="7" t="str">
        <f>_xlfn.XLOOKUP(B1260,Customers!A1260:A2259,Customers!B1260:B2259,"Customer Not Found",0)</f>
        <v>Customer Not Found</v>
      </c>
      <c r="F1260" s="7" t="str">
        <f>_xlfn.XLOOKUP(Orders!B1260,Customers!A1260:A2259,Customers!C1260:C2259,"Country not Found",0)</f>
        <v>Country not Found</v>
      </c>
      <c r="G1260" s="7" t="str">
        <f>_xlfn.XLOOKUP(C1260,Products!A1260:A1759,Products!B1260:B1759,"Product Missing",0)</f>
        <v>Product Missing</v>
      </c>
      <c r="H1260" s="7" t="str">
        <f>_xlfn.XLOOKUP(C1260,Products!A1260:A1759,Products!C1260:C1759,"Category Missing",0)</f>
        <v>Category Missing</v>
      </c>
      <c r="I1260" s="11" t="str">
        <f>_xlfn.XLOOKUP(Orders!C1260,Products!A1260:A1759,Products!D1260:D1759,"Price Missing",0)</f>
        <v>Price Missing</v>
      </c>
      <c r="J1260" s="19">
        <f t="shared" si="19"/>
        <v>0</v>
      </c>
    </row>
    <row r="1261" spans="1:10" x14ac:dyDescent="0.35">
      <c r="A1261" s="4" t="s">
        <v>5281</v>
      </c>
      <c r="B1261" s="7" t="s">
        <v>617</v>
      </c>
      <c r="C1261" s="7" t="s">
        <v>3870</v>
      </c>
      <c r="D1261" s="5">
        <v>3</v>
      </c>
      <c r="E1261" s="7" t="str">
        <f>_xlfn.XLOOKUP(B1261,Customers!A1261:A2260,Customers!B1261:B2260,"Customer Not Found",0)</f>
        <v>Customer Not Found</v>
      </c>
      <c r="F1261" s="7" t="str">
        <f>_xlfn.XLOOKUP(Orders!B1261,Customers!A1261:A2260,Customers!C1261:C2260,"Country not Found",0)</f>
        <v>Country not Found</v>
      </c>
      <c r="G1261" s="7" t="str">
        <f>_xlfn.XLOOKUP(C1261,Products!A1261:A1760,Products!B1261:B1760,"Product Missing",0)</f>
        <v>Product Missing</v>
      </c>
      <c r="H1261" s="7" t="str">
        <f>_xlfn.XLOOKUP(C1261,Products!A1261:A1760,Products!C1261:C1760,"Category Missing",0)</f>
        <v>Category Missing</v>
      </c>
      <c r="I1261" s="11" t="str">
        <f>_xlfn.XLOOKUP(Orders!C1261,Products!A1261:A1760,Products!D1261:D1760,"Price Missing",0)</f>
        <v>Price Missing</v>
      </c>
      <c r="J1261" s="19">
        <f t="shared" si="19"/>
        <v>0</v>
      </c>
    </row>
    <row r="1262" spans="1:10" x14ac:dyDescent="0.35">
      <c r="A1262" s="4" t="s">
        <v>5282</v>
      </c>
      <c r="B1262" s="7" t="s">
        <v>1619</v>
      </c>
      <c r="C1262" s="7" t="s">
        <v>3074</v>
      </c>
      <c r="D1262" s="5">
        <v>2</v>
      </c>
      <c r="E1262" s="7" t="str">
        <f>_xlfn.XLOOKUP(B1262,Customers!A1262:A2261,Customers!B1262:B2261,"Customer Not Found",0)</f>
        <v>Customer Not Found</v>
      </c>
      <c r="F1262" s="7" t="str">
        <f>_xlfn.XLOOKUP(Orders!B1262,Customers!A1262:A2261,Customers!C1262:C2261,"Country not Found",0)</f>
        <v>Country not Found</v>
      </c>
      <c r="G1262" s="7" t="str">
        <f>_xlfn.XLOOKUP(C1262,Products!A1262:A1761,Products!B1262:B1761,"Product Missing",0)</f>
        <v>Product Missing</v>
      </c>
      <c r="H1262" s="7" t="str">
        <f>_xlfn.XLOOKUP(C1262,Products!A1262:A1761,Products!C1262:C1761,"Category Missing",0)</f>
        <v>Category Missing</v>
      </c>
      <c r="I1262" s="11" t="str">
        <f>_xlfn.XLOOKUP(Orders!C1262,Products!A1262:A1761,Products!D1262:D1761,"Price Missing",0)</f>
        <v>Price Missing</v>
      </c>
      <c r="J1262" s="19">
        <f t="shared" si="19"/>
        <v>0</v>
      </c>
    </row>
    <row r="1263" spans="1:10" x14ac:dyDescent="0.35">
      <c r="A1263" s="4" t="s">
        <v>5283</v>
      </c>
      <c r="B1263" s="7" t="s">
        <v>1769</v>
      </c>
      <c r="C1263" s="7" t="s">
        <v>3550</v>
      </c>
      <c r="D1263" s="5">
        <v>8</v>
      </c>
      <c r="E1263" s="7" t="str">
        <f>_xlfn.XLOOKUP(B1263,Customers!A1263:A2262,Customers!B1263:B2262,"Customer Not Found",0)</f>
        <v>Customer Not Found</v>
      </c>
      <c r="F1263" s="7" t="str">
        <f>_xlfn.XLOOKUP(Orders!B1263,Customers!A1263:A2262,Customers!C1263:C2262,"Country not Found",0)</f>
        <v>Country not Found</v>
      </c>
      <c r="G1263" s="7" t="str">
        <f>_xlfn.XLOOKUP(C1263,Products!A1263:A1762,Products!B1263:B1762,"Product Missing",0)</f>
        <v>Product Missing</v>
      </c>
      <c r="H1263" s="7" t="str">
        <f>_xlfn.XLOOKUP(C1263,Products!A1263:A1762,Products!C1263:C1762,"Category Missing",0)</f>
        <v>Category Missing</v>
      </c>
      <c r="I1263" s="11" t="str">
        <f>_xlfn.XLOOKUP(Orders!C1263,Products!A1263:A1762,Products!D1263:D1762,"Price Missing",0)</f>
        <v>Price Missing</v>
      </c>
      <c r="J1263" s="19">
        <f t="shared" si="19"/>
        <v>0</v>
      </c>
    </row>
    <row r="1264" spans="1:10" x14ac:dyDescent="0.35">
      <c r="A1264" s="4" t="s">
        <v>5284</v>
      </c>
      <c r="B1264" s="7" t="s">
        <v>2609</v>
      </c>
      <c r="C1264" s="7" t="s">
        <v>3276</v>
      </c>
      <c r="D1264" s="5">
        <v>9</v>
      </c>
      <c r="E1264" s="7" t="str">
        <f>_xlfn.XLOOKUP(B1264,Customers!A1264:A2263,Customers!B1264:B2263,"Customer Not Found",0)</f>
        <v>Customer Not Found</v>
      </c>
      <c r="F1264" s="7" t="str">
        <f>_xlfn.XLOOKUP(Orders!B1264,Customers!A1264:A2263,Customers!C1264:C2263,"Country not Found",0)</f>
        <v>Country not Found</v>
      </c>
      <c r="G1264" s="7" t="str">
        <f>_xlfn.XLOOKUP(C1264,Products!A1264:A1763,Products!B1264:B1763,"Product Missing",0)</f>
        <v>Product Missing</v>
      </c>
      <c r="H1264" s="7" t="str">
        <f>_xlfn.XLOOKUP(C1264,Products!A1264:A1763,Products!C1264:C1763,"Category Missing",0)</f>
        <v>Category Missing</v>
      </c>
      <c r="I1264" s="11" t="str">
        <f>_xlfn.XLOOKUP(Orders!C1264,Products!A1264:A1763,Products!D1264:D1763,"Price Missing",0)</f>
        <v>Price Missing</v>
      </c>
      <c r="J1264" s="19">
        <f t="shared" si="19"/>
        <v>0</v>
      </c>
    </row>
    <row r="1265" spans="1:10" x14ac:dyDescent="0.35">
      <c r="A1265" s="4" t="s">
        <v>5285</v>
      </c>
      <c r="B1265" s="7" t="s">
        <v>2873</v>
      </c>
      <c r="C1265" s="7" t="s">
        <v>3736</v>
      </c>
      <c r="D1265" s="5">
        <v>6</v>
      </c>
      <c r="E1265" s="7" t="str">
        <f>_xlfn.XLOOKUP(B1265,Customers!A1265:A2264,Customers!B1265:B2264,"Customer Not Found",0)</f>
        <v>Customer Not Found</v>
      </c>
      <c r="F1265" s="7" t="str">
        <f>_xlfn.XLOOKUP(Orders!B1265,Customers!A1265:A2264,Customers!C1265:C2264,"Country not Found",0)</f>
        <v>Country not Found</v>
      </c>
      <c r="G1265" s="7" t="str">
        <f>_xlfn.XLOOKUP(C1265,Products!A1265:A1764,Products!B1265:B1764,"Product Missing",0)</f>
        <v>Product Missing</v>
      </c>
      <c r="H1265" s="7" t="str">
        <f>_xlfn.XLOOKUP(C1265,Products!A1265:A1764,Products!C1265:C1764,"Category Missing",0)</f>
        <v>Category Missing</v>
      </c>
      <c r="I1265" s="11" t="str">
        <f>_xlfn.XLOOKUP(Orders!C1265,Products!A1265:A1764,Products!D1265:D1764,"Price Missing",0)</f>
        <v>Price Missing</v>
      </c>
      <c r="J1265" s="19">
        <f t="shared" si="19"/>
        <v>0</v>
      </c>
    </row>
    <row r="1266" spans="1:10" x14ac:dyDescent="0.35">
      <c r="A1266" s="4" t="s">
        <v>5286</v>
      </c>
      <c r="B1266" s="7" t="s">
        <v>1460</v>
      </c>
      <c r="C1266" s="7" t="s">
        <v>3584</v>
      </c>
      <c r="D1266" s="5">
        <v>5</v>
      </c>
      <c r="E1266" s="7" t="str">
        <f>_xlfn.XLOOKUP(B1266,Customers!A1266:A2265,Customers!B1266:B2265,"Customer Not Found",0)</f>
        <v>Customer Not Found</v>
      </c>
      <c r="F1266" s="7" t="str">
        <f>_xlfn.XLOOKUP(Orders!B1266,Customers!A1266:A2265,Customers!C1266:C2265,"Country not Found",0)</f>
        <v>Country not Found</v>
      </c>
      <c r="G1266" s="7" t="str">
        <f>_xlfn.XLOOKUP(C1266,Products!A1266:A1765,Products!B1266:B1765,"Product Missing",0)</f>
        <v>Product Missing</v>
      </c>
      <c r="H1266" s="7" t="str">
        <f>_xlfn.XLOOKUP(C1266,Products!A1266:A1765,Products!C1266:C1765,"Category Missing",0)</f>
        <v>Category Missing</v>
      </c>
      <c r="I1266" s="11" t="str">
        <f>_xlfn.XLOOKUP(Orders!C1266,Products!A1266:A1765,Products!D1266:D1765,"Price Missing",0)</f>
        <v>Price Missing</v>
      </c>
      <c r="J1266" s="19">
        <f t="shared" si="19"/>
        <v>0</v>
      </c>
    </row>
    <row r="1267" spans="1:10" x14ac:dyDescent="0.35">
      <c r="A1267" s="4" t="s">
        <v>5287</v>
      </c>
      <c r="B1267" s="7" t="s">
        <v>2804</v>
      </c>
      <c r="C1267" s="7" t="s">
        <v>3896</v>
      </c>
      <c r="D1267" s="5">
        <v>2</v>
      </c>
      <c r="E1267" s="7" t="str">
        <f>_xlfn.XLOOKUP(B1267,Customers!A1267:A2266,Customers!B1267:B2266,"Customer Not Found",0)</f>
        <v>Customer Not Found</v>
      </c>
      <c r="F1267" s="7" t="str">
        <f>_xlfn.XLOOKUP(Orders!B1267,Customers!A1267:A2266,Customers!C1267:C2266,"Country not Found",0)</f>
        <v>Country not Found</v>
      </c>
      <c r="G1267" s="7" t="str">
        <f>_xlfn.XLOOKUP(C1267,Products!A1267:A1766,Products!B1267:B1766,"Product Missing",0)</f>
        <v>Product Missing</v>
      </c>
      <c r="H1267" s="7" t="str">
        <f>_xlfn.XLOOKUP(C1267,Products!A1267:A1766,Products!C1267:C1766,"Category Missing",0)</f>
        <v>Category Missing</v>
      </c>
      <c r="I1267" s="11" t="str">
        <f>_xlfn.XLOOKUP(Orders!C1267,Products!A1267:A1766,Products!D1267:D1766,"Price Missing",0)</f>
        <v>Price Missing</v>
      </c>
      <c r="J1267" s="19">
        <f t="shared" si="19"/>
        <v>0</v>
      </c>
    </row>
    <row r="1268" spans="1:10" x14ac:dyDescent="0.35">
      <c r="A1268" s="4" t="s">
        <v>5288</v>
      </c>
      <c r="B1268" s="7" t="s">
        <v>836</v>
      </c>
      <c r="C1268" s="7" t="s">
        <v>3140</v>
      </c>
      <c r="D1268" s="5">
        <v>8</v>
      </c>
      <c r="E1268" s="7" t="str">
        <f>_xlfn.XLOOKUP(B1268,Customers!A1268:A2267,Customers!B1268:B2267,"Customer Not Found",0)</f>
        <v>Customer Not Found</v>
      </c>
      <c r="F1268" s="7" t="str">
        <f>_xlfn.XLOOKUP(Orders!B1268,Customers!A1268:A2267,Customers!C1268:C2267,"Country not Found",0)</f>
        <v>Country not Found</v>
      </c>
      <c r="G1268" s="7" t="str">
        <f>_xlfn.XLOOKUP(C1268,Products!A1268:A1767,Products!B1268:B1767,"Product Missing",0)</f>
        <v>Product Missing</v>
      </c>
      <c r="H1268" s="7" t="str">
        <f>_xlfn.XLOOKUP(C1268,Products!A1268:A1767,Products!C1268:C1767,"Category Missing",0)</f>
        <v>Category Missing</v>
      </c>
      <c r="I1268" s="11" t="str">
        <f>_xlfn.XLOOKUP(Orders!C1268,Products!A1268:A1767,Products!D1268:D1767,"Price Missing",0)</f>
        <v>Price Missing</v>
      </c>
      <c r="J1268" s="19">
        <f t="shared" si="19"/>
        <v>0</v>
      </c>
    </row>
    <row r="1269" spans="1:10" x14ac:dyDescent="0.35">
      <c r="A1269" s="4" t="s">
        <v>5289</v>
      </c>
      <c r="B1269" s="7" t="s">
        <v>2672</v>
      </c>
      <c r="C1269" s="7" t="s">
        <v>3188</v>
      </c>
      <c r="D1269" s="5">
        <v>4</v>
      </c>
      <c r="E1269" s="7" t="str">
        <f>_xlfn.XLOOKUP(B1269,Customers!A1269:A2268,Customers!B1269:B2268,"Customer Not Found",0)</f>
        <v>Customer Not Found</v>
      </c>
      <c r="F1269" s="7" t="str">
        <f>_xlfn.XLOOKUP(Orders!B1269,Customers!A1269:A2268,Customers!C1269:C2268,"Country not Found",0)</f>
        <v>Country not Found</v>
      </c>
      <c r="G1269" s="7" t="str">
        <f>_xlfn.XLOOKUP(C1269,Products!A1269:A1768,Products!B1269:B1768,"Product Missing",0)</f>
        <v>Product Missing</v>
      </c>
      <c r="H1269" s="7" t="str">
        <f>_xlfn.XLOOKUP(C1269,Products!A1269:A1768,Products!C1269:C1768,"Category Missing",0)</f>
        <v>Category Missing</v>
      </c>
      <c r="I1269" s="11" t="str">
        <f>_xlfn.XLOOKUP(Orders!C1269,Products!A1269:A1768,Products!D1269:D1768,"Price Missing",0)</f>
        <v>Price Missing</v>
      </c>
      <c r="J1269" s="19">
        <f t="shared" si="19"/>
        <v>0</v>
      </c>
    </row>
    <row r="1270" spans="1:10" x14ac:dyDescent="0.35">
      <c r="A1270" s="4" t="s">
        <v>5290</v>
      </c>
      <c r="B1270" s="7" t="s">
        <v>665</v>
      </c>
      <c r="C1270" s="7" t="s">
        <v>3128</v>
      </c>
      <c r="D1270" s="5">
        <v>7</v>
      </c>
      <c r="E1270" s="7" t="str">
        <f>_xlfn.XLOOKUP(B1270,Customers!A1270:A2269,Customers!B1270:B2269,"Customer Not Found",0)</f>
        <v>Customer Not Found</v>
      </c>
      <c r="F1270" s="7" t="str">
        <f>_xlfn.XLOOKUP(Orders!B1270,Customers!A1270:A2269,Customers!C1270:C2269,"Country not Found",0)</f>
        <v>Country not Found</v>
      </c>
      <c r="G1270" s="7" t="str">
        <f>_xlfn.XLOOKUP(C1270,Products!A1270:A1769,Products!B1270:B1769,"Product Missing",0)</f>
        <v>Product Missing</v>
      </c>
      <c r="H1270" s="7" t="str">
        <f>_xlfn.XLOOKUP(C1270,Products!A1270:A1769,Products!C1270:C1769,"Category Missing",0)</f>
        <v>Category Missing</v>
      </c>
      <c r="I1270" s="11" t="str">
        <f>_xlfn.XLOOKUP(Orders!C1270,Products!A1270:A1769,Products!D1270:D1769,"Price Missing",0)</f>
        <v>Price Missing</v>
      </c>
      <c r="J1270" s="19">
        <f t="shared" si="19"/>
        <v>0</v>
      </c>
    </row>
    <row r="1271" spans="1:10" x14ac:dyDescent="0.35">
      <c r="A1271" s="4" t="s">
        <v>5291</v>
      </c>
      <c r="B1271" s="7" t="s">
        <v>70</v>
      </c>
      <c r="C1271" s="7" t="s">
        <v>3200</v>
      </c>
      <c r="D1271" s="5">
        <v>3</v>
      </c>
      <c r="E1271" s="7" t="str">
        <f>_xlfn.XLOOKUP(B1271,Customers!A1271:A2270,Customers!B1271:B2270,"Customer Not Found",0)</f>
        <v>Customer Not Found</v>
      </c>
      <c r="F1271" s="7" t="str">
        <f>_xlfn.XLOOKUP(Orders!B1271,Customers!A1271:A2270,Customers!C1271:C2270,"Country not Found",0)</f>
        <v>Country not Found</v>
      </c>
      <c r="G1271" s="7" t="str">
        <f>_xlfn.XLOOKUP(C1271,Products!A1271:A1770,Products!B1271:B1770,"Product Missing",0)</f>
        <v>Product Missing</v>
      </c>
      <c r="H1271" s="7" t="str">
        <f>_xlfn.XLOOKUP(C1271,Products!A1271:A1770,Products!C1271:C1770,"Category Missing",0)</f>
        <v>Category Missing</v>
      </c>
      <c r="I1271" s="11" t="str">
        <f>_xlfn.XLOOKUP(Orders!C1271,Products!A1271:A1770,Products!D1271:D1770,"Price Missing",0)</f>
        <v>Price Missing</v>
      </c>
      <c r="J1271" s="19">
        <f t="shared" si="19"/>
        <v>0</v>
      </c>
    </row>
    <row r="1272" spans="1:10" x14ac:dyDescent="0.35">
      <c r="A1272" s="4" t="s">
        <v>5292</v>
      </c>
      <c r="B1272" s="7" t="s">
        <v>896</v>
      </c>
      <c r="C1272" s="7" t="s">
        <v>3204</v>
      </c>
      <c r="D1272" s="5">
        <v>8</v>
      </c>
      <c r="E1272" s="7" t="str">
        <f>_xlfn.XLOOKUP(B1272,Customers!A1272:A2271,Customers!B1272:B2271,"Customer Not Found",0)</f>
        <v>Customer Not Found</v>
      </c>
      <c r="F1272" s="7" t="str">
        <f>_xlfn.XLOOKUP(Orders!B1272,Customers!A1272:A2271,Customers!C1272:C2271,"Country not Found",0)</f>
        <v>Country not Found</v>
      </c>
      <c r="G1272" s="7" t="str">
        <f>_xlfn.XLOOKUP(C1272,Products!A1272:A1771,Products!B1272:B1771,"Product Missing",0)</f>
        <v>Product Missing</v>
      </c>
      <c r="H1272" s="7" t="str">
        <f>_xlfn.XLOOKUP(C1272,Products!A1272:A1771,Products!C1272:C1771,"Category Missing",0)</f>
        <v>Category Missing</v>
      </c>
      <c r="I1272" s="11" t="str">
        <f>_xlfn.XLOOKUP(Orders!C1272,Products!A1272:A1771,Products!D1272:D1771,"Price Missing",0)</f>
        <v>Price Missing</v>
      </c>
      <c r="J1272" s="19">
        <f t="shared" si="19"/>
        <v>0</v>
      </c>
    </row>
    <row r="1273" spans="1:10" x14ac:dyDescent="0.35">
      <c r="A1273" s="4" t="s">
        <v>5293</v>
      </c>
      <c r="B1273" s="7" t="s">
        <v>1568</v>
      </c>
      <c r="C1273" s="7" t="s">
        <v>3168</v>
      </c>
      <c r="D1273" s="5">
        <v>9</v>
      </c>
      <c r="E1273" s="7" t="str">
        <f>_xlfn.XLOOKUP(B1273,Customers!A1273:A2272,Customers!B1273:B2272,"Customer Not Found",0)</f>
        <v>Customer Not Found</v>
      </c>
      <c r="F1273" s="7" t="str">
        <f>_xlfn.XLOOKUP(Orders!B1273,Customers!A1273:A2272,Customers!C1273:C2272,"Country not Found",0)</f>
        <v>Country not Found</v>
      </c>
      <c r="G1273" s="7" t="str">
        <f>_xlfn.XLOOKUP(C1273,Products!A1273:A1772,Products!B1273:B1772,"Product Missing",0)</f>
        <v>Product Missing</v>
      </c>
      <c r="H1273" s="7" t="str">
        <f>_xlfn.XLOOKUP(C1273,Products!A1273:A1772,Products!C1273:C1772,"Category Missing",0)</f>
        <v>Category Missing</v>
      </c>
      <c r="I1273" s="11" t="str">
        <f>_xlfn.XLOOKUP(Orders!C1273,Products!A1273:A1772,Products!D1273:D1772,"Price Missing",0)</f>
        <v>Price Missing</v>
      </c>
      <c r="J1273" s="19">
        <f t="shared" si="19"/>
        <v>0</v>
      </c>
    </row>
    <row r="1274" spans="1:10" x14ac:dyDescent="0.35">
      <c r="A1274" s="4" t="s">
        <v>5294</v>
      </c>
      <c r="B1274" s="7" t="s">
        <v>959</v>
      </c>
      <c r="C1274" s="7" t="s">
        <v>3084</v>
      </c>
      <c r="D1274" s="5">
        <v>2</v>
      </c>
      <c r="E1274" s="7" t="str">
        <f>_xlfn.XLOOKUP(B1274,Customers!A1274:A2273,Customers!B1274:B2273,"Customer Not Found",0)</f>
        <v>Customer Not Found</v>
      </c>
      <c r="F1274" s="7" t="str">
        <f>_xlfn.XLOOKUP(Orders!B1274,Customers!A1274:A2273,Customers!C1274:C2273,"Country not Found",0)</f>
        <v>Country not Found</v>
      </c>
      <c r="G1274" s="7" t="str">
        <f>_xlfn.XLOOKUP(C1274,Products!A1274:A1773,Products!B1274:B1773,"Product Missing",0)</f>
        <v>Product Missing</v>
      </c>
      <c r="H1274" s="7" t="str">
        <f>_xlfn.XLOOKUP(C1274,Products!A1274:A1773,Products!C1274:C1773,"Category Missing",0)</f>
        <v>Category Missing</v>
      </c>
      <c r="I1274" s="11" t="str">
        <f>_xlfn.XLOOKUP(Orders!C1274,Products!A1274:A1773,Products!D1274:D1773,"Price Missing",0)</f>
        <v>Price Missing</v>
      </c>
      <c r="J1274" s="19">
        <f t="shared" si="19"/>
        <v>0</v>
      </c>
    </row>
    <row r="1275" spans="1:10" x14ac:dyDescent="0.35">
      <c r="A1275" s="4" t="s">
        <v>5295</v>
      </c>
      <c r="B1275" s="7" t="s">
        <v>1772</v>
      </c>
      <c r="C1275" s="7" t="s">
        <v>3300</v>
      </c>
      <c r="D1275" s="5">
        <v>6</v>
      </c>
      <c r="E1275" s="7" t="str">
        <f>_xlfn.XLOOKUP(B1275,Customers!A1275:A2274,Customers!B1275:B2274,"Customer Not Found",0)</f>
        <v>Customer Not Found</v>
      </c>
      <c r="F1275" s="7" t="str">
        <f>_xlfn.XLOOKUP(Orders!B1275,Customers!A1275:A2274,Customers!C1275:C2274,"Country not Found",0)</f>
        <v>Country not Found</v>
      </c>
      <c r="G1275" s="7" t="str">
        <f>_xlfn.XLOOKUP(C1275,Products!A1275:A1774,Products!B1275:B1774,"Product Missing",0)</f>
        <v>Product Missing</v>
      </c>
      <c r="H1275" s="7" t="str">
        <f>_xlfn.XLOOKUP(C1275,Products!A1275:A1774,Products!C1275:C1774,"Category Missing",0)</f>
        <v>Category Missing</v>
      </c>
      <c r="I1275" s="11" t="str">
        <f>_xlfn.XLOOKUP(Orders!C1275,Products!A1275:A1774,Products!D1275:D1774,"Price Missing",0)</f>
        <v>Price Missing</v>
      </c>
      <c r="J1275" s="19">
        <f t="shared" si="19"/>
        <v>0</v>
      </c>
    </row>
    <row r="1276" spans="1:10" x14ac:dyDescent="0.35">
      <c r="A1276" s="4" t="s">
        <v>5296</v>
      </c>
      <c r="B1276" s="7" t="s">
        <v>1994</v>
      </c>
      <c r="C1276" s="7" t="s">
        <v>3656</v>
      </c>
      <c r="D1276" s="5">
        <v>2</v>
      </c>
      <c r="E1276" s="7" t="str">
        <f>_xlfn.XLOOKUP(B1276,Customers!A1276:A2275,Customers!B1276:B2275,"Customer Not Found",0)</f>
        <v>Customer Not Found</v>
      </c>
      <c r="F1276" s="7" t="str">
        <f>_xlfn.XLOOKUP(Orders!B1276,Customers!A1276:A2275,Customers!C1276:C2275,"Country not Found",0)</f>
        <v>Country not Found</v>
      </c>
      <c r="G1276" s="7" t="str">
        <f>_xlfn.XLOOKUP(C1276,Products!A1276:A1775,Products!B1276:B1775,"Product Missing",0)</f>
        <v>Product Missing</v>
      </c>
      <c r="H1276" s="7" t="str">
        <f>_xlfn.XLOOKUP(C1276,Products!A1276:A1775,Products!C1276:C1775,"Category Missing",0)</f>
        <v>Category Missing</v>
      </c>
      <c r="I1276" s="11" t="str">
        <f>_xlfn.XLOOKUP(Orders!C1276,Products!A1276:A1775,Products!D1276:D1775,"Price Missing",0)</f>
        <v>Price Missing</v>
      </c>
      <c r="J1276" s="19">
        <f t="shared" si="19"/>
        <v>0</v>
      </c>
    </row>
    <row r="1277" spans="1:10" x14ac:dyDescent="0.35">
      <c r="A1277" s="4" t="s">
        <v>5297</v>
      </c>
      <c r="B1277" s="7" t="s">
        <v>2402</v>
      </c>
      <c r="C1277" s="7" t="s">
        <v>3037</v>
      </c>
      <c r="D1277" s="5">
        <v>1</v>
      </c>
      <c r="E1277" s="7" t="str">
        <f>_xlfn.XLOOKUP(B1277,Customers!A1277:A2276,Customers!B1277:B2276,"Customer Not Found",0)</f>
        <v>Customer Not Found</v>
      </c>
      <c r="F1277" s="7" t="str">
        <f>_xlfn.XLOOKUP(Orders!B1277,Customers!A1277:A2276,Customers!C1277:C2276,"Country not Found",0)</f>
        <v>Country not Found</v>
      </c>
      <c r="G1277" s="7" t="str">
        <f>_xlfn.XLOOKUP(C1277,Products!A1277:A1776,Products!B1277:B1776,"Product Missing",0)</f>
        <v>Product Missing</v>
      </c>
      <c r="H1277" s="7" t="str">
        <f>_xlfn.XLOOKUP(C1277,Products!A1277:A1776,Products!C1277:C1776,"Category Missing",0)</f>
        <v>Category Missing</v>
      </c>
      <c r="I1277" s="11" t="str">
        <f>_xlfn.XLOOKUP(Orders!C1277,Products!A1277:A1776,Products!D1277:D1776,"Price Missing",0)</f>
        <v>Price Missing</v>
      </c>
      <c r="J1277" s="19">
        <f t="shared" si="19"/>
        <v>0</v>
      </c>
    </row>
    <row r="1278" spans="1:10" x14ac:dyDescent="0.35">
      <c r="A1278" s="4" t="s">
        <v>5298</v>
      </c>
      <c r="B1278" s="7" t="s">
        <v>542</v>
      </c>
      <c r="C1278" s="7" t="s">
        <v>3200</v>
      </c>
      <c r="D1278" s="5">
        <v>10</v>
      </c>
      <c r="E1278" s="7" t="str">
        <f>_xlfn.XLOOKUP(B1278,Customers!A1278:A2277,Customers!B1278:B2277,"Customer Not Found",0)</f>
        <v>Customer Not Found</v>
      </c>
      <c r="F1278" s="7" t="str">
        <f>_xlfn.XLOOKUP(Orders!B1278,Customers!A1278:A2277,Customers!C1278:C2277,"Country not Found",0)</f>
        <v>Country not Found</v>
      </c>
      <c r="G1278" s="7" t="str">
        <f>_xlfn.XLOOKUP(C1278,Products!A1278:A1777,Products!B1278:B1777,"Product Missing",0)</f>
        <v>Product Missing</v>
      </c>
      <c r="H1278" s="7" t="str">
        <f>_xlfn.XLOOKUP(C1278,Products!A1278:A1777,Products!C1278:C1777,"Category Missing",0)</f>
        <v>Category Missing</v>
      </c>
      <c r="I1278" s="11" t="str">
        <f>_xlfn.XLOOKUP(Orders!C1278,Products!A1278:A1777,Products!D1278:D1777,"Price Missing",0)</f>
        <v>Price Missing</v>
      </c>
      <c r="J1278" s="19">
        <f t="shared" si="19"/>
        <v>0</v>
      </c>
    </row>
    <row r="1279" spans="1:10" x14ac:dyDescent="0.35">
      <c r="A1279" s="4" t="s">
        <v>5299</v>
      </c>
      <c r="B1279" s="7" t="s">
        <v>1124</v>
      </c>
      <c r="C1279" s="7" t="s">
        <v>3778</v>
      </c>
      <c r="D1279" s="5">
        <v>9</v>
      </c>
      <c r="E1279" s="7" t="str">
        <f>_xlfn.XLOOKUP(B1279,Customers!A1279:A2278,Customers!B1279:B2278,"Customer Not Found",0)</f>
        <v>Customer Not Found</v>
      </c>
      <c r="F1279" s="7" t="str">
        <f>_xlfn.XLOOKUP(Orders!B1279,Customers!A1279:A2278,Customers!C1279:C2278,"Country not Found",0)</f>
        <v>Country not Found</v>
      </c>
      <c r="G1279" s="7" t="str">
        <f>_xlfn.XLOOKUP(C1279,Products!A1279:A1778,Products!B1279:B1778,"Product Missing",0)</f>
        <v>Product Missing</v>
      </c>
      <c r="H1279" s="7" t="str">
        <f>_xlfn.XLOOKUP(C1279,Products!A1279:A1778,Products!C1279:C1778,"Category Missing",0)</f>
        <v>Category Missing</v>
      </c>
      <c r="I1279" s="11" t="str">
        <f>_xlfn.XLOOKUP(Orders!C1279,Products!A1279:A1778,Products!D1279:D1778,"Price Missing",0)</f>
        <v>Price Missing</v>
      </c>
      <c r="J1279" s="19">
        <f t="shared" si="19"/>
        <v>0</v>
      </c>
    </row>
    <row r="1280" spans="1:10" x14ac:dyDescent="0.35">
      <c r="A1280" s="4" t="s">
        <v>5300</v>
      </c>
      <c r="B1280" s="7" t="s">
        <v>167</v>
      </c>
      <c r="C1280" s="7" t="s">
        <v>3488</v>
      </c>
      <c r="D1280" s="5">
        <v>6</v>
      </c>
      <c r="E1280" s="7" t="str">
        <f>_xlfn.XLOOKUP(B1280,Customers!A1280:A2279,Customers!B1280:B2279,"Customer Not Found",0)</f>
        <v>Customer Not Found</v>
      </c>
      <c r="F1280" s="7" t="str">
        <f>_xlfn.XLOOKUP(Orders!B1280,Customers!A1280:A2279,Customers!C1280:C2279,"Country not Found",0)</f>
        <v>Country not Found</v>
      </c>
      <c r="G1280" s="7" t="str">
        <f>_xlfn.XLOOKUP(C1280,Products!A1280:A1779,Products!B1280:B1779,"Product Missing",0)</f>
        <v>Product Missing</v>
      </c>
      <c r="H1280" s="7" t="str">
        <f>_xlfn.XLOOKUP(C1280,Products!A1280:A1779,Products!C1280:C1779,"Category Missing",0)</f>
        <v>Category Missing</v>
      </c>
      <c r="I1280" s="11" t="str">
        <f>_xlfn.XLOOKUP(Orders!C1280,Products!A1280:A1779,Products!D1280:D1779,"Price Missing",0)</f>
        <v>Price Missing</v>
      </c>
      <c r="J1280" s="19">
        <f t="shared" si="19"/>
        <v>0</v>
      </c>
    </row>
    <row r="1281" spans="1:10" x14ac:dyDescent="0.35">
      <c r="A1281" s="4" t="s">
        <v>5301</v>
      </c>
      <c r="B1281" s="7" t="s">
        <v>761</v>
      </c>
      <c r="C1281" s="7" t="s">
        <v>3692</v>
      </c>
      <c r="D1281" s="5">
        <v>2</v>
      </c>
      <c r="E1281" s="7" t="str">
        <f>_xlfn.XLOOKUP(B1281,Customers!A1281:A2280,Customers!B1281:B2280,"Customer Not Found",0)</f>
        <v>Customer Not Found</v>
      </c>
      <c r="F1281" s="7" t="str">
        <f>_xlfn.XLOOKUP(Orders!B1281,Customers!A1281:A2280,Customers!C1281:C2280,"Country not Found",0)</f>
        <v>Country not Found</v>
      </c>
      <c r="G1281" s="7" t="str">
        <f>_xlfn.XLOOKUP(C1281,Products!A1281:A1780,Products!B1281:B1780,"Product Missing",0)</f>
        <v>Product Missing</v>
      </c>
      <c r="H1281" s="7" t="str">
        <f>_xlfn.XLOOKUP(C1281,Products!A1281:A1780,Products!C1281:C1780,"Category Missing",0)</f>
        <v>Category Missing</v>
      </c>
      <c r="I1281" s="11" t="str">
        <f>_xlfn.XLOOKUP(Orders!C1281,Products!A1281:A1780,Products!D1281:D1780,"Price Missing",0)</f>
        <v>Price Missing</v>
      </c>
      <c r="J1281" s="19">
        <f t="shared" si="19"/>
        <v>0</v>
      </c>
    </row>
    <row r="1282" spans="1:10" x14ac:dyDescent="0.35">
      <c r="A1282" s="4" t="s">
        <v>5302</v>
      </c>
      <c r="B1282" s="7" t="s">
        <v>1430</v>
      </c>
      <c r="C1282" s="7" t="s">
        <v>3684</v>
      </c>
      <c r="D1282" s="5">
        <v>6</v>
      </c>
      <c r="E1282" s="7" t="str">
        <f>_xlfn.XLOOKUP(B1282,Customers!A1282:A2281,Customers!B1282:B2281,"Customer Not Found",0)</f>
        <v>Customer Not Found</v>
      </c>
      <c r="F1282" s="7" t="str">
        <f>_xlfn.XLOOKUP(Orders!B1282,Customers!A1282:A2281,Customers!C1282:C2281,"Country not Found",0)</f>
        <v>Country not Found</v>
      </c>
      <c r="G1282" s="7" t="str">
        <f>_xlfn.XLOOKUP(C1282,Products!A1282:A1781,Products!B1282:B1781,"Product Missing",0)</f>
        <v>Product Missing</v>
      </c>
      <c r="H1282" s="7" t="str">
        <f>_xlfn.XLOOKUP(C1282,Products!A1282:A1781,Products!C1282:C1781,"Category Missing",0)</f>
        <v>Category Missing</v>
      </c>
      <c r="I1282" s="11" t="str">
        <f>_xlfn.XLOOKUP(Orders!C1282,Products!A1282:A1781,Products!D1282:D1781,"Price Missing",0)</f>
        <v>Price Missing</v>
      </c>
      <c r="J1282" s="19">
        <f t="shared" si="19"/>
        <v>0</v>
      </c>
    </row>
    <row r="1283" spans="1:10" x14ac:dyDescent="0.35">
      <c r="A1283" s="4" t="s">
        <v>5303</v>
      </c>
      <c r="B1283" s="7" t="s">
        <v>719</v>
      </c>
      <c r="C1283" s="7" t="s">
        <v>3958</v>
      </c>
      <c r="D1283" s="5">
        <v>2</v>
      </c>
      <c r="E1283" s="7" t="str">
        <f>_xlfn.XLOOKUP(B1283,Customers!A1283:A2282,Customers!B1283:B2282,"Customer Not Found",0)</f>
        <v>Customer Not Found</v>
      </c>
      <c r="F1283" s="7" t="str">
        <f>_xlfn.XLOOKUP(Orders!B1283,Customers!A1283:A2282,Customers!C1283:C2282,"Country not Found",0)</f>
        <v>Country not Found</v>
      </c>
      <c r="G1283" s="7" t="str">
        <f>_xlfn.XLOOKUP(C1283,Products!A1283:A1782,Products!B1283:B1782,"Product Missing",0)</f>
        <v>Product Missing</v>
      </c>
      <c r="H1283" s="7" t="str">
        <f>_xlfn.XLOOKUP(C1283,Products!A1283:A1782,Products!C1283:C1782,"Category Missing",0)</f>
        <v>Category Missing</v>
      </c>
      <c r="I1283" s="11" t="str">
        <f>_xlfn.XLOOKUP(Orders!C1283,Products!A1283:A1782,Products!D1283:D1782,"Price Missing",0)</f>
        <v>Price Missing</v>
      </c>
      <c r="J1283" s="19">
        <f t="shared" ref="J1283:J1346" si="20">IFERROR(I1283*D1283,0)</f>
        <v>0</v>
      </c>
    </row>
    <row r="1284" spans="1:10" x14ac:dyDescent="0.35">
      <c r="A1284" s="4" t="s">
        <v>5304</v>
      </c>
      <c r="B1284" s="7" t="s">
        <v>2930</v>
      </c>
      <c r="C1284" s="7" t="s">
        <v>3816</v>
      </c>
      <c r="D1284" s="5">
        <v>1</v>
      </c>
      <c r="E1284" s="7" t="str">
        <f>_xlfn.XLOOKUP(B1284,Customers!A1284:A2283,Customers!B1284:B2283,"Customer Not Found",0)</f>
        <v>Customer Not Found</v>
      </c>
      <c r="F1284" s="7" t="str">
        <f>_xlfn.XLOOKUP(Orders!B1284,Customers!A1284:A2283,Customers!C1284:C2283,"Country not Found",0)</f>
        <v>Country not Found</v>
      </c>
      <c r="G1284" s="7" t="str">
        <f>_xlfn.XLOOKUP(C1284,Products!A1284:A1783,Products!B1284:B1783,"Product Missing",0)</f>
        <v>Product Missing</v>
      </c>
      <c r="H1284" s="7" t="str">
        <f>_xlfn.XLOOKUP(C1284,Products!A1284:A1783,Products!C1284:C1783,"Category Missing",0)</f>
        <v>Category Missing</v>
      </c>
      <c r="I1284" s="11" t="str">
        <f>_xlfn.XLOOKUP(Orders!C1284,Products!A1284:A1783,Products!D1284:D1783,"Price Missing",0)</f>
        <v>Price Missing</v>
      </c>
      <c r="J1284" s="19">
        <f t="shared" si="20"/>
        <v>0</v>
      </c>
    </row>
    <row r="1285" spans="1:10" x14ac:dyDescent="0.35">
      <c r="A1285" s="4" t="s">
        <v>5305</v>
      </c>
      <c r="B1285" s="7" t="s">
        <v>2231</v>
      </c>
      <c r="C1285" s="7" t="s">
        <v>3500</v>
      </c>
      <c r="D1285" s="5">
        <v>9</v>
      </c>
      <c r="E1285" s="7" t="str">
        <f>_xlfn.XLOOKUP(B1285,Customers!A1285:A2284,Customers!B1285:B2284,"Customer Not Found",0)</f>
        <v>Customer Not Found</v>
      </c>
      <c r="F1285" s="7" t="str">
        <f>_xlfn.XLOOKUP(Orders!B1285,Customers!A1285:A2284,Customers!C1285:C2284,"Country not Found",0)</f>
        <v>Country not Found</v>
      </c>
      <c r="G1285" s="7" t="str">
        <f>_xlfn.XLOOKUP(C1285,Products!A1285:A1784,Products!B1285:B1784,"Product Missing",0)</f>
        <v>Product Missing</v>
      </c>
      <c r="H1285" s="7" t="str">
        <f>_xlfn.XLOOKUP(C1285,Products!A1285:A1784,Products!C1285:C1784,"Category Missing",0)</f>
        <v>Category Missing</v>
      </c>
      <c r="I1285" s="11" t="str">
        <f>_xlfn.XLOOKUP(Orders!C1285,Products!A1285:A1784,Products!D1285:D1784,"Price Missing",0)</f>
        <v>Price Missing</v>
      </c>
      <c r="J1285" s="19">
        <f t="shared" si="20"/>
        <v>0</v>
      </c>
    </row>
    <row r="1286" spans="1:10" x14ac:dyDescent="0.35">
      <c r="A1286" s="4" t="s">
        <v>5306</v>
      </c>
      <c r="B1286" s="7" t="s">
        <v>341</v>
      </c>
      <c r="C1286" s="7" t="s">
        <v>3452</v>
      </c>
      <c r="D1286" s="5">
        <v>2</v>
      </c>
      <c r="E1286" s="7" t="str">
        <f>_xlfn.XLOOKUP(B1286,Customers!A1286:A2285,Customers!B1286:B2285,"Customer Not Found",0)</f>
        <v>Customer Not Found</v>
      </c>
      <c r="F1286" s="7" t="str">
        <f>_xlfn.XLOOKUP(Orders!B1286,Customers!A1286:A2285,Customers!C1286:C2285,"Country not Found",0)</f>
        <v>Country not Found</v>
      </c>
      <c r="G1286" s="7" t="str">
        <f>_xlfn.XLOOKUP(C1286,Products!A1286:A1785,Products!B1286:B1785,"Product Missing",0)</f>
        <v>Product Missing</v>
      </c>
      <c r="H1286" s="7" t="str">
        <f>_xlfn.XLOOKUP(C1286,Products!A1286:A1785,Products!C1286:C1785,"Category Missing",0)</f>
        <v>Category Missing</v>
      </c>
      <c r="I1286" s="11" t="str">
        <f>_xlfn.XLOOKUP(Orders!C1286,Products!A1286:A1785,Products!D1286:D1785,"Price Missing",0)</f>
        <v>Price Missing</v>
      </c>
      <c r="J1286" s="19">
        <f t="shared" si="20"/>
        <v>0</v>
      </c>
    </row>
    <row r="1287" spans="1:10" x14ac:dyDescent="0.35">
      <c r="A1287" s="4" t="s">
        <v>5307</v>
      </c>
      <c r="B1287" s="7" t="s">
        <v>1508</v>
      </c>
      <c r="C1287" s="7" t="s">
        <v>3986</v>
      </c>
      <c r="D1287" s="5">
        <v>1</v>
      </c>
      <c r="E1287" s="7" t="str">
        <f>_xlfn.XLOOKUP(B1287,Customers!A1287:A2286,Customers!B1287:B2286,"Customer Not Found",0)</f>
        <v>Customer Not Found</v>
      </c>
      <c r="F1287" s="7" t="str">
        <f>_xlfn.XLOOKUP(Orders!B1287,Customers!A1287:A2286,Customers!C1287:C2286,"Country not Found",0)</f>
        <v>Country not Found</v>
      </c>
      <c r="G1287" s="7" t="str">
        <f>_xlfn.XLOOKUP(C1287,Products!A1287:A1786,Products!B1287:B1786,"Product Missing",0)</f>
        <v>Product Missing</v>
      </c>
      <c r="H1287" s="7" t="str">
        <f>_xlfn.XLOOKUP(C1287,Products!A1287:A1786,Products!C1287:C1786,"Category Missing",0)</f>
        <v>Category Missing</v>
      </c>
      <c r="I1287" s="11" t="str">
        <f>_xlfn.XLOOKUP(Orders!C1287,Products!A1287:A1786,Products!D1287:D1786,"Price Missing",0)</f>
        <v>Price Missing</v>
      </c>
      <c r="J1287" s="19">
        <f t="shared" si="20"/>
        <v>0</v>
      </c>
    </row>
    <row r="1288" spans="1:10" x14ac:dyDescent="0.35">
      <c r="A1288" s="4" t="s">
        <v>5308</v>
      </c>
      <c r="B1288" s="7" t="s">
        <v>1988</v>
      </c>
      <c r="C1288" s="7" t="s">
        <v>3242</v>
      </c>
      <c r="D1288" s="5">
        <v>9</v>
      </c>
      <c r="E1288" s="7" t="str">
        <f>_xlfn.XLOOKUP(B1288,Customers!A1288:A2287,Customers!B1288:B2287,"Customer Not Found",0)</f>
        <v>Customer Not Found</v>
      </c>
      <c r="F1288" s="7" t="str">
        <f>_xlfn.XLOOKUP(Orders!B1288,Customers!A1288:A2287,Customers!C1288:C2287,"Country not Found",0)</f>
        <v>Country not Found</v>
      </c>
      <c r="G1288" s="7" t="str">
        <f>_xlfn.XLOOKUP(C1288,Products!A1288:A1787,Products!B1288:B1787,"Product Missing",0)</f>
        <v>Product Missing</v>
      </c>
      <c r="H1288" s="7" t="str">
        <f>_xlfn.XLOOKUP(C1288,Products!A1288:A1787,Products!C1288:C1787,"Category Missing",0)</f>
        <v>Category Missing</v>
      </c>
      <c r="I1288" s="11" t="str">
        <f>_xlfn.XLOOKUP(Orders!C1288,Products!A1288:A1787,Products!D1288:D1787,"Price Missing",0)</f>
        <v>Price Missing</v>
      </c>
      <c r="J1288" s="19">
        <f t="shared" si="20"/>
        <v>0</v>
      </c>
    </row>
    <row r="1289" spans="1:10" x14ac:dyDescent="0.35">
      <c r="A1289" s="4" t="s">
        <v>5309</v>
      </c>
      <c r="B1289" s="7" t="s">
        <v>1370</v>
      </c>
      <c r="C1289" s="7" t="s">
        <v>3528</v>
      </c>
      <c r="D1289" s="5">
        <v>9</v>
      </c>
      <c r="E1289" s="7" t="str">
        <f>_xlfn.XLOOKUP(B1289,Customers!A1289:A2288,Customers!B1289:B2288,"Customer Not Found",0)</f>
        <v>Customer Not Found</v>
      </c>
      <c r="F1289" s="7" t="str">
        <f>_xlfn.XLOOKUP(Orders!B1289,Customers!A1289:A2288,Customers!C1289:C2288,"Country not Found",0)</f>
        <v>Country not Found</v>
      </c>
      <c r="G1289" s="7" t="str">
        <f>_xlfn.XLOOKUP(C1289,Products!A1289:A1788,Products!B1289:B1788,"Product Missing",0)</f>
        <v>Product Missing</v>
      </c>
      <c r="H1289" s="7" t="str">
        <f>_xlfn.XLOOKUP(C1289,Products!A1289:A1788,Products!C1289:C1788,"Category Missing",0)</f>
        <v>Category Missing</v>
      </c>
      <c r="I1289" s="11" t="str">
        <f>_xlfn.XLOOKUP(Orders!C1289,Products!A1289:A1788,Products!D1289:D1788,"Price Missing",0)</f>
        <v>Price Missing</v>
      </c>
      <c r="J1289" s="19">
        <f t="shared" si="20"/>
        <v>0</v>
      </c>
    </row>
    <row r="1290" spans="1:10" x14ac:dyDescent="0.35">
      <c r="A1290" s="4" t="s">
        <v>5310</v>
      </c>
      <c r="B1290" s="7" t="s">
        <v>404</v>
      </c>
      <c r="C1290" s="7" t="s">
        <v>3258</v>
      </c>
      <c r="D1290" s="5">
        <v>6</v>
      </c>
      <c r="E1290" s="7" t="str">
        <f>_xlfn.XLOOKUP(B1290,Customers!A1290:A2289,Customers!B1290:B2289,"Customer Not Found",0)</f>
        <v>Customer Not Found</v>
      </c>
      <c r="F1290" s="7" t="str">
        <f>_xlfn.XLOOKUP(Orders!B1290,Customers!A1290:A2289,Customers!C1290:C2289,"Country not Found",0)</f>
        <v>Country not Found</v>
      </c>
      <c r="G1290" s="7" t="str">
        <f>_xlfn.XLOOKUP(C1290,Products!A1290:A1789,Products!B1290:B1789,"Product Missing",0)</f>
        <v>Product Missing</v>
      </c>
      <c r="H1290" s="7" t="str">
        <f>_xlfn.XLOOKUP(C1290,Products!A1290:A1789,Products!C1290:C1789,"Category Missing",0)</f>
        <v>Category Missing</v>
      </c>
      <c r="I1290" s="11" t="str">
        <f>_xlfn.XLOOKUP(Orders!C1290,Products!A1290:A1789,Products!D1290:D1789,"Price Missing",0)</f>
        <v>Price Missing</v>
      </c>
      <c r="J1290" s="19">
        <f t="shared" si="20"/>
        <v>0</v>
      </c>
    </row>
    <row r="1291" spans="1:10" x14ac:dyDescent="0.35">
      <c r="A1291" s="4" t="s">
        <v>5311</v>
      </c>
      <c r="B1291" s="7" t="s">
        <v>314</v>
      </c>
      <c r="C1291" s="7" t="s">
        <v>3938</v>
      </c>
      <c r="D1291" s="5">
        <v>3</v>
      </c>
      <c r="E1291" s="7" t="str">
        <f>_xlfn.XLOOKUP(B1291,Customers!A1291:A2290,Customers!B1291:B2290,"Customer Not Found",0)</f>
        <v>Customer Not Found</v>
      </c>
      <c r="F1291" s="7" t="str">
        <f>_xlfn.XLOOKUP(Orders!B1291,Customers!A1291:A2290,Customers!C1291:C2290,"Country not Found",0)</f>
        <v>Country not Found</v>
      </c>
      <c r="G1291" s="7" t="str">
        <f>_xlfn.XLOOKUP(C1291,Products!A1291:A1790,Products!B1291:B1790,"Product Missing",0)</f>
        <v>Product Missing</v>
      </c>
      <c r="H1291" s="7" t="str">
        <f>_xlfn.XLOOKUP(C1291,Products!A1291:A1790,Products!C1291:C1790,"Category Missing",0)</f>
        <v>Category Missing</v>
      </c>
      <c r="I1291" s="11" t="str">
        <f>_xlfn.XLOOKUP(Orders!C1291,Products!A1291:A1790,Products!D1291:D1790,"Price Missing",0)</f>
        <v>Price Missing</v>
      </c>
      <c r="J1291" s="19">
        <f t="shared" si="20"/>
        <v>0</v>
      </c>
    </row>
    <row r="1292" spans="1:10" x14ac:dyDescent="0.35">
      <c r="A1292" s="4" t="s">
        <v>5312</v>
      </c>
      <c r="B1292" s="7" t="s">
        <v>2624</v>
      </c>
      <c r="C1292" s="7" t="s">
        <v>3412</v>
      </c>
      <c r="D1292" s="5">
        <v>1</v>
      </c>
      <c r="E1292" s="7" t="str">
        <f>_xlfn.XLOOKUP(B1292,Customers!A1292:A2291,Customers!B1292:B2291,"Customer Not Found",0)</f>
        <v>Customer Not Found</v>
      </c>
      <c r="F1292" s="7" t="str">
        <f>_xlfn.XLOOKUP(Orders!B1292,Customers!A1292:A2291,Customers!C1292:C2291,"Country not Found",0)</f>
        <v>Country not Found</v>
      </c>
      <c r="G1292" s="7" t="str">
        <f>_xlfn.XLOOKUP(C1292,Products!A1292:A1791,Products!B1292:B1791,"Product Missing",0)</f>
        <v>Product Missing</v>
      </c>
      <c r="H1292" s="7" t="str">
        <f>_xlfn.XLOOKUP(C1292,Products!A1292:A1791,Products!C1292:C1791,"Category Missing",0)</f>
        <v>Category Missing</v>
      </c>
      <c r="I1292" s="11" t="str">
        <f>_xlfn.XLOOKUP(Orders!C1292,Products!A1292:A1791,Products!D1292:D1791,"Price Missing",0)</f>
        <v>Price Missing</v>
      </c>
      <c r="J1292" s="19">
        <f t="shared" si="20"/>
        <v>0</v>
      </c>
    </row>
    <row r="1293" spans="1:10" x14ac:dyDescent="0.35">
      <c r="A1293" s="4" t="s">
        <v>5313</v>
      </c>
      <c r="B1293" s="7" t="s">
        <v>2609</v>
      </c>
      <c r="C1293" s="7" t="s">
        <v>3992</v>
      </c>
      <c r="D1293" s="5">
        <v>7</v>
      </c>
      <c r="E1293" s="7" t="str">
        <f>_xlfn.XLOOKUP(B1293,Customers!A1293:A2292,Customers!B1293:B2292,"Customer Not Found",0)</f>
        <v>Customer Not Found</v>
      </c>
      <c r="F1293" s="7" t="str">
        <f>_xlfn.XLOOKUP(Orders!B1293,Customers!A1293:A2292,Customers!C1293:C2292,"Country not Found",0)</f>
        <v>Country not Found</v>
      </c>
      <c r="G1293" s="7" t="str">
        <f>_xlfn.XLOOKUP(C1293,Products!A1293:A1792,Products!B1293:B1792,"Product Missing",0)</f>
        <v>Product Missing</v>
      </c>
      <c r="H1293" s="7" t="str">
        <f>_xlfn.XLOOKUP(C1293,Products!A1293:A1792,Products!C1293:C1792,"Category Missing",0)</f>
        <v>Category Missing</v>
      </c>
      <c r="I1293" s="11" t="str">
        <f>_xlfn.XLOOKUP(Orders!C1293,Products!A1293:A1792,Products!D1293:D1792,"Price Missing",0)</f>
        <v>Price Missing</v>
      </c>
      <c r="J1293" s="19">
        <f t="shared" si="20"/>
        <v>0</v>
      </c>
    </row>
    <row r="1294" spans="1:10" x14ac:dyDescent="0.35">
      <c r="A1294" s="4" t="s">
        <v>5314</v>
      </c>
      <c r="B1294" s="7" t="s">
        <v>3002</v>
      </c>
      <c r="C1294" s="7" t="s">
        <v>3196</v>
      </c>
      <c r="D1294" s="5">
        <v>10</v>
      </c>
      <c r="E1294" s="7" t="str">
        <f>_xlfn.XLOOKUP(B1294,Customers!A1294:A2293,Customers!B1294:B2293,"Customer Not Found",0)</f>
        <v>Customer Not Found</v>
      </c>
      <c r="F1294" s="7" t="str">
        <f>_xlfn.XLOOKUP(Orders!B1294,Customers!A1294:A2293,Customers!C1294:C2293,"Country not Found",0)</f>
        <v>Country not Found</v>
      </c>
      <c r="G1294" s="7" t="str">
        <f>_xlfn.XLOOKUP(C1294,Products!A1294:A1793,Products!B1294:B1793,"Product Missing",0)</f>
        <v>Product Missing</v>
      </c>
      <c r="H1294" s="7" t="str">
        <f>_xlfn.XLOOKUP(C1294,Products!A1294:A1793,Products!C1294:C1793,"Category Missing",0)</f>
        <v>Category Missing</v>
      </c>
      <c r="I1294" s="11" t="str">
        <f>_xlfn.XLOOKUP(Orders!C1294,Products!A1294:A1793,Products!D1294:D1793,"Price Missing",0)</f>
        <v>Price Missing</v>
      </c>
      <c r="J1294" s="19">
        <f t="shared" si="20"/>
        <v>0</v>
      </c>
    </row>
    <row r="1295" spans="1:10" x14ac:dyDescent="0.35">
      <c r="A1295" s="4" t="s">
        <v>5315</v>
      </c>
      <c r="B1295" s="7" t="s">
        <v>344</v>
      </c>
      <c r="C1295" s="7" t="s">
        <v>3208</v>
      </c>
      <c r="D1295" s="5">
        <v>3</v>
      </c>
      <c r="E1295" s="7" t="str">
        <f>_xlfn.XLOOKUP(B1295,Customers!A1295:A2294,Customers!B1295:B2294,"Customer Not Found",0)</f>
        <v>Customer Not Found</v>
      </c>
      <c r="F1295" s="7" t="str">
        <f>_xlfn.XLOOKUP(Orders!B1295,Customers!A1295:A2294,Customers!C1295:C2294,"Country not Found",0)</f>
        <v>Country not Found</v>
      </c>
      <c r="G1295" s="7" t="str">
        <f>_xlfn.XLOOKUP(C1295,Products!A1295:A1794,Products!B1295:B1794,"Product Missing",0)</f>
        <v>Product Missing</v>
      </c>
      <c r="H1295" s="7" t="str">
        <f>_xlfn.XLOOKUP(C1295,Products!A1295:A1794,Products!C1295:C1794,"Category Missing",0)</f>
        <v>Category Missing</v>
      </c>
      <c r="I1295" s="11" t="str">
        <f>_xlfn.XLOOKUP(Orders!C1295,Products!A1295:A1794,Products!D1295:D1794,"Price Missing",0)</f>
        <v>Price Missing</v>
      </c>
      <c r="J1295" s="19">
        <f t="shared" si="20"/>
        <v>0</v>
      </c>
    </row>
    <row r="1296" spans="1:10" x14ac:dyDescent="0.35">
      <c r="A1296" s="4" t="s">
        <v>5316</v>
      </c>
      <c r="B1296" s="7" t="s">
        <v>2159</v>
      </c>
      <c r="C1296" s="7" t="s">
        <v>3268</v>
      </c>
      <c r="D1296" s="5">
        <v>3</v>
      </c>
      <c r="E1296" s="7" t="str">
        <f>_xlfn.XLOOKUP(B1296,Customers!A1296:A2295,Customers!B1296:B2295,"Customer Not Found",0)</f>
        <v>Customer Not Found</v>
      </c>
      <c r="F1296" s="7" t="str">
        <f>_xlfn.XLOOKUP(Orders!B1296,Customers!A1296:A2295,Customers!C1296:C2295,"Country not Found",0)</f>
        <v>Country not Found</v>
      </c>
      <c r="G1296" s="7" t="str">
        <f>_xlfn.XLOOKUP(C1296,Products!A1296:A1795,Products!B1296:B1795,"Product Missing",0)</f>
        <v>Product Missing</v>
      </c>
      <c r="H1296" s="7" t="str">
        <f>_xlfn.XLOOKUP(C1296,Products!A1296:A1795,Products!C1296:C1795,"Category Missing",0)</f>
        <v>Category Missing</v>
      </c>
      <c r="I1296" s="11" t="str">
        <f>_xlfn.XLOOKUP(Orders!C1296,Products!A1296:A1795,Products!D1296:D1795,"Price Missing",0)</f>
        <v>Price Missing</v>
      </c>
      <c r="J1296" s="19">
        <f t="shared" si="20"/>
        <v>0</v>
      </c>
    </row>
    <row r="1297" spans="1:10" x14ac:dyDescent="0.35">
      <c r="A1297" s="4" t="s">
        <v>5317</v>
      </c>
      <c r="B1297" s="7" t="s">
        <v>515</v>
      </c>
      <c r="C1297" s="7" t="s">
        <v>3794</v>
      </c>
      <c r="D1297" s="5">
        <v>4</v>
      </c>
      <c r="E1297" s="7" t="str">
        <f>_xlfn.XLOOKUP(B1297,Customers!A1297:A2296,Customers!B1297:B2296,"Customer Not Found",0)</f>
        <v>Customer Not Found</v>
      </c>
      <c r="F1297" s="7" t="str">
        <f>_xlfn.XLOOKUP(Orders!B1297,Customers!A1297:A2296,Customers!C1297:C2296,"Country not Found",0)</f>
        <v>Country not Found</v>
      </c>
      <c r="G1297" s="7" t="str">
        <f>_xlfn.XLOOKUP(C1297,Products!A1297:A1796,Products!B1297:B1796,"Product Missing",0)</f>
        <v>Product Missing</v>
      </c>
      <c r="H1297" s="7" t="str">
        <f>_xlfn.XLOOKUP(C1297,Products!A1297:A1796,Products!C1297:C1796,"Category Missing",0)</f>
        <v>Category Missing</v>
      </c>
      <c r="I1297" s="11" t="str">
        <f>_xlfn.XLOOKUP(Orders!C1297,Products!A1297:A1796,Products!D1297:D1796,"Price Missing",0)</f>
        <v>Price Missing</v>
      </c>
      <c r="J1297" s="19">
        <f t="shared" si="20"/>
        <v>0</v>
      </c>
    </row>
    <row r="1298" spans="1:10" x14ac:dyDescent="0.35">
      <c r="A1298" s="4" t="s">
        <v>5318</v>
      </c>
      <c r="B1298" s="7" t="s">
        <v>710</v>
      </c>
      <c r="C1298" s="7" t="s">
        <v>3942</v>
      </c>
      <c r="D1298" s="5">
        <v>1</v>
      </c>
      <c r="E1298" s="7" t="str">
        <f>_xlfn.XLOOKUP(B1298,Customers!A1298:A2297,Customers!B1298:B2297,"Customer Not Found",0)</f>
        <v>Customer Not Found</v>
      </c>
      <c r="F1298" s="7" t="str">
        <f>_xlfn.XLOOKUP(Orders!B1298,Customers!A1298:A2297,Customers!C1298:C2297,"Country not Found",0)</f>
        <v>Country not Found</v>
      </c>
      <c r="G1298" s="7" t="str">
        <f>_xlfn.XLOOKUP(C1298,Products!A1298:A1797,Products!B1298:B1797,"Product Missing",0)</f>
        <v>Product Missing</v>
      </c>
      <c r="H1298" s="7" t="str">
        <f>_xlfn.XLOOKUP(C1298,Products!A1298:A1797,Products!C1298:C1797,"Category Missing",0)</f>
        <v>Category Missing</v>
      </c>
      <c r="I1298" s="11" t="str">
        <f>_xlfn.XLOOKUP(Orders!C1298,Products!A1298:A1797,Products!D1298:D1797,"Price Missing",0)</f>
        <v>Price Missing</v>
      </c>
      <c r="J1298" s="19">
        <f t="shared" si="20"/>
        <v>0</v>
      </c>
    </row>
    <row r="1299" spans="1:10" x14ac:dyDescent="0.35">
      <c r="A1299" s="4" t="s">
        <v>5319</v>
      </c>
      <c r="B1299" s="7" t="s">
        <v>365</v>
      </c>
      <c r="C1299" s="7" t="s">
        <v>3624</v>
      </c>
      <c r="D1299" s="5">
        <v>5</v>
      </c>
      <c r="E1299" s="7" t="str">
        <f>_xlfn.XLOOKUP(B1299,Customers!A1299:A2298,Customers!B1299:B2298,"Customer Not Found",0)</f>
        <v>Customer Not Found</v>
      </c>
      <c r="F1299" s="7" t="str">
        <f>_xlfn.XLOOKUP(Orders!B1299,Customers!A1299:A2298,Customers!C1299:C2298,"Country not Found",0)</f>
        <v>Country not Found</v>
      </c>
      <c r="G1299" s="7" t="str">
        <f>_xlfn.XLOOKUP(C1299,Products!A1299:A1798,Products!B1299:B1798,"Product Missing",0)</f>
        <v>Product Missing</v>
      </c>
      <c r="H1299" s="7" t="str">
        <f>_xlfn.XLOOKUP(C1299,Products!A1299:A1798,Products!C1299:C1798,"Category Missing",0)</f>
        <v>Category Missing</v>
      </c>
      <c r="I1299" s="11" t="str">
        <f>_xlfn.XLOOKUP(Orders!C1299,Products!A1299:A1798,Products!D1299:D1798,"Price Missing",0)</f>
        <v>Price Missing</v>
      </c>
      <c r="J1299" s="19">
        <f t="shared" si="20"/>
        <v>0</v>
      </c>
    </row>
    <row r="1300" spans="1:10" x14ac:dyDescent="0.35">
      <c r="A1300" s="4" t="s">
        <v>5320</v>
      </c>
      <c r="B1300" s="7" t="s">
        <v>1703</v>
      </c>
      <c r="C1300" s="7" t="s">
        <v>3816</v>
      </c>
      <c r="D1300" s="5">
        <v>10</v>
      </c>
      <c r="E1300" s="7" t="str">
        <f>_xlfn.XLOOKUP(B1300,Customers!A1300:A2299,Customers!B1300:B2299,"Customer Not Found",0)</f>
        <v>Customer Not Found</v>
      </c>
      <c r="F1300" s="7" t="str">
        <f>_xlfn.XLOOKUP(Orders!B1300,Customers!A1300:A2299,Customers!C1300:C2299,"Country not Found",0)</f>
        <v>Country not Found</v>
      </c>
      <c r="G1300" s="7" t="str">
        <f>_xlfn.XLOOKUP(C1300,Products!A1300:A1799,Products!B1300:B1799,"Product Missing",0)</f>
        <v>Product Missing</v>
      </c>
      <c r="H1300" s="7" t="str">
        <f>_xlfn.XLOOKUP(C1300,Products!A1300:A1799,Products!C1300:C1799,"Category Missing",0)</f>
        <v>Category Missing</v>
      </c>
      <c r="I1300" s="11" t="str">
        <f>_xlfn.XLOOKUP(Orders!C1300,Products!A1300:A1799,Products!D1300:D1799,"Price Missing",0)</f>
        <v>Price Missing</v>
      </c>
      <c r="J1300" s="19">
        <f t="shared" si="20"/>
        <v>0</v>
      </c>
    </row>
    <row r="1301" spans="1:10" x14ac:dyDescent="0.35">
      <c r="A1301" s="4" t="s">
        <v>5321</v>
      </c>
      <c r="B1301" s="7" t="s">
        <v>761</v>
      </c>
      <c r="C1301" s="7" t="s">
        <v>3706</v>
      </c>
      <c r="D1301" s="5">
        <v>1</v>
      </c>
      <c r="E1301" s="7" t="str">
        <f>_xlfn.XLOOKUP(B1301,Customers!A1301:A2300,Customers!B1301:B2300,"Customer Not Found",0)</f>
        <v>Customer Not Found</v>
      </c>
      <c r="F1301" s="7" t="str">
        <f>_xlfn.XLOOKUP(Orders!B1301,Customers!A1301:A2300,Customers!C1301:C2300,"Country not Found",0)</f>
        <v>Country not Found</v>
      </c>
      <c r="G1301" s="7" t="str">
        <f>_xlfn.XLOOKUP(C1301,Products!A1301:A1800,Products!B1301:B1800,"Product Missing",0)</f>
        <v>Product Missing</v>
      </c>
      <c r="H1301" s="7" t="str">
        <f>_xlfn.XLOOKUP(C1301,Products!A1301:A1800,Products!C1301:C1800,"Category Missing",0)</f>
        <v>Category Missing</v>
      </c>
      <c r="I1301" s="11" t="str">
        <f>_xlfn.XLOOKUP(Orders!C1301,Products!A1301:A1800,Products!D1301:D1800,"Price Missing",0)</f>
        <v>Price Missing</v>
      </c>
      <c r="J1301" s="19">
        <f t="shared" si="20"/>
        <v>0</v>
      </c>
    </row>
    <row r="1302" spans="1:10" x14ac:dyDescent="0.35">
      <c r="A1302" s="4" t="s">
        <v>5322</v>
      </c>
      <c r="B1302" s="7" t="s">
        <v>2972</v>
      </c>
      <c r="C1302" s="7" t="s">
        <v>3380</v>
      </c>
      <c r="D1302" s="5">
        <v>8</v>
      </c>
      <c r="E1302" s="7" t="str">
        <f>_xlfn.XLOOKUP(B1302,Customers!A1302:A2301,Customers!B1302:B2301,"Customer Not Found",0)</f>
        <v>Customer Not Found</v>
      </c>
      <c r="F1302" s="7" t="str">
        <f>_xlfn.XLOOKUP(Orders!B1302,Customers!A1302:A2301,Customers!C1302:C2301,"Country not Found",0)</f>
        <v>Country not Found</v>
      </c>
      <c r="G1302" s="7" t="str">
        <f>_xlfn.XLOOKUP(C1302,Products!A1302:A1801,Products!B1302:B1801,"Product Missing",0)</f>
        <v>Product Missing</v>
      </c>
      <c r="H1302" s="7" t="str">
        <f>_xlfn.XLOOKUP(C1302,Products!A1302:A1801,Products!C1302:C1801,"Category Missing",0)</f>
        <v>Category Missing</v>
      </c>
      <c r="I1302" s="11" t="str">
        <f>_xlfn.XLOOKUP(Orders!C1302,Products!A1302:A1801,Products!D1302:D1801,"Price Missing",0)</f>
        <v>Price Missing</v>
      </c>
      <c r="J1302" s="19">
        <f t="shared" si="20"/>
        <v>0</v>
      </c>
    </row>
    <row r="1303" spans="1:10" x14ac:dyDescent="0.35">
      <c r="A1303" s="4" t="s">
        <v>5323</v>
      </c>
      <c r="B1303" s="7" t="s">
        <v>509</v>
      </c>
      <c r="C1303" s="7" t="s">
        <v>3908</v>
      </c>
      <c r="D1303" s="5">
        <v>4</v>
      </c>
      <c r="E1303" s="7" t="str">
        <f>_xlfn.XLOOKUP(B1303,Customers!A1303:A2302,Customers!B1303:B2302,"Customer Not Found",0)</f>
        <v>Customer Not Found</v>
      </c>
      <c r="F1303" s="7" t="str">
        <f>_xlfn.XLOOKUP(Orders!B1303,Customers!A1303:A2302,Customers!C1303:C2302,"Country not Found",0)</f>
        <v>Country not Found</v>
      </c>
      <c r="G1303" s="7" t="str">
        <f>_xlfn.XLOOKUP(C1303,Products!A1303:A1802,Products!B1303:B1802,"Product Missing",0)</f>
        <v>Product Missing</v>
      </c>
      <c r="H1303" s="7" t="str">
        <f>_xlfn.XLOOKUP(C1303,Products!A1303:A1802,Products!C1303:C1802,"Category Missing",0)</f>
        <v>Category Missing</v>
      </c>
      <c r="I1303" s="11" t="str">
        <f>_xlfn.XLOOKUP(Orders!C1303,Products!A1303:A1802,Products!D1303:D1802,"Price Missing",0)</f>
        <v>Price Missing</v>
      </c>
      <c r="J1303" s="19">
        <f t="shared" si="20"/>
        <v>0</v>
      </c>
    </row>
    <row r="1304" spans="1:10" x14ac:dyDescent="0.35">
      <c r="A1304" s="4" t="s">
        <v>5324</v>
      </c>
      <c r="B1304" s="7" t="s">
        <v>2930</v>
      </c>
      <c r="C1304" s="7" t="s">
        <v>3122</v>
      </c>
      <c r="D1304" s="5">
        <v>8</v>
      </c>
      <c r="E1304" s="7" t="str">
        <f>_xlfn.XLOOKUP(B1304,Customers!A1304:A2303,Customers!B1304:B2303,"Customer Not Found",0)</f>
        <v>Customer Not Found</v>
      </c>
      <c r="F1304" s="7" t="str">
        <f>_xlfn.XLOOKUP(Orders!B1304,Customers!A1304:A2303,Customers!C1304:C2303,"Country not Found",0)</f>
        <v>Country not Found</v>
      </c>
      <c r="G1304" s="7" t="str">
        <f>_xlfn.XLOOKUP(C1304,Products!A1304:A1803,Products!B1304:B1803,"Product Missing",0)</f>
        <v>Product Missing</v>
      </c>
      <c r="H1304" s="7" t="str">
        <f>_xlfn.XLOOKUP(C1304,Products!A1304:A1803,Products!C1304:C1803,"Category Missing",0)</f>
        <v>Category Missing</v>
      </c>
      <c r="I1304" s="11" t="str">
        <f>_xlfn.XLOOKUP(Orders!C1304,Products!A1304:A1803,Products!D1304:D1803,"Price Missing",0)</f>
        <v>Price Missing</v>
      </c>
      <c r="J1304" s="19">
        <f t="shared" si="20"/>
        <v>0</v>
      </c>
    </row>
    <row r="1305" spans="1:10" x14ac:dyDescent="0.35">
      <c r="A1305" s="4" t="s">
        <v>5325</v>
      </c>
      <c r="B1305" s="7" t="s">
        <v>2654</v>
      </c>
      <c r="C1305" s="7" t="s">
        <v>3978</v>
      </c>
      <c r="D1305" s="5">
        <v>5</v>
      </c>
      <c r="E1305" s="7" t="str">
        <f>_xlfn.XLOOKUP(B1305,Customers!A1305:A2304,Customers!B1305:B2304,"Customer Not Found",0)</f>
        <v>Customer Not Found</v>
      </c>
      <c r="F1305" s="7" t="str">
        <f>_xlfn.XLOOKUP(Orders!B1305,Customers!A1305:A2304,Customers!C1305:C2304,"Country not Found",0)</f>
        <v>Country not Found</v>
      </c>
      <c r="G1305" s="7" t="str">
        <f>_xlfn.XLOOKUP(C1305,Products!A1305:A1804,Products!B1305:B1804,"Product Missing",0)</f>
        <v>Product Missing</v>
      </c>
      <c r="H1305" s="7" t="str">
        <f>_xlfn.XLOOKUP(C1305,Products!A1305:A1804,Products!C1305:C1804,"Category Missing",0)</f>
        <v>Category Missing</v>
      </c>
      <c r="I1305" s="11" t="str">
        <f>_xlfn.XLOOKUP(Orders!C1305,Products!A1305:A1804,Products!D1305:D1804,"Price Missing",0)</f>
        <v>Price Missing</v>
      </c>
      <c r="J1305" s="19">
        <f t="shared" si="20"/>
        <v>0</v>
      </c>
    </row>
    <row r="1306" spans="1:10" x14ac:dyDescent="0.35">
      <c r="A1306" s="4" t="s">
        <v>5326</v>
      </c>
      <c r="B1306" s="7" t="s">
        <v>1364</v>
      </c>
      <c r="C1306" s="7" t="s">
        <v>3528</v>
      </c>
      <c r="D1306" s="5">
        <v>3</v>
      </c>
      <c r="E1306" s="7" t="str">
        <f>_xlfn.XLOOKUP(B1306,Customers!A1306:A2305,Customers!B1306:B2305,"Customer Not Found",0)</f>
        <v>Customer Not Found</v>
      </c>
      <c r="F1306" s="7" t="str">
        <f>_xlfn.XLOOKUP(Orders!B1306,Customers!A1306:A2305,Customers!C1306:C2305,"Country not Found",0)</f>
        <v>Country not Found</v>
      </c>
      <c r="G1306" s="7" t="str">
        <f>_xlfn.XLOOKUP(C1306,Products!A1306:A1805,Products!B1306:B1805,"Product Missing",0)</f>
        <v>Product Missing</v>
      </c>
      <c r="H1306" s="7" t="str">
        <f>_xlfn.XLOOKUP(C1306,Products!A1306:A1805,Products!C1306:C1805,"Category Missing",0)</f>
        <v>Category Missing</v>
      </c>
      <c r="I1306" s="11" t="str">
        <f>_xlfn.XLOOKUP(Orders!C1306,Products!A1306:A1805,Products!D1306:D1805,"Price Missing",0)</f>
        <v>Price Missing</v>
      </c>
      <c r="J1306" s="19">
        <f t="shared" si="20"/>
        <v>0</v>
      </c>
    </row>
    <row r="1307" spans="1:10" x14ac:dyDescent="0.35">
      <c r="A1307" s="4" t="s">
        <v>5327</v>
      </c>
      <c r="B1307" s="7" t="s">
        <v>1121</v>
      </c>
      <c r="C1307" s="7" t="s">
        <v>4014</v>
      </c>
      <c r="D1307" s="5">
        <v>10</v>
      </c>
      <c r="E1307" s="7" t="str">
        <f>_xlfn.XLOOKUP(B1307,Customers!A1307:A2306,Customers!B1307:B2306,"Customer Not Found",0)</f>
        <v>Customer Not Found</v>
      </c>
      <c r="F1307" s="7" t="str">
        <f>_xlfn.XLOOKUP(Orders!B1307,Customers!A1307:A2306,Customers!C1307:C2306,"Country not Found",0)</f>
        <v>Country not Found</v>
      </c>
      <c r="G1307" s="7" t="str">
        <f>_xlfn.XLOOKUP(C1307,Products!A1307:A1806,Products!B1307:B1806,"Product Missing",0)</f>
        <v>Product Missing</v>
      </c>
      <c r="H1307" s="7" t="str">
        <f>_xlfn.XLOOKUP(C1307,Products!A1307:A1806,Products!C1307:C1806,"Category Missing",0)</f>
        <v>Category Missing</v>
      </c>
      <c r="I1307" s="11" t="str">
        <f>_xlfn.XLOOKUP(Orders!C1307,Products!A1307:A1806,Products!D1307:D1806,"Price Missing",0)</f>
        <v>Price Missing</v>
      </c>
      <c r="J1307" s="19">
        <f t="shared" si="20"/>
        <v>0</v>
      </c>
    </row>
    <row r="1308" spans="1:10" x14ac:dyDescent="0.35">
      <c r="A1308" s="4" t="s">
        <v>5328</v>
      </c>
      <c r="B1308" s="7" t="s">
        <v>1988</v>
      </c>
      <c r="C1308" s="7" t="s">
        <v>3654</v>
      </c>
      <c r="D1308" s="5">
        <v>4</v>
      </c>
      <c r="E1308" s="7" t="str">
        <f>_xlfn.XLOOKUP(B1308,Customers!A1308:A2307,Customers!B1308:B2307,"Customer Not Found",0)</f>
        <v>Customer Not Found</v>
      </c>
      <c r="F1308" s="7" t="str">
        <f>_xlfn.XLOOKUP(Orders!B1308,Customers!A1308:A2307,Customers!C1308:C2307,"Country not Found",0)</f>
        <v>Country not Found</v>
      </c>
      <c r="G1308" s="7" t="str">
        <f>_xlfn.XLOOKUP(C1308,Products!A1308:A1807,Products!B1308:B1807,"Product Missing",0)</f>
        <v>Product Missing</v>
      </c>
      <c r="H1308" s="7" t="str">
        <f>_xlfn.XLOOKUP(C1308,Products!A1308:A1807,Products!C1308:C1807,"Category Missing",0)</f>
        <v>Category Missing</v>
      </c>
      <c r="I1308" s="11" t="str">
        <f>_xlfn.XLOOKUP(Orders!C1308,Products!A1308:A1807,Products!D1308:D1807,"Price Missing",0)</f>
        <v>Price Missing</v>
      </c>
      <c r="J1308" s="19">
        <f t="shared" si="20"/>
        <v>0</v>
      </c>
    </row>
    <row r="1309" spans="1:10" x14ac:dyDescent="0.35">
      <c r="A1309" s="4" t="s">
        <v>5329</v>
      </c>
      <c r="B1309" s="7" t="s">
        <v>464</v>
      </c>
      <c r="C1309" s="7" t="s">
        <v>3474</v>
      </c>
      <c r="D1309" s="5">
        <v>1</v>
      </c>
      <c r="E1309" s="7" t="str">
        <f>_xlfn.XLOOKUP(B1309,Customers!A1309:A2308,Customers!B1309:B2308,"Customer Not Found",0)</f>
        <v>Customer Not Found</v>
      </c>
      <c r="F1309" s="7" t="str">
        <f>_xlfn.XLOOKUP(Orders!B1309,Customers!A1309:A2308,Customers!C1309:C2308,"Country not Found",0)</f>
        <v>Country not Found</v>
      </c>
      <c r="G1309" s="7" t="str">
        <f>_xlfn.XLOOKUP(C1309,Products!A1309:A1808,Products!B1309:B1808,"Product Missing",0)</f>
        <v>Product Missing</v>
      </c>
      <c r="H1309" s="7" t="str">
        <f>_xlfn.XLOOKUP(C1309,Products!A1309:A1808,Products!C1309:C1808,"Category Missing",0)</f>
        <v>Category Missing</v>
      </c>
      <c r="I1309" s="11" t="str">
        <f>_xlfn.XLOOKUP(Orders!C1309,Products!A1309:A1808,Products!D1309:D1808,"Price Missing",0)</f>
        <v>Price Missing</v>
      </c>
      <c r="J1309" s="19">
        <f t="shared" si="20"/>
        <v>0</v>
      </c>
    </row>
    <row r="1310" spans="1:10" x14ac:dyDescent="0.35">
      <c r="A1310" s="4" t="s">
        <v>5330</v>
      </c>
      <c r="B1310" s="7" t="s">
        <v>2972</v>
      </c>
      <c r="C1310" s="7" t="s">
        <v>3798</v>
      </c>
      <c r="D1310" s="5">
        <v>8</v>
      </c>
      <c r="E1310" s="7" t="str">
        <f>_xlfn.XLOOKUP(B1310,Customers!A1310:A2309,Customers!B1310:B2309,"Customer Not Found",0)</f>
        <v>Customer Not Found</v>
      </c>
      <c r="F1310" s="7" t="str">
        <f>_xlfn.XLOOKUP(Orders!B1310,Customers!A1310:A2309,Customers!C1310:C2309,"Country not Found",0)</f>
        <v>Country not Found</v>
      </c>
      <c r="G1310" s="7" t="str">
        <f>_xlfn.XLOOKUP(C1310,Products!A1310:A1809,Products!B1310:B1809,"Product Missing",0)</f>
        <v>Product Missing</v>
      </c>
      <c r="H1310" s="7" t="str">
        <f>_xlfn.XLOOKUP(C1310,Products!A1310:A1809,Products!C1310:C1809,"Category Missing",0)</f>
        <v>Category Missing</v>
      </c>
      <c r="I1310" s="11" t="str">
        <f>_xlfn.XLOOKUP(Orders!C1310,Products!A1310:A1809,Products!D1310:D1809,"Price Missing",0)</f>
        <v>Price Missing</v>
      </c>
      <c r="J1310" s="19">
        <f t="shared" si="20"/>
        <v>0</v>
      </c>
    </row>
    <row r="1311" spans="1:10" x14ac:dyDescent="0.35">
      <c r="A1311" s="4" t="s">
        <v>5331</v>
      </c>
      <c r="B1311" s="7" t="s">
        <v>530</v>
      </c>
      <c r="C1311" s="7" t="s">
        <v>3678</v>
      </c>
      <c r="D1311" s="5">
        <v>1</v>
      </c>
      <c r="E1311" s="7" t="str">
        <f>_xlfn.XLOOKUP(B1311,Customers!A1311:A2310,Customers!B1311:B2310,"Customer Not Found",0)</f>
        <v>Customer Not Found</v>
      </c>
      <c r="F1311" s="7" t="str">
        <f>_xlfn.XLOOKUP(Orders!B1311,Customers!A1311:A2310,Customers!C1311:C2310,"Country not Found",0)</f>
        <v>Country not Found</v>
      </c>
      <c r="G1311" s="7" t="str">
        <f>_xlfn.XLOOKUP(C1311,Products!A1311:A1810,Products!B1311:B1810,"Product Missing",0)</f>
        <v>Product Missing</v>
      </c>
      <c r="H1311" s="7" t="str">
        <f>_xlfn.XLOOKUP(C1311,Products!A1311:A1810,Products!C1311:C1810,"Category Missing",0)</f>
        <v>Category Missing</v>
      </c>
      <c r="I1311" s="11" t="str">
        <f>_xlfn.XLOOKUP(Orders!C1311,Products!A1311:A1810,Products!D1311:D1810,"Price Missing",0)</f>
        <v>Price Missing</v>
      </c>
      <c r="J1311" s="19">
        <f t="shared" si="20"/>
        <v>0</v>
      </c>
    </row>
    <row r="1312" spans="1:10" x14ac:dyDescent="0.35">
      <c r="A1312" s="4" t="s">
        <v>5332</v>
      </c>
      <c r="B1312" s="7" t="s">
        <v>386</v>
      </c>
      <c r="C1312" s="7" t="s">
        <v>3106</v>
      </c>
      <c r="D1312" s="5">
        <v>7</v>
      </c>
      <c r="E1312" s="7" t="str">
        <f>_xlfn.XLOOKUP(B1312,Customers!A1312:A2311,Customers!B1312:B2311,"Customer Not Found",0)</f>
        <v>Customer Not Found</v>
      </c>
      <c r="F1312" s="7" t="str">
        <f>_xlfn.XLOOKUP(Orders!B1312,Customers!A1312:A2311,Customers!C1312:C2311,"Country not Found",0)</f>
        <v>Country not Found</v>
      </c>
      <c r="G1312" s="7" t="str">
        <f>_xlfn.XLOOKUP(C1312,Products!A1312:A1811,Products!B1312:B1811,"Product Missing",0)</f>
        <v>Product Missing</v>
      </c>
      <c r="H1312" s="7" t="str">
        <f>_xlfn.XLOOKUP(C1312,Products!A1312:A1811,Products!C1312:C1811,"Category Missing",0)</f>
        <v>Category Missing</v>
      </c>
      <c r="I1312" s="11" t="str">
        <f>_xlfn.XLOOKUP(Orders!C1312,Products!A1312:A1811,Products!D1312:D1811,"Price Missing",0)</f>
        <v>Price Missing</v>
      </c>
      <c r="J1312" s="19">
        <f t="shared" si="20"/>
        <v>0</v>
      </c>
    </row>
    <row r="1313" spans="1:10" x14ac:dyDescent="0.35">
      <c r="A1313" s="4" t="s">
        <v>5333</v>
      </c>
      <c r="B1313" s="7" t="s">
        <v>2066</v>
      </c>
      <c r="C1313" s="7" t="s">
        <v>3588</v>
      </c>
      <c r="D1313" s="5">
        <v>1</v>
      </c>
      <c r="E1313" s="7" t="str">
        <f>_xlfn.XLOOKUP(B1313,Customers!A1313:A2312,Customers!B1313:B2312,"Customer Not Found",0)</f>
        <v>Customer Not Found</v>
      </c>
      <c r="F1313" s="7" t="str">
        <f>_xlfn.XLOOKUP(Orders!B1313,Customers!A1313:A2312,Customers!C1313:C2312,"Country not Found",0)</f>
        <v>Country not Found</v>
      </c>
      <c r="G1313" s="7" t="str">
        <f>_xlfn.XLOOKUP(C1313,Products!A1313:A1812,Products!B1313:B1812,"Product Missing",0)</f>
        <v>Product Missing</v>
      </c>
      <c r="H1313" s="7" t="str">
        <f>_xlfn.XLOOKUP(C1313,Products!A1313:A1812,Products!C1313:C1812,"Category Missing",0)</f>
        <v>Category Missing</v>
      </c>
      <c r="I1313" s="11" t="str">
        <f>_xlfn.XLOOKUP(Orders!C1313,Products!A1313:A1812,Products!D1313:D1812,"Price Missing",0)</f>
        <v>Price Missing</v>
      </c>
      <c r="J1313" s="19">
        <f t="shared" si="20"/>
        <v>0</v>
      </c>
    </row>
    <row r="1314" spans="1:10" x14ac:dyDescent="0.35">
      <c r="A1314" s="4" t="s">
        <v>5334</v>
      </c>
      <c r="B1314" s="7" t="s">
        <v>2567</v>
      </c>
      <c r="C1314" s="7" t="s">
        <v>3450</v>
      </c>
      <c r="D1314" s="5">
        <v>5</v>
      </c>
      <c r="E1314" s="7" t="str">
        <f>_xlfn.XLOOKUP(B1314,Customers!A1314:A2313,Customers!B1314:B2313,"Customer Not Found",0)</f>
        <v>Customer Not Found</v>
      </c>
      <c r="F1314" s="7" t="str">
        <f>_xlfn.XLOOKUP(Orders!B1314,Customers!A1314:A2313,Customers!C1314:C2313,"Country not Found",0)</f>
        <v>Country not Found</v>
      </c>
      <c r="G1314" s="7" t="str">
        <f>_xlfn.XLOOKUP(C1314,Products!A1314:A1813,Products!B1314:B1813,"Product Missing",0)</f>
        <v>Product Missing</v>
      </c>
      <c r="H1314" s="7" t="str">
        <f>_xlfn.XLOOKUP(C1314,Products!A1314:A1813,Products!C1314:C1813,"Category Missing",0)</f>
        <v>Category Missing</v>
      </c>
      <c r="I1314" s="11" t="str">
        <f>_xlfn.XLOOKUP(Orders!C1314,Products!A1314:A1813,Products!D1314:D1813,"Price Missing",0)</f>
        <v>Price Missing</v>
      </c>
      <c r="J1314" s="19">
        <f t="shared" si="20"/>
        <v>0</v>
      </c>
    </row>
    <row r="1315" spans="1:10" x14ac:dyDescent="0.35">
      <c r="A1315" s="4" t="s">
        <v>5335</v>
      </c>
      <c r="B1315" s="7" t="s">
        <v>2525</v>
      </c>
      <c r="C1315" s="7" t="s">
        <v>3340</v>
      </c>
      <c r="D1315" s="5">
        <v>6</v>
      </c>
      <c r="E1315" s="7" t="str">
        <f>_xlfn.XLOOKUP(B1315,Customers!A1315:A2314,Customers!B1315:B2314,"Customer Not Found",0)</f>
        <v>Customer Not Found</v>
      </c>
      <c r="F1315" s="7" t="str">
        <f>_xlfn.XLOOKUP(Orders!B1315,Customers!A1315:A2314,Customers!C1315:C2314,"Country not Found",0)</f>
        <v>Country not Found</v>
      </c>
      <c r="G1315" s="7" t="str">
        <f>_xlfn.XLOOKUP(C1315,Products!A1315:A1814,Products!B1315:B1814,"Product Missing",0)</f>
        <v>Product Missing</v>
      </c>
      <c r="H1315" s="7" t="str">
        <f>_xlfn.XLOOKUP(C1315,Products!A1315:A1814,Products!C1315:C1814,"Category Missing",0)</f>
        <v>Category Missing</v>
      </c>
      <c r="I1315" s="11" t="str">
        <f>_xlfn.XLOOKUP(Orders!C1315,Products!A1315:A1814,Products!D1315:D1814,"Price Missing",0)</f>
        <v>Price Missing</v>
      </c>
      <c r="J1315" s="19">
        <f t="shared" si="20"/>
        <v>0</v>
      </c>
    </row>
    <row r="1316" spans="1:10" x14ac:dyDescent="0.35">
      <c r="A1316" s="4" t="s">
        <v>5336</v>
      </c>
      <c r="B1316" s="7" t="s">
        <v>1433</v>
      </c>
      <c r="C1316" s="7" t="s">
        <v>3436</v>
      </c>
      <c r="D1316" s="5">
        <v>5</v>
      </c>
      <c r="E1316" s="7" t="str">
        <f>_xlfn.XLOOKUP(B1316,Customers!A1316:A2315,Customers!B1316:B2315,"Customer Not Found",0)</f>
        <v>Customer Not Found</v>
      </c>
      <c r="F1316" s="7" t="str">
        <f>_xlfn.XLOOKUP(Orders!B1316,Customers!A1316:A2315,Customers!C1316:C2315,"Country not Found",0)</f>
        <v>Country not Found</v>
      </c>
      <c r="G1316" s="7" t="str">
        <f>_xlfn.XLOOKUP(C1316,Products!A1316:A1815,Products!B1316:B1815,"Product Missing",0)</f>
        <v>Product Missing</v>
      </c>
      <c r="H1316" s="7" t="str">
        <f>_xlfn.XLOOKUP(C1316,Products!A1316:A1815,Products!C1316:C1815,"Category Missing",0)</f>
        <v>Category Missing</v>
      </c>
      <c r="I1316" s="11" t="str">
        <f>_xlfn.XLOOKUP(Orders!C1316,Products!A1316:A1815,Products!D1316:D1815,"Price Missing",0)</f>
        <v>Price Missing</v>
      </c>
      <c r="J1316" s="19">
        <f t="shared" si="20"/>
        <v>0</v>
      </c>
    </row>
    <row r="1317" spans="1:10" x14ac:dyDescent="0.35">
      <c r="A1317" s="4" t="s">
        <v>5337</v>
      </c>
      <c r="B1317" s="7" t="s">
        <v>2099</v>
      </c>
      <c r="C1317" s="7" t="s">
        <v>3230</v>
      </c>
      <c r="D1317" s="5">
        <v>4</v>
      </c>
      <c r="E1317" s="7" t="str">
        <f>_xlfn.XLOOKUP(B1317,Customers!A1317:A2316,Customers!B1317:B2316,"Customer Not Found",0)</f>
        <v>Customer Not Found</v>
      </c>
      <c r="F1317" s="7" t="str">
        <f>_xlfn.XLOOKUP(Orders!B1317,Customers!A1317:A2316,Customers!C1317:C2316,"Country not Found",0)</f>
        <v>Country not Found</v>
      </c>
      <c r="G1317" s="7" t="str">
        <f>_xlfn.XLOOKUP(C1317,Products!A1317:A1816,Products!B1317:B1816,"Product Missing",0)</f>
        <v>Product Missing</v>
      </c>
      <c r="H1317" s="7" t="str">
        <f>_xlfn.XLOOKUP(C1317,Products!A1317:A1816,Products!C1317:C1816,"Category Missing",0)</f>
        <v>Category Missing</v>
      </c>
      <c r="I1317" s="11" t="str">
        <f>_xlfn.XLOOKUP(Orders!C1317,Products!A1317:A1816,Products!D1317:D1816,"Price Missing",0)</f>
        <v>Price Missing</v>
      </c>
      <c r="J1317" s="19">
        <f t="shared" si="20"/>
        <v>0</v>
      </c>
    </row>
    <row r="1318" spans="1:10" x14ac:dyDescent="0.35">
      <c r="A1318" s="4" t="s">
        <v>5338</v>
      </c>
      <c r="B1318" s="7" t="s">
        <v>1265</v>
      </c>
      <c r="C1318" s="7" t="s">
        <v>3768</v>
      </c>
      <c r="D1318" s="5">
        <v>1</v>
      </c>
      <c r="E1318" s="7" t="str">
        <f>_xlfn.XLOOKUP(B1318,Customers!A1318:A2317,Customers!B1318:B2317,"Customer Not Found",0)</f>
        <v>Customer Not Found</v>
      </c>
      <c r="F1318" s="7" t="str">
        <f>_xlfn.XLOOKUP(Orders!B1318,Customers!A1318:A2317,Customers!C1318:C2317,"Country not Found",0)</f>
        <v>Country not Found</v>
      </c>
      <c r="G1318" s="7" t="str">
        <f>_xlfn.XLOOKUP(C1318,Products!A1318:A1817,Products!B1318:B1817,"Product Missing",0)</f>
        <v>Product Missing</v>
      </c>
      <c r="H1318" s="7" t="str">
        <f>_xlfn.XLOOKUP(C1318,Products!A1318:A1817,Products!C1318:C1817,"Category Missing",0)</f>
        <v>Category Missing</v>
      </c>
      <c r="I1318" s="11" t="str">
        <f>_xlfn.XLOOKUP(Orders!C1318,Products!A1318:A1817,Products!D1318:D1817,"Price Missing",0)</f>
        <v>Price Missing</v>
      </c>
      <c r="J1318" s="19">
        <f t="shared" si="20"/>
        <v>0</v>
      </c>
    </row>
    <row r="1319" spans="1:10" x14ac:dyDescent="0.35">
      <c r="A1319" s="4" t="s">
        <v>5339</v>
      </c>
      <c r="B1319" s="7" t="s">
        <v>272</v>
      </c>
      <c r="C1319" s="7" t="s">
        <v>3556</v>
      </c>
      <c r="D1319" s="5">
        <v>3</v>
      </c>
      <c r="E1319" s="7" t="str">
        <f>_xlfn.XLOOKUP(B1319,Customers!A1319:A2318,Customers!B1319:B2318,"Customer Not Found",0)</f>
        <v>Customer Not Found</v>
      </c>
      <c r="F1319" s="7" t="str">
        <f>_xlfn.XLOOKUP(Orders!B1319,Customers!A1319:A2318,Customers!C1319:C2318,"Country not Found",0)</f>
        <v>Country not Found</v>
      </c>
      <c r="G1319" s="7" t="str">
        <f>_xlfn.XLOOKUP(C1319,Products!A1319:A1818,Products!B1319:B1818,"Product Missing",0)</f>
        <v>Product Missing</v>
      </c>
      <c r="H1319" s="7" t="str">
        <f>_xlfn.XLOOKUP(C1319,Products!A1319:A1818,Products!C1319:C1818,"Category Missing",0)</f>
        <v>Category Missing</v>
      </c>
      <c r="I1319" s="11" t="str">
        <f>_xlfn.XLOOKUP(Orders!C1319,Products!A1319:A1818,Products!D1319:D1818,"Price Missing",0)</f>
        <v>Price Missing</v>
      </c>
      <c r="J1319" s="19">
        <f t="shared" si="20"/>
        <v>0</v>
      </c>
    </row>
    <row r="1320" spans="1:10" x14ac:dyDescent="0.35">
      <c r="A1320" s="4" t="s">
        <v>5340</v>
      </c>
      <c r="B1320" s="7" t="s">
        <v>1910</v>
      </c>
      <c r="C1320" s="7" t="s">
        <v>3208</v>
      </c>
      <c r="D1320" s="5">
        <v>10</v>
      </c>
      <c r="E1320" s="7" t="str">
        <f>_xlfn.XLOOKUP(B1320,Customers!A1320:A2319,Customers!B1320:B2319,"Customer Not Found",0)</f>
        <v>Customer Not Found</v>
      </c>
      <c r="F1320" s="7" t="str">
        <f>_xlfn.XLOOKUP(Orders!B1320,Customers!A1320:A2319,Customers!C1320:C2319,"Country not Found",0)</f>
        <v>Country not Found</v>
      </c>
      <c r="G1320" s="7" t="str">
        <f>_xlfn.XLOOKUP(C1320,Products!A1320:A1819,Products!B1320:B1819,"Product Missing",0)</f>
        <v>Product Missing</v>
      </c>
      <c r="H1320" s="7" t="str">
        <f>_xlfn.XLOOKUP(C1320,Products!A1320:A1819,Products!C1320:C1819,"Category Missing",0)</f>
        <v>Category Missing</v>
      </c>
      <c r="I1320" s="11" t="str">
        <f>_xlfn.XLOOKUP(Orders!C1320,Products!A1320:A1819,Products!D1320:D1819,"Price Missing",0)</f>
        <v>Price Missing</v>
      </c>
      <c r="J1320" s="19">
        <f t="shared" si="20"/>
        <v>0</v>
      </c>
    </row>
    <row r="1321" spans="1:10" x14ac:dyDescent="0.35">
      <c r="A1321" s="4" t="s">
        <v>5341</v>
      </c>
      <c r="B1321" s="7" t="s">
        <v>212</v>
      </c>
      <c r="C1321" s="7" t="s">
        <v>3304</v>
      </c>
      <c r="D1321" s="5">
        <v>9</v>
      </c>
      <c r="E1321" s="7" t="str">
        <f>_xlfn.XLOOKUP(B1321,Customers!A1321:A2320,Customers!B1321:B2320,"Customer Not Found",0)</f>
        <v>Customer Not Found</v>
      </c>
      <c r="F1321" s="7" t="str">
        <f>_xlfn.XLOOKUP(Orders!B1321,Customers!A1321:A2320,Customers!C1321:C2320,"Country not Found",0)</f>
        <v>Country not Found</v>
      </c>
      <c r="G1321" s="7" t="str">
        <f>_xlfn.XLOOKUP(C1321,Products!A1321:A1820,Products!B1321:B1820,"Product Missing",0)</f>
        <v>Product Missing</v>
      </c>
      <c r="H1321" s="7" t="str">
        <f>_xlfn.XLOOKUP(C1321,Products!A1321:A1820,Products!C1321:C1820,"Category Missing",0)</f>
        <v>Category Missing</v>
      </c>
      <c r="I1321" s="11" t="str">
        <f>_xlfn.XLOOKUP(Orders!C1321,Products!A1321:A1820,Products!D1321:D1820,"Price Missing",0)</f>
        <v>Price Missing</v>
      </c>
      <c r="J1321" s="19">
        <f t="shared" si="20"/>
        <v>0</v>
      </c>
    </row>
    <row r="1322" spans="1:10" x14ac:dyDescent="0.35">
      <c r="A1322" s="4" t="s">
        <v>5342</v>
      </c>
      <c r="B1322" s="7" t="s">
        <v>443</v>
      </c>
      <c r="C1322" s="7" t="s">
        <v>3336</v>
      </c>
      <c r="D1322" s="5">
        <v>9</v>
      </c>
      <c r="E1322" s="7" t="str">
        <f>_xlfn.XLOOKUP(B1322,Customers!A1322:A2321,Customers!B1322:B2321,"Customer Not Found",0)</f>
        <v>Customer Not Found</v>
      </c>
      <c r="F1322" s="7" t="str">
        <f>_xlfn.XLOOKUP(Orders!B1322,Customers!A1322:A2321,Customers!C1322:C2321,"Country not Found",0)</f>
        <v>Country not Found</v>
      </c>
      <c r="G1322" s="7" t="str">
        <f>_xlfn.XLOOKUP(C1322,Products!A1322:A1821,Products!B1322:B1821,"Product Missing",0)</f>
        <v>Product Missing</v>
      </c>
      <c r="H1322" s="7" t="str">
        <f>_xlfn.XLOOKUP(C1322,Products!A1322:A1821,Products!C1322:C1821,"Category Missing",0)</f>
        <v>Category Missing</v>
      </c>
      <c r="I1322" s="11" t="str">
        <f>_xlfn.XLOOKUP(Orders!C1322,Products!A1322:A1821,Products!D1322:D1821,"Price Missing",0)</f>
        <v>Price Missing</v>
      </c>
      <c r="J1322" s="19">
        <f t="shared" si="20"/>
        <v>0</v>
      </c>
    </row>
    <row r="1323" spans="1:10" x14ac:dyDescent="0.35">
      <c r="A1323" s="4" t="s">
        <v>5343</v>
      </c>
      <c r="B1323" s="7" t="s">
        <v>1388</v>
      </c>
      <c r="C1323" s="7" t="s">
        <v>3598</v>
      </c>
      <c r="D1323" s="5">
        <v>4</v>
      </c>
      <c r="E1323" s="7" t="str">
        <f>_xlfn.XLOOKUP(B1323,Customers!A1323:A2322,Customers!B1323:B2322,"Customer Not Found",0)</f>
        <v>Customer Not Found</v>
      </c>
      <c r="F1323" s="7" t="str">
        <f>_xlfn.XLOOKUP(Orders!B1323,Customers!A1323:A2322,Customers!C1323:C2322,"Country not Found",0)</f>
        <v>Country not Found</v>
      </c>
      <c r="G1323" s="7" t="str">
        <f>_xlfn.XLOOKUP(C1323,Products!A1323:A1822,Products!B1323:B1822,"Product Missing",0)</f>
        <v>Product Missing</v>
      </c>
      <c r="H1323" s="7" t="str">
        <f>_xlfn.XLOOKUP(C1323,Products!A1323:A1822,Products!C1323:C1822,"Category Missing",0)</f>
        <v>Category Missing</v>
      </c>
      <c r="I1323" s="11" t="str">
        <f>_xlfn.XLOOKUP(Orders!C1323,Products!A1323:A1822,Products!D1323:D1822,"Price Missing",0)</f>
        <v>Price Missing</v>
      </c>
      <c r="J1323" s="19">
        <f t="shared" si="20"/>
        <v>0</v>
      </c>
    </row>
    <row r="1324" spans="1:10" x14ac:dyDescent="0.35">
      <c r="A1324" s="4" t="s">
        <v>5344</v>
      </c>
      <c r="B1324" s="7" t="s">
        <v>245</v>
      </c>
      <c r="C1324" s="7" t="s">
        <v>3864</v>
      </c>
      <c r="D1324" s="5">
        <v>6</v>
      </c>
      <c r="E1324" s="7" t="str">
        <f>_xlfn.XLOOKUP(B1324,Customers!A1324:A2323,Customers!B1324:B2323,"Customer Not Found",0)</f>
        <v>Customer Not Found</v>
      </c>
      <c r="F1324" s="7" t="str">
        <f>_xlfn.XLOOKUP(Orders!B1324,Customers!A1324:A2323,Customers!C1324:C2323,"Country not Found",0)</f>
        <v>Country not Found</v>
      </c>
      <c r="G1324" s="7" t="str">
        <f>_xlfn.XLOOKUP(C1324,Products!A1324:A1823,Products!B1324:B1823,"Product Missing",0)</f>
        <v>Product Missing</v>
      </c>
      <c r="H1324" s="7" t="str">
        <f>_xlfn.XLOOKUP(C1324,Products!A1324:A1823,Products!C1324:C1823,"Category Missing",0)</f>
        <v>Category Missing</v>
      </c>
      <c r="I1324" s="11" t="str">
        <f>_xlfn.XLOOKUP(Orders!C1324,Products!A1324:A1823,Products!D1324:D1823,"Price Missing",0)</f>
        <v>Price Missing</v>
      </c>
      <c r="J1324" s="19">
        <f t="shared" si="20"/>
        <v>0</v>
      </c>
    </row>
    <row r="1325" spans="1:10" x14ac:dyDescent="0.35">
      <c r="A1325" s="4" t="s">
        <v>5345</v>
      </c>
      <c r="B1325" s="7" t="s">
        <v>695</v>
      </c>
      <c r="C1325" s="7" t="s">
        <v>3796</v>
      </c>
      <c r="D1325" s="5">
        <v>8</v>
      </c>
      <c r="E1325" s="7" t="str">
        <f>_xlfn.XLOOKUP(B1325,Customers!A1325:A2324,Customers!B1325:B2324,"Customer Not Found",0)</f>
        <v>Customer Not Found</v>
      </c>
      <c r="F1325" s="7" t="str">
        <f>_xlfn.XLOOKUP(Orders!B1325,Customers!A1325:A2324,Customers!C1325:C2324,"Country not Found",0)</f>
        <v>Country not Found</v>
      </c>
      <c r="G1325" s="7" t="str">
        <f>_xlfn.XLOOKUP(C1325,Products!A1325:A1824,Products!B1325:B1824,"Product Missing",0)</f>
        <v>Product Missing</v>
      </c>
      <c r="H1325" s="7" t="str">
        <f>_xlfn.XLOOKUP(C1325,Products!A1325:A1824,Products!C1325:C1824,"Category Missing",0)</f>
        <v>Category Missing</v>
      </c>
      <c r="I1325" s="11" t="str">
        <f>_xlfn.XLOOKUP(Orders!C1325,Products!A1325:A1824,Products!D1325:D1824,"Price Missing",0)</f>
        <v>Price Missing</v>
      </c>
      <c r="J1325" s="19">
        <f t="shared" si="20"/>
        <v>0</v>
      </c>
    </row>
    <row r="1326" spans="1:10" x14ac:dyDescent="0.35">
      <c r="A1326" s="4" t="s">
        <v>5346</v>
      </c>
      <c r="B1326" s="7" t="s">
        <v>1295</v>
      </c>
      <c r="C1326" s="7" t="s">
        <v>3714</v>
      </c>
      <c r="D1326" s="5">
        <v>5</v>
      </c>
      <c r="E1326" s="7" t="str">
        <f>_xlfn.XLOOKUP(B1326,Customers!A1326:A2325,Customers!B1326:B2325,"Customer Not Found",0)</f>
        <v>Customer Not Found</v>
      </c>
      <c r="F1326" s="7" t="str">
        <f>_xlfn.XLOOKUP(Orders!B1326,Customers!A1326:A2325,Customers!C1326:C2325,"Country not Found",0)</f>
        <v>Country not Found</v>
      </c>
      <c r="G1326" s="7" t="str">
        <f>_xlfn.XLOOKUP(C1326,Products!A1326:A1825,Products!B1326:B1825,"Product Missing",0)</f>
        <v>Product Missing</v>
      </c>
      <c r="H1326" s="7" t="str">
        <f>_xlfn.XLOOKUP(C1326,Products!A1326:A1825,Products!C1326:C1825,"Category Missing",0)</f>
        <v>Category Missing</v>
      </c>
      <c r="I1326" s="11" t="str">
        <f>_xlfn.XLOOKUP(Orders!C1326,Products!A1326:A1825,Products!D1326:D1825,"Price Missing",0)</f>
        <v>Price Missing</v>
      </c>
      <c r="J1326" s="19">
        <f t="shared" si="20"/>
        <v>0</v>
      </c>
    </row>
    <row r="1327" spans="1:10" x14ac:dyDescent="0.35">
      <c r="A1327" s="4" t="s">
        <v>5347</v>
      </c>
      <c r="B1327" s="7" t="s">
        <v>1685</v>
      </c>
      <c r="C1327" s="7" t="s">
        <v>3704</v>
      </c>
      <c r="D1327" s="5">
        <v>8</v>
      </c>
      <c r="E1327" s="7" t="str">
        <f>_xlfn.XLOOKUP(B1327,Customers!A1327:A2326,Customers!B1327:B2326,"Customer Not Found",0)</f>
        <v>Customer Not Found</v>
      </c>
      <c r="F1327" s="7" t="str">
        <f>_xlfn.XLOOKUP(Orders!B1327,Customers!A1327:A2326,Customers!C1327:C2326,"Country not Found",0)</f>
        <v>Country not Found</v>
      </c>
      <c r="G1327" s="7" t="str">
        <f>_xlfn.XLOOKUP(C1327,Products!A1327:A1826,Products!B1327:B1826,"Product Missing",0)</f>
        <v>Product Missing</v>
      </c>
      <c r="H1327" s="7" t="str">
        <f>_xlfn.XLOOKUP(C1327,Products!A1327:A1826,Products!C1327:C1826,"Category Missing",0)</f>
        <v>Category Missing</v>
      </c>
      <c r="I1327" s="11" t="str">
        <f>_xlfn.XLOOKUP(Orders!C1327,Products!A1327:A1826,Products!D1327:D1826,"Price Missing",0)</f>
        <v>Price Missing</v>
      </c>
      <c r="J1327" s="19">
        <f t="shared" si="20"/>
        <v>0</v>
      </c>
    </row>
    <row r="1328" spans="1:10" x14ac:dyDescent="0.35">
      <c r="A1328" s="4" t="s">
        <v>5348</v>
      </c>
      <c r="B1328" s="7" t="s">
        <v>218</v>
      </c>
      <c r="C1328" s="7" t="s">
        <v>3930</v>
      </c>
      <c r="D1328" s="5">
        <v>7</v>
      </c>
      <c r="E1328" s="7" t="str">
        <f>_xlfn.XLOOKUP(B1328,Customers!A1328:A2327,Customers!B1328:B2327,"Customer Not Found",0)</f>
        <v>Customer Not Found</v>
      </c>
      <c r="F1328" s="7" t="str">
        <f>_xlfn.XLOOKUP(Orders!B1328,Customers!A1328:A2327,Customers!C1328:C2327,"Country not Found",0)</f>
        <v>Country not Found</v>
      </c>
      <c r="G1328" s="7" t="str">
        <f>_xlfn.XLOOKUP(C1328,Products!A1328:A1827,Products!B1328:B1827,"Product Missing",0)</f>
        <v>Product Missing</v>
      </c>
      <c r="H1328" s="7" t="str">
        <f>_xlfn.XLOOKUP(C1328,Products!A1328:A1827,Products!C1328:C1827,"Category Missing",0)</f>
        <v>Category Missing</v>
      </c>
      <c r="I1328" s="11" t="str">
        <f>_xlfn.XLOOKUP(Orders!C1328,Products!A1328:A1827,Products!D1328:D1827,"Price Missing",0)</f>
        <v>Price Missing</v>
      </c>
      <c r="J1328" s="19">
        <f t="shared" si="20"/>
        <v>0</v>
      </c>
    </row>
    <row r="1329" spans="1:10" x14ac:dyDescent="0.35">
      <c r="A1329" s="4" t="s">
        <v>5349</v>
      </c>
      <c r="B1329" s="7" t="s">
        <v>227</v>
      </c>
      <c r="C1329" s="7" t="s">
        <v>3880</v>
      </c>
      <c r="D1329" s="5">
        <v>10</v>
      </c>
      <c r="E1329" s="7" t="str">
        <f>_xlfn.XLOOKUP(B1329,Customers!A1329:A2328,Customers!B1329:B2328,"Customer Not Found",0)</f>
        <v>Customer Not Found</v>
      </c>
      <c r="F1329" s="7" t="str">
        <f>_xlfn.XLOOKUP(Orders!B1329,Customers!A1329:A2328,Customers!C1329:C2328,"Country not Found",0)</f>
        <v>Country not Found</v>
      </c>
      <c r="G1329" s="7" t="str">
        <f>_xlfn.XLOOKUP(C1329,Products!A1329:A1828,Products!B1329:B1828,"Product Missing",0)</f>
        <v>Product Missing</v>
      </c>
      <c r="H1329" s="7" t="str">
        <f>_xlfn.XLOOKUP(C1329,Products!A1329:A1828,Products!C1329:C1828,"Category Missing",0)</f>
        <v>Category Missing</v>
      </c>
      <c r="I1329" s="11" t="str">
        <f>_xlfn.XLOOKUP(Orders!C1329,Products!A1329:A1828,Products!D1329:D1828,"Price Missing",0)</f>
        <v>Price Missing</v>
      </c>
      <c r="J1329" s="19">
        <f t="shared" si="20"/>
        <v>0</v>
      </c>
    </row>
    <row r="1330" spans="1:10" x14ac:dyDescent="0.35">
      <c r="A1330" s="4" t="s">
        <v>5350</v>
      </c>
      <c r="B1330" s="7" t="s">
        <v>251</v>
      </c>
      <c r="C1330" s="7" t="s">
        <v>3032</v>
      </c>
      <c r="D1330" s="5">
        <v>8</v>
      </c>
      <c r="E1330" s="7" t="str">
        <f>_xlfn.XLOOKUP(B1330,Customers!A1330:A2329,Customers!B1330:B2329,"Customer Not Found",0)</f>
        <v>Customer Not Found</v>
      </c>
      <c r="F1330" s="7" t="str">
        <f>_xlfn.XLOOKUP(Orders!B1330,Customers!A1330:A2329,Customers!C1330:C2329,"Country not Found",0)</f>
        <v>Country not Found</v>
      </c>
      <c r="G1330" s="7" t="str">
        <f>_xlfn.XLOOKUP(C1330,Products!A1330:A1829,Products!B1330:B1829,"Product Missing",0)</f>
        <v>Product Missing</v>
      </c>
      <c r="H1330" s="7" t="str">
        <f>_xlfn.XLOOKUP(C1330,Products!A1330:A1829,Products!C1330:C1829,"Category Missing",0)</f>
        <v>Category Missing</v>
      </c>
      <c r="I1330" s="11" t="str">
        <f>_xlfn.XLOOKUP(Orders!C1330,Products!A1330:A1829,Products!D1330:D1829,"Price Missing",0)</f>
        <v>Price Missing</v>
      </c>
      <c r="J1330" s="19">
        <f t="shared" si="20"/>
        <v>0</v>
      </c>
    </row>
    <row r="1331" spans="1:10" x14ac:dyDescent="0.35">
      <c r="A1331" s="4" t="s">
        <v>5351</v>
      </c>
      <c r="B1331" s="7" t="s">
        <v>245</v>
      </c>
      <c r="C1331" s="7" t="s">
        <v>3178</v>
      </c>
      <c r="D1331" s="5">
        <v>3</v>
      </c>
      <c r="E1331" s="7" t="str">
        <f>_xlfn.XLOOKUP(B1331,Customers!A1331:A2330,Customers!B1331:B2330,"Customer Not Found",0)</f>
        <v>Customer Not Found</v>
      </c>
      <c r="F1331" s="7" t="str">
        <f>_xlfn.XLOOKUP(Orders!B1331,Customers!A1331:A2330,Customers!C1331:C2330,"Country not Found",0)</f>
        <v>Country not Found</v>
      </c>
      <c r="G1331" s="7" t="str">
        <f>_xlfn.XLOOKUP(C1331,Products!A1331:A1830,Products!B1331:B1830,"Product Missing",0)</f>
        <v>Product Missing</v>
      </c>
      <c r="H1331" s="7" t="str">
        <f>_xlfn.XLOOKUP(C1331,Products!A1331:A1830,Products!C1331:C1830,"Category Missing",0)</f>
        <v>Category Missing</v>
      </c>
      <c r="I1331" s="11" t="str">
        <f>_xlfn.XLOOKUP(Orders!C1331,Products!A1331:A1830,Products!D1331:D1830,"Price Missing",0)</f>
        <v>Price Missing</v>
      </c>
      <c r="J1331" s="19">
        <f t="shared" si="20"/>
        <v>0</v>
      </c>
    </row>
    <row r="1332" spans="1:10" x14ac:dyDescent="0.35">
      <c r="A1332" s="4" t="s">
        <v>5352</v>
      </c>
      <c r="B1332" s="7" t="s">
        <v>2354</v>
      </c>
      <c r="C1332" s="7" t="s">
        <v>3800</v>
      </c>
      <c r="D1332" s="5">
        <v>8</v>
      </c>
      <c r="E1332" s="7" t="str">
        <f>_xlfn.XLOOKUP(B1332,Customers!A1332:A2331,Customers!B1332:B2331,"Customer Not Found",0)</f>
        <v>Customer Not Found</v>
      </c>
      <c r="F1332" s="7" t="str">
        <f>_xlfn.XLOOKUP(Orders!B1332,Customers!A1332:A2331,Customers!C1332:C2331,"Country not Found",0)</f>
        <v>Country not Found</v>
      </c>
      <c r="G1332" s="7" t="str">
        <f>_xlfn.XLOOKUP(C1332,Products!A1332:A1831,Products!B1332:B1831,"Product Missing",0)</f>
        <v>Product Missing</v>
      </c>
      <c r="H1332" s="7" t="str">
        <f>_xlfn.XLOOKUP(C1332,Products!A1332:A1831,Products!C1332:C1831,"Category Missing",0)</f>
        <v>Category Missing</v>
      </c>
      <c r="I1332" s="11" t="str">
        <f>_xlfn.XLOOKUP(Orders!C1332,Products!A1332:A1831,Products!D1332:D1831,"Price Missing",0)</f>
        <v>Price Missing</v>
      </c>
      <c r="J1332" s="19">
        <f t="shared" si="20"/>
        <v>0</v>
      </c>
    </row>
    <row r="1333" spans="1:10" x14ac:dyDescent="0.35">
      <c r="A1333" s="4" t="s">
        <v>5353</v>
      </c>
      <c r="B1333" s="7" t="s">
        <v>422</v>
      </c>
      <c r="C1333" s="7" t="s">
        <v>3936</v>
      </c>
      <c r="D1333" s="5">
        <v>9</v>
      </c>
      <c r="E1333" s="7" t="str">
        <f>_xlfn.XLOOKUP(B1333,Customers!A1333:A2332,Customers!B1333:B2332,"Customer Not Found",0)</f>
        <v>Customer Not Found</v>
      </c>
      <c r="F1333" s="7" t="str">
        <f>_xlfn.XLOOKUP(Orders!B1333,Customers!A1333:A2332,Customers!C1333:C2332,"Country not Found",0)</f>
        <v>Country not Found</v>
      </c>
      <c r="G1333" s="7" t="str">
        <f>_xlfn.XLOOKUP(C1333,Products!A1333:A1832,Products!B1333:B1832,"Product Missing",0)</f>
        <v>Product Missing</v>
      </c>
      <c r="H1333" s="7" t="str">
        <f>_xlfn.XLOOKUP(C1333,Products!A1333:A1832,Products!C1333:C1832,"Category Missing",0)</f>
        <v>Category Missing</v>
      </c>
      <c r="I1333" s="11" t="str">
        <f>_xlfn.XLOOKUP(Orders!C1333,Products!A1333:A1832,Products!D1333:D1832,"Price Missing",0)</f>
        <v>Price Missing</v>
      </c>
      <c r="J1333" s="19">
        <f t="shared" si="20"/>
        <v>0</v>
      </c>
    </row>
    <row r="1334" spans="1:10" x14ac:dyDescent="0.35">
      <c r="A1334" s="4" t="s">
        <v>5354</v>
      </c>
      <c r="B1334" s="7" t="s">
        <v>2588</v>
      </c>
      <c r="C1334" s="7" t="s">
        <v>3862</v>
      </c>
      <c r="D1334" s="5">
        <v>1</v>
      </c>
      <c r="E1334" s="7" t="str">
        <f>_xlfn.XLOOKUP(B1334,Customers!A1334:A2333,Customers!B1334:B2333,"Customer Not Found",0)</f>
        <v>Customer Not Found</v>
      </c>
      <c r="F1334" s="7" t="str">
        <f>_xlfn.XLOOKUP(Orders!B1334,Customers!A1334:A2333,Customers!C1334:C2333,"Country not Found",0)</f>
        <v>Country not Found</v>
      </c>
      <c r="G1334" s="7" t="str">
        <f>_xlfn.XLOOKUP(C1334,Products!A1334:A1833,Products!B1334:B1833,"Product Missing",0)</f>
        <v>Product Missing</v>
      </c>
      <c r="H1334" s="7" t="str">
        <f>_xlfn.XLOOKUP(C1334,Products!A1334:A1833,Products!C1334:C1833,"Category Missing",0)</f>
        <v>Category Missing</v>
      </c>
      <c r="I1334" s="11" t="str">
        <f>_xlfn.XLOOKUP(Orders!C1334,Products!A1334:A1833,Products!D1334:D1833,"Price Missing",0)</f>
        <v>Price Missing</v>
      </c>
      <c r="J1334" s="19">
        <f t="shared" si="20"/>
        <v>0</v>
      </c>
    </row>
    <row r="1335" spans="1:10" x14ac:dyDescent="0.35">
      <c r="A1335" s="4" t="s">
        <v>5355</v>
      </c>
      <c r="B1335" s="7" t="s">
        <v>2405</v>
      </c>
      <c r="C1335" s="7" t="s">
        <v>3686</v>
      </c>
      <c r="D1335" s="5">
        <v>1</v>
      </c>
      <c r="E1335" s="7" t="str">
        <f>_xlfn.XLOOKUP(B1335,Customers!A1335:A2334,Customers!B1335:B2334,"Customer Not Found",0)</f>
        <v>Customer Not Found</v>
      </c>
      <c r="F1335" s="7" t="str">
        <f>_xlfn.XLOOKUP(Orders!B1335,Customers!A1335:A2334,Customers!C1335:C2334,"Country not Found",0)</f>
        <v>Country not Found</v>
      </c>
      <c r="G1335" s="7" t="str">
        <f>_xlfn.XLOOKUP(C1335,Products!A1335:A1834,Products!B1335:B1834,"Product Missing",0)</f>
        <v>Product Missing</v>
      </c>
      <c r="H1335" s="7" t="str">
        <f>_xlfn.XLOOKUP(C1335,Products!A1335:A1834,Products!C1335:C1834,"Category Missing",0)</f>
        <v>Category Missing</v>
      </c>
      <c r="I1335" s="11" t="str">
        <f>_xlfn.XLOOKUP(Orders!C1335,Products!A1335:A1834,Products!D1335:D1834,"Price Missing",0)</f>
        <v>Price Missing</v>
      </c>
      <c r="J1335" s="19">
        <f t="shared" si="20"/>
        <v>0</v>
      </c>
    </row>
    <row r="1336" spans="1:10" x14ac:dyDescent="0.35">
      <c r="A1336" s="4" t="s">
        <v>5356</v>
      </c>
      <c r="B1336" s="7" t="s">
        <v>2684</v>
      </c>
      <c r="C1336" s="7" t="s">
        <v>3938</v>
      </c>
      <c r="D1336" s="5">
        <v>1</v>
      </c>
      <c r="E1336" s="7" t="str">
        <f>_xlfn.XLOOKUP(B1336,Customers!A1336:A2335,Customers!B1336:B2335,"Customer Not Found",0)</f>
        <v>Customer Not Found</v>
      </c>
      <c r="F1336" s="7" t="str">
        <f>_xlfn.XLOOKUP(Orders!B1336,Customers!A1336:A2335,Customers!C1336:C2335,"Country not Found",0)</f>
        <v>Country not Found</v>
      </c>
      <c r="G1336" s="7" t="str">
        <f>_xlfn.XLOOKUP(C1336,Products!A1336:A1835,Products!B1336:B1835,"Product Missing",0)</f>
        <v>Product Missing</v>
      </c>
      <c r="H1336" s="7" t="str">
        <f>_xlfn.XLOOKUP(C1336,Products!A1336:A1835,Products!C1336:C1835,"Category Missing",0)</f>
        <v>Category Missing</v>
      </c>
      <c r="I1336" s="11" t="str">
        <f>_xlfn.XLOOKUP(Orders!C1336,Products!A1336:A1835,Products!D1336:D1835,"Price Missing",0)</f>
        <v>Price Missing</v>
      </c>
      <c r="J1336" s="19">
        <f t="shared" si="20"/>
        <v>0</v>
      </c>
    </row>
    <row r="1337" spans="1:10" x14ac:dyDescent="0.35">
      <c r="A1337" s="4" t="s">
        <v>5357</v>
      </c>
      <c r="B1337" s="7" t="s">
        <v>1541</v>
      </c>
      <c r="C1337" s="7" t="s">
        <v>3080</v>
      </c>
      <c r="D1337" s="5">
        <v>10</v>
      </c>
      <c r="E1337" s="7" t="str">
        <f>_xlfn.XLOOKUP(B1337,Customers!A1337:A2336,Customers!B1337:B2336,"Customer Not Found",0)</f>
        <v>Customer Not Found</v>
      </c>
      <c r="F1337" s="7" t="str">
        <f>_xlfn.XLOOKUP(Orders!B1337,Customers!A1337:A2336,Customers!C1337:C2336,"Country not Found",0)</f>
        <v>Country not Found</v>
      </c>
      <c r="G1337" s="7" t="str">
        <f>_xlfn.XLOOKUP(C1337,Products!A1337:A1836,Products!B1337:B1836,"Product Missing",0)</f>
        <v>Product Missing</v>
      </c>
      <c r="H1337" s="7" t="str">
        <f>_xlfn.XLOOKUP(C1337,Products!A1337:A1836,Products!C1337:C1836,"Category Missing",0)</f>
        <v>Category Missing</v>
      </c>
      <c r="I1337" s="11" t="str">
        <f>_xlfn.XLOOKUP(Orders!C1337,Products!A1337:A1836,Products!D1337:D1836,"Price Missing",0)</f>
        <v>Price Missing</v>
      </c>
      <c r="J1337" s="19">
        <f t="shared" si="20"/>
        <v>0</v>
      </c>
    </row>
    <row r="1338" spans="1:10" x14ac:dyDescent="0.35">
      <c r="A1338" s="4" t="s">
        <v>5358</v>
      </c>
      <c r="B1338" s="7" t="s">
        <v>1814</v>
      </c>
      <c r="C1338" s="7" t="s">
        <v>3606</v>
      </c>
      <c r="D1338" s="5">
        <v>6</v>
      </c>
      <c r="E1338" s="7" t="str">
        <f>_xlfn.XLOOKUP(B1338,Customers!A1338:A2337,Customers!B1338:B2337,"Customer Not Found",0)</f>
        <v>Customer Not Found</v>
      </c>
      <c r="F1338" s="7" t="str">
        <f>_xlfn.XLOOKUP(Orders!B1338,Customers!A1338:A2337,Customers!C1338:C2337,"Country not Found",0)</f>
        <v>Country not Found</v>
      </c>
      <c r="G1338" s="7" t="str">
        <f>_xlfn.XLOOKUP(C1338,Products!A1338:A1837,Products!B1338:B1837,"Product Missing",0)</f>
        <v>Product Missing</v>
      </c>
      <c r="H1338" s="7" t="str">
        <f>_xlfn.XLOOKUP(C1338,Products!A1338:A1837,Products!C1338:C1837,"Category Missing",0)</f>
        <v>Category Missing</v>
      </c>
      <c r="I1338" s="11" t="str">
        <f>_xlfn.XLOOKUP(Orders!C1338,Products!A1338:A1837,Products!D1338:D1837,"Price Missing",0)</f>
        <v>Price Missing</v>
      </c>
      <c r="J1338" s="19">
        <f t="shared" si="20"/>
        <v>0</v>
      </c>
    </row>
    <row r="1339" spans="1:10" x14ac:dyDescent="0.35">
      <c r="A1339" s="4" t="s">
        <v>5359</v>
      </c>
      <c r="B1339" s="7" t="s">
        <v>746</v>
      </c>
      <c r="C1339" s="7" t="s">
        <v>3274</v>
      </c>
      <c r="D1339" s="5">
        <v>10</v>
      </c>
      <c r="E1339" s="7" t="str">
        <f>_xlfn.XLOOKUP(B1339,Customers!A1339:A2338,Customers!B1339:B2338,"Customer Not Found",0)</f>
        <v>Customer Not Found</v>
      </c>
      <c r="F1339" s="7" t="str">
        <f>_xlfn.XLOOKUP(Orders!B1339,Customers!A1339:A2338,Customers!C1339:C2338,"Country not Found",0)</f>
        <v>Country not Found</v>
      </c>
      <c r="G1339" s="7" t="str">
        <f>_xlfn.XLOOKUP(C1339,Products!A1339:A1838,Products!B1339:B1838,"Product Missing",0)</f>
        <v>Product Missing</v>
      </c>
      <c r="H1339" s="7" t="str">
        <f>_xlfn.XLOOKUP(C1339,Products!A1339:A1838,Products!C1339:C1838,"Category Missing",0)</f>
        <v>Category Missing</v>
      </c>
      <c r="I1339" s="11" t="str">
        <f>_xlfn.XLOOKUP(Orders!C1339,Products!A1339:A1838,Products!D1339:D1838,"Price Missing",0)</f>
        <v>Price Missing</v>
      </c>
      <c r="J1339" s="19">
        <f t="shared" si="20"/>
        <v>0</v>
      </c>
    </row>
    <row r="1340" spans="1:10" x14ac:dyDescent="0.35">
      <c r="A1340" s="4" t="s">
        <v>5360</v>
      </c>
      <c r="B1340" s="7" t="s">
        <v>1154</v>
      </c>
      <c r="C1340" s="7" t="s">
        <v>3070</v>
      </c>
      <c r="D1340" s="5">
        <v>5</v>
      </c>
      <c r="E1340" s="7" t="str">
        <f>_xlfn.XLOOKUP(B1340,Customers!A1340:A2339,Customers!B1340:B2339,"Customer Not Found",0)</f>
        <v>Customer Not Found</v>
      </c>
      <c r="F1340" s="7" t="str">
        <f>_xlfn.XLOOKUP(Orders!B1340,Customers!A1340:A2339,Customers!C1340:C2339,"Country not Found",0)</f>
        <v>Country not Found</v>
      </c>
      <c r="G1340" s="7" t="str">
        <f>_xlfn.XLOOKUP(C1340,Products!A1340:A1839,Products!B1340:B1839,"Product Missing",0)</f>
        <v>Product Missing</v>
      </c>
      <c r="H1340" s="7" t="str">
        <f>_xlfn.XLOOKUP(C1340,Products!A1340:A1839,Products!C1340:C1839,"Category Missing",0)</f>
        <v>Category Missing</v>
      </c>
      <c r="I1340" s="11" t="str">
        <f>_xlfn.XLOOKUP(Orders!C1340,Products!A1340:A1839,Products!D1340:D1839,"Price Missing",0)</f>
        <v>Price Missing</v>
      </c>
      <c r="J1340" s="19">
        <f t="shared" si="20"/>
        <v>0</v>
      </c>
    </row>
    <row r="1341" spans="1:10" x14ac:dyDescent="0.35">
      <c r="A1341" s="4" t="s">
        <v>5361</v>
      </c>
      <c r="B1341" s="7" t="s">
        <v>2657</v>
      </c>
      <c r="C1341" s="7" t="s">
        <v>3082</v>
      </c>
      <c r="D1341" s="5">
        <v>1</v>
      </c>
      <c r="E1341" s="7" t="str">
        <f>_xlfn.XLOOKUP(B1341,Customers!A1341:A2340,Customers!B1341:B2340,"Customer Not Found",0)</f>
        <v>Customer Not Found</v>
      </c>
      <c r="F1341" s="7" t="str">
        <f>_xlfn.XLOOKUP(Orders!B1341,Customers!A1341:A2340,Customers!C1341:C2340,"Country not Found",0)</f>
        <v>Country not Found</v>
      </c>
      <c r="G1341" s="7" t="str">
        <f>_xlfn.XLOOKUP(C1341,Products!A1341:A1840,Products!B1341:B1840,"Product Missing",0)</f>
        <v>Product Missing</v>
      </c>
      <c r="H1341" s="7" t="str">
        <f>_xlfn.XLOOKUP(C1341,Products!A1341:A1840,Products!C1341:C1840,"Category Missing",0)</f>
        <v>Category Missing</v>
      </c>
      <c r="I1341" s="11" t="str">
        <f>_xlfn.XLOOKUP(Orders!C1341,Products!A1341:A1840,Products!D1341:D1840,"Price Missing",0)</f>
        <v>Price Missing</v>
      </c>
      <c r="J1341" s="19">
        <f t="shared" si="20"/>
        <v>0</v>
      </c>
    </row>
    <row r="1342" spans="1:10" x14ac:dyDescent="0.35">
      <c r="A1342" s="4" t="s">
        <v>5362</v>
      </c>
      <c r="B1342" s="7" t="s">
        <v>299</v>
      </c>
      <c r="C1342" s="7" t="s">
        <v>3548</v>
      </c>
      <c r="D1342" s="5">
        <v>6</v>
      </c>
      <c r="E1342" s="7" t="str">
        <f>_xlfn.XLOOKUP(B1342,Customers!A1342:A2341,Customers!B1342:B2341,"Customer Not Found",0)</f>
        <v>Customer Not Found</v>
      </c>
      <c r="F1342" s="7" t="str">
        <f>_xlfn.XLOOKUP(Orders!B1342,Customers!A1342:A2341,Customers!C1342:C2341,"Country not Found",0)</f>
        <v>Country not Found</v>
      </c>
      <c r="G1342" s="7" t="str">
        <f>_xlfn.XLOOKUP(C1342,Products!A1342:A1841,Products!B1342:B1841,"Product Missing",0)</f>
        <v>Product Missing</v>
      </c>
      <c r="H1342" s="7" t="str">
        <f>_xlfn.XLOOKUP(C1342,Products!A1342:A1841,Products!C1342:C1841,"Category Missing",0)</f>
        <v>Category Missing</v>
      </c>
      <c r="I1342" s="11" t="str">
        <f>_xlfn.XLOOKUP(Orders!C1342,Products!A1342:A1841,Products!D1342:D1841,"Price Missing",0)</f>
        <v>Price Missing</v>
      </c>
      <c r="J1342" s="19">
        <f t="shared" si="20"/>
        <v>0</v>
      </c>
    </row>
    <row r="1343" spans="1:10" x14ac:dyDescent="0.35">
      <c r="A1343" s="4" t="s">
        <v>5363</v>
      </c>
      <c r="B1343" s="7" t="s">
        <v>2594</v>
      </c>
      <c r="C1343" s="7" t="s">
        <v>3134</v>
      </c>
      <c r="D1343" s="5">
        <v>5</v>
      </c>
      <c r="E1343" s="7" t="str">
        <f>_xlfn.XLOOKUP(B1343,Customers!A1343:A2342,Customers!B1343:B2342,"Customer Not Found",0)</f>
        <v>Customer Not Found</v>
      </c>
      <c r="F1343" s="7" t="str">
        <f>_xlfn.XLOOKUP(Orders!B1343,Customers!A1343:A2342,Customers!C1343:C2342,"Country not Found",0)</f>
        <v>Country not Found</v>
      </c>
      <c r="G1343" s="7" t="str">
        <f>_xlfn.XLOOKUP(C1343,Products!A1343:A1842,Products!B1343:B1842,"Product Missing",0)</f>
        <v>Product Missing</v>
      </c>
      <c r="H1343" s="7" t="str">
        <f>_xlfn.XLOOKUP(C1343,Products!A1343:A1842,Products!C1343:C1842,"Category Missing",0)</f>
        <v>Category Missing</v>
      </c>
      <c r="I1343" s="11" t="str">
        <f>_xlfn.XLOOKUP(Orders!C1343,Products!A1343:A1842,Products!D1343:D1842,"Price Missing",0)</f>
        <v>Price Missing</v>
      </c>
      <c r="J1343" s="19">
        <f t="shared" si="20"/>
        <v>0</v>
      </c>
    </row>
    <row r="1344" spans="1:10" x14ac:dyDescent="0.35">
      <c r="A1344" s="4" t="s">
        <v>5364</v>
      </c>
      <c r="B1344" s="7" t="s">
        <v>1433</v>
      </c>
      <c r="C1344" s="7" t="s">
        <v>3932</v>
      </c>
      <c r="D1344" s="5">
        <v>6</v>
      </c>
      <c r="E1344" s="7" t="str">
        <f>_xlfn.XLOOKUP(B1344,Customers!A1344:A2343,Customers!B1344:B2343,"Customer Not Found",0)</f>
        <v>Customer Not Found</v>
      </c>
      <c r="F1344" s="7" t="str">
        <f>_xlfn.XLOOKUP(Orders!B1344,Customers!A1344:A2343,Customers!C1344:C2343,"Country not Found",0)</f>
        <v>Country not Found</v>
      </c>
      <c r="G1344" s="7" t="str">
        <f>_xlfn.XLOOKUP(C1344,Products!A1344:A1843,Products!B1344:B1843,"Product Missing",0)</f>
        <v>Product Missing</v>
      </c>
      <c r="H1344" s="7" t="str">
        <f>_xlfn.XLOOKUP(C1344,Products!A1344:A1843,Products!C1344:C1843,"Category Missing",0)</f>
        <v>Category Missing</v>
      </c>
      <c r="I1344" s="11" t="str">
        <f>_xlfn.XLOOKUP(Orders!C1344,Products!A1344:A1843,Products!D1344:D1843,"Price Missing",0)</f>
        <v>Price Missing</v>
      </c>
      <c r="J1344" s="19">
        <f t="shared" si="20"/>
        <v>0</v>
      </c>
    </row>
    <row r="1345" spans="1:10" x14ac:dyDescent="0.35">
      <c r="A1345" s="4" t="s">
        <v>5365</v>
      </c>
      <c r="B1345" s="7" t="s">
        <v>1346</v>
      </c>
      <c r="C1345" s="7" t="s">
        <v>3043</v>
      </c>
      <c r="D1345" s="5">
        <v>2</v>
      </c>
      <c r="E1345" s="7" t="str">
        <f>_xlfn.XLOOKUP(B1345,Customers!A1345:A2344,Customers!B1345:B2344,"Customer Not Found",0)</f>
        <v>Customer Not Found</v>
      </c>
      <c r="F1345" s="7" t="str">
        <f>_xlfn.XLOOKUP(Orders!B1345,Customers!A1345:A2344,Customers!C1345:C2344,"Country not Found",0)</f>
        <v>Country not Found</v>
      </c>
      <c r="G1345" s="7" t="str">
        <f>_xlfn.XLOOKUP(C1345,Products!A1345:A1844,Products!B1345:B1844,"Product Missing",0)</f>
        <v>Product Missing</v>
      </c>
      <c r="H1345" s="7" t="str">
        <f>_xlfn.XLOOKUP(C1345,Products!A1345:A1844,Products!C1345:C1844,"Category Missing",0)</f>
        <v>Category Missing</v>
      </c>
      <c r="I1345" s="11" t="str">
        <f>_xlfn.XLOOKUP(Orders!C1345,Products!A1345:A1844,Products!D1345:D1844,"Price Missing",0)</f>
        <v>Price Missing</v>
      </c>
      <c r="J1345" s="19">
        <f t="shared" si="20"/>
        <v>0</v>
      </c>
    </row>
    <row r="1346" spans="1:10" x14ac:dyDescent="0.35">
      <c r="A1346" s="4" t="s">
        <v>5366</v>
      </c>
      <c r="B1346" s="7" t="s">
        <v>1079</v>
      </c>
      <c r="C1346" s="7" t="s">
        <v>3086</v>
      </c>
      <c r="D1346" s="5">
        <v>3</v>
      </c>
      <c r="E1346" s="7" t="str">
        <f>_xlfn.XLOOKUP(B1346,Customers!A1346:A2345,Customers!B1346:B2345,"Customer Not Found",0)</f>
        <v>Customer Not Found</v>
      </c>
      <c r="F1346" s="7" t="str">
        <f>_xlfn.XLOOKUP(Orders!B1346,Customers!A1346:A2345,Customers!C1346:C2345,"Country not Found",0)</f>
        <v>Country not Found</v>
      </c>
      <c r="G1346" s="7" t="str">
        <f>_xlfn.XLOOKUP(C1346,Products!A1346:A1845,Products!B1346:B1845,"Product Missing",0)</f>
        <v>Product Missing</v>
      </c>
      <c r="H1346" s="7" t="str">
        <f>_xlfn.XLOOKUP(C1346,Products!A1346:A1845,Products!C1346:C1845,"Category Missing",0)</f>
        <v>Category Missing</v>
      </c>
      <c r="I1346" s="11" t="str">
        <f>_xlfn.XLOOKUP(Orders!C1346,Products!A1346:A1845,Products!D1346:D1845,"Price Missing",0)</f>
        <v>Price Missing</v>
      </c>
      <c r="J1346" s="19">
        <f t="shared" si="20"/>
        <v>0</v>
      </c>
    </row>
    <row r="1347" spans="1:10" x14ac:dyDescent="0.35">
      <c r="A1347" s="4" t="s">
        <v>5367</v>
      </c>
      <c r="B1347" s="7" t="s">
        <v>1400</v>
      </c>
      <c r="C1347" s="7" t="s">
        <v>3948</v>
      </c>
      <c r="D1347" s="5">
        <v>8</v>
      </c>
      <c r="E1347" s="7" t="str">
        <f>_xlfn.XLOOKUP(B1347,Customers!A1347:A2346,Customers!B1347:B2346,"Customer Not Found",0)</f>
        <v>Customer Not Found</v>
      </c>
      <c r="F1347" s="7" t="str">
        <f>_xlfn.XLOOKUP(Orders!B1347,Customers!A1347:A2346,Customers!C1347:C2346,"Country not Found",0)</f>
        <v>Country not Found</v>
      </c>
      <c r="G1347" s="7" t="str">
        <f>_xlfn.XLOOKUP(C1347,Products!A1347:A1846,Products!B1347:B1846,"Product Missing",0)</f>
        <v>Product Missing</v>
      </c>
      <c r="H1347" s="7" t="str">
        <f>_xlfn.XLOOKUP(C1347,Products!A1347:A1846,Products!C1347:C1846,"Category Missing",0)</f>
        <v>Category Missing</v>
      </c>
      <c r="I1347" s="11" t="str">
        <f>_xlfn.XLOOKUP(Orders!C1347,Products!A1347:A1846,Products!D1347:D1846,"Price Missing",0)</f>
        <v>Price Missing</v>
      </c>
      <c r="J1347" s="19">
        <f t="shared" ref="J1347:J1410" si="21">IFERROR(I1347*D1347,0)</f>
        <v>0</v>
      </c>
    </row>
    <row r="1348" spans="1:10" x14ac:dyDescent="0.35">
      <c r="A1348" s="4" t="s">
        <v>5368</v>
      </c>
      <c r="B1348" s="7" t="s">
        <v>1937</v>
      </c>
      <c r="C1348" s="7" t="s">
        <v>3878</v>
      </c>
      <c r="D1348" s="5">
        <v>10</v>
      </c>
      <c r="E1348" s="7" t="str">
        <f>_xlfn.XLOOKUP(B1348,Customers!A1348:A2347,Customers!B1348:B2347,"Customer Not Found",0)</f>
        <v>Customer Not Found</v>
      </c>
      <c r="F1348" s="7" t="str">
        <f>_xlfn.XLOOKUP(Orders!B1348,Customers!A1348:A2347,Customers!C1348:C2347,"Country not Found",0)</f>
        <v>Country not Found</v>
      </c>
      <c r="G1348" s="7" t="str">
        <f>_xlfn.XLOOKUP(C1348,Products!A1348:A1847,Products!B1348:B1847,"Product Missing",0)</f>
        <v>Product Missing</v>
      </c>
      <c r="H1348" s="7" t="str">
        <f>_xlfn.XLOOKUP(C1348,Products!A1348:A1847,Products!C1348:C1847,"Category Missing",0)</f>
        <v>Category Missing</v>
      </c>
      <c r="I1348" s="11" t="str">
        <f>_xlfn.XLOOKUP(Orders!C1348,Products!A1348:A1847,Products!D1348:D1847,"Price Missing",0)</f>
        <v>Price Missing</v>
      </c>
      <c r="J1348" s="19">
        <f t="shared" si="21"/>
        <v>0</v>
      </c>
    </row>
    <row r="1349" spans="1:10" x14ac:dyDescent="0.35">
      <c r="A1349" s="4" t="s">
        <v>5369</v>
      </c>
      <c r="B1349" s="7" t="s">
        <v>1835</v>
      </c>
      <c r="C1349" s="7" t="s">
        <v>3472</v>
      </c>
      <c r="D1349" s="5">
        <v>8</v>
      </c>
      <c r="E1349" s="7" t="str">
        <f>_xlfn.XLOOKUP(B1349,Customers!A1349:A2348,Customers!B1349:B2348,"Customer Not Found",0)</f>
        <v>Customer Not Found</v>
      </c>
      <c r="F1349" s="7" t="str">
        <f>_xlfn.XLOOKUP(Orders!B1349,Customers!A1349:A2348,Customers!C1349:C2348,"Country not Found",0)</f>
        <v>Country not Found</v>
      </c>
      <c r="G1349" s="7" t="str">
        <f>_xlfn.XLOOKUP(C1349,Products!A1349:A1848,Products!B1349:B1848,"Product Missing",0)</f>
        <v>Product Missing</v>
      </c>
      <c r="H1349" s="7" t="str">
        <f>_xlfn.XLOOKUP(C1349,Products!A1349:A1848,Products!C1349:C1848,"Category Missing",0)</f>
        <v>Category Missing</v>
      </c>
      <c r="I1349" s="11" t="str">
        <f>_xlfn.XLOOKUP(Orders!C1349,Products!A1349:A1848,Products!D1349:D1848,"Price Missing",0)</f>
        <v>Price Missing</v>
      </c>
      <c r="J1349" s="19">
        <f t="shared" si="21"/>
        <v>0</v>
      </c>
    </row>
    <row r="1350" spans="1:10" x14ac:dyDescent="0.35">
      <c r="A1350" s="4" t="s">
        <v>5370</v>
      </c>
      <c r="B1350" s="7" t="s">
        <v>800</v>
      </c>
      <c r="C1350" s="7" t="s">
        <v>3314</v>
      </c>
      <c r="D1350" s="5">
        <v>4</v>
      </c>
      <c r="E1350" s="7" t="str">
        <f>_xlfn.XLOOKUP(B1350,Customers!A1350:A2349,Customers!B1350:B2349,"Customer Not Found",0)</f>
        <v>Customer Not Found</v>
      </c>
      <c r="F1350" s="7" t="str">
        <f>_xlfn.XLOOKUP(Orders!B1350,Customers!A1350:A2349,Customers!C1350:C2349,"Country not Found",0)</f>
        <v>Country not Found</v>
      </c>
      <c r="G1350" s="7" t="str">
        <f>_xlfn.XLOOKUP(C1350,Products!A1350:A1849,Products!B1350:B1849,"Product Missing",0)</f>
        <v>Product Missing</v>
      </c>
      <c r="H1350" s="7" t="str">
        <f>_xlfn.XLOOKUP(C1350,Products!A1350:A1849,Products!C1350:C1849,"Category Missing",0)</f>
        <v>Category Missing</v>
      </c>
      <c r="I1350" s="11" t="str">
        <f>_xlfn.XLOOKUP(Orders!C1350,Products!A1350:A1849,Products!D1350:D1849,"Price Missing",0)</f>
        <v>Price Missing</v>
      </c>
      <c r="J1350" s="19">
        <f t="shared" si="21"/>
        <v>0</v>
      </c>
    </row>
    <row r="1351" spans="1:10" x14ac:dyDescent="0.35">
      <c r="A1351" s="4" t="s">
        <v>5371</v>
      </c>
      <c r="B1351" s="7" t="s">
        <v>890</v>
      </c>
      <c r="C1351" s="7" t="s">
        <v>3068</v>
      </c>
      <c r="D1351" s="5">
        <v>8</v>
      </c>
      <c r="E1351" s="7" t="str">
        <f>_xlfn.XLOOKUP(B1351,Customers!A1351:A2350,Customers!B1351:B2350,"Customer Not Found",0)</f>
        <v>Customer Not Found</v>
      </c>
      <c r="F1351" s="7" t="str">
        <f>_xlfn.XLOOKUP(Orders!B1351,Customers!A1351:A2350,Customers!C1351:C2350,"Country not Found",0)</f>
        <v>Country not Found</v>
      </c>
      <c r="G1351" s="7" t="str">
        <f>_xlfn.XLOOKUP(C1351,Products!A1351:A1850,Products!B1351:B1850,"Product Missing",0)</f>
        <v>Product Missing</v>
      </c>
      <c r="H1351" s="7" t="str">
        <f>_xlfn.XLOOKUP(C1351,Products!A1351:A1850,Products!C1351:C1850,"Category Missing",0)</f>
        <v>Category Missing</v>
      </c>
      <c r="I1351" s="11" t="str">
        <f>_xlfn.XLOOKUP(Orders!C1351,Products!A1351:A1850,Products!D1351:D1850,"Price Missing",0)</f>
        <v>Price Missing</v>
      </c>
      <c r="J1351" s="19">
        <f t="shared" si="21"/>
        <v>0</v>
      </c>
    </row>
    <row r="1352" spans="1:10" x14ac:dyDescent="0.35">
      <c r="A1352" s="4" t="s">
        <v>5372</v>
      </c>
      <c r="B1352" s="7" t="s">
        <v>2996</v>
      </c>
      <c r="C1352" s="7" t="s">
        <v>3848</v>
      </c>
      <c r="D1352" s="5">
        <v>5</v>
      </c>
      <c r="E1352" s="7" t="str">
        <f>_xlfn.XLOOKUP(B1352,Customers!A1352:A2351,Customers!B1352:B2351,"Customer Not Found",0)</f>
        <v>Customer Not Found</v>
      </c>
      <c r="F1352" s="7" t="str">
        <f>_xlfn.XLOOKUP(Orders!B1352,Customers!A1352:A2351,Customers!C1352:C2351,"Country not Found",0)</f>
        <v>Country not Found</v>
      </c>
      <c r="G1352" s="7" t="str">
        <f>_xlfn.XLOOKUP(C1352,Products!A1352:A1851,Products!B1352:B1851,"Product Missing",0)</f>
        <v>Product Missing</v>
      </c>
      <c r="H1352" s="7" t="str">
        <f>_xlfn.XLOOKUP(C1352,Products!A1352:A1851,Products!C1352:C1851,"Category Missing",0)</f>
        <v>Category Missing</v>
      </c>
      <c r="I1352" s="11" t="str">
        <f>_xlfn.XLOOKUP(Orders!C1352,Products!A1352:A1851,Products!D1352:D1851,"Price Missing",0)</f>
        <v>Price Missing</v>
      </c>
      <c r="J1352" s="19">
        <f t="shared" si="21"/>
        <v>0</v>
      </c>
    </row>
    <row r="1353" spans="1:10" x14ac:dyDescent="0.35">
      <c r="A1353" s="4" t="s">
        <v>5373</v>
      </c>
      <c r="B1353" s="7" t="s">
        <v>296</v>
      </c>
      <c r="C1353" s="7" t="s">
        <v>3134</v>
      </c>
      <c r="D1353" s="5">
        <v>3</v>
      </c>
      <c r="E1353" s="7" t="str">
        <f>_xlfn.XLOOKUP(B1353,Customers!A1353:A2352,Customers!B1353:B2352,"Customer Not Found",0)</f>
        <v>Customer Not Found</v>
      </c>
      <c r="F1353" s="7" t="str">
        <f>_xlfn.XLOOKUP(Orders!B1353,Customers!A1353:A2352,Customers!C1353:C2352,"Country not Found",0)</f>
        <v>Country not Found</v>
      </c>
      <c r="G1353" s="7" t="str">
        <f>_xlfn.XLOOKUP(C1353,Products!A1353:A1852,Products!B1353:B1852,"Product Missing",0)</f>
        <v>Product Missing</v>
      </c>
      <c r="H1353" s="7" t="str">
        <f>_xlfn.XLOOKUP(C1353,Products!A1353:A1852,Products!C1353:C1852,"Category Missing",0)</f>
        <v>Category Missing</v>
      </c>
      <c r="I1353" s="11" t="str">
        <f>_xlfn.XLOOKUP(Orders!C1353,Products!A1353:A1852,Products!D1353:D1852,"Price Missing",0)</f>
        <v>Price Missing</v>
      </c>
      <c r="J1353" s="19">
        <f t="shared" si="21"/>
        <v>0</v>
      </c>
    </row>
    <row r="1354" spans="1:10" x14ac:dyDescent="0.35">
      <c r="A1354" s="4" t="s">
        <v>5374</v>
      </c>
      <c r="B1354" s="7" t="s">
        <v>374</v>
      </c>
      <c r="C1354" s="7" t="s">
        <v>3140</v>
      </c>
      <c r="D1354" s="5">
        <v>6</v>
      </c>
      <c r="E1354" s="7" t="str">
        <f>_xlfn.XLOOKUP(B1354,Customers!A1354:A2353,Customers!B1354:B2353,"Customer Not Found",0)</f>
        <v>Customer Not Found</v>
      </c>
      <c r="F1354" s="7" t="str">
        <f>_xlfn.XLOOKUP(Orders!B1354,Customers!A1354:A2353,Customers!C1354:C2353,"Country not Found",0)</f>
        <v>Country not Found</v>
      </c>
      <c r="G1354" s="7" t="str">
        <f>_xlfn.XLOOKUP(C1354,Products!A1354:A1853,Products!B1354:B1853,"Product Missing",0)</f>
        <v>Product Missing</v>
      </c>
      <c r="H1354" s="7" t="str">
        <f>_xlfn.XLOOKUP(C1354,Products!A1354:A1853,Products!C1354:C1853,"Category Missing",0)</f>
        <v>Category Missing</v>
      </c>
      <c r="I1354" s="11" t="str">
        <f>_xlfn.XLOOKUP(Orders!C1354,Products!A1354:A1853,Products!D1354:D1853,"Price Missing",0)</f>
        <v>Price Missing</v>
      </c>
      <c r="J1354" s="19">
        <f t="shared" si="21"/>
        <v>0</v>
      </c>
    </row>
    <row r="1355" spans="1:10" x14ac:dyDescent="0.35">
      <c r="A1355" s="4" t="s">
        <v>5375</v>
      </c>
      <c r="B1355" s="7" t="s">
        <v>1874</v>
      </c>
      <c r="C1355" s="7" t="s">
        <v>3064</v>
      </c>
      <c r="D1355" s="5">
        <v>10</v>
      </c>
      <c r="E1355" s="7" t="str">
        <f>_xlfn.XLOOKUP(B1355,Customers!A1355:A2354,Customers!B1355:B2354,"Customer Not Found",0)</f>
        <v>Customer Not Found</v>
      </c>
      <c r="F1355" s="7" t="str">
        <f>_xlfn.XLOOKUP(Orders!B1355,Customers!A1355:A2354,Customers!C1355:C2354,"Country not Found",0)</f>
        <v>Country not Found</v>
      </c>
      <c r="G1355" s="7" t="str">
        <f>_xlfn.XLOOKUP(C1355,Products!A1355:A1854,Products!B1355:B1854,"Product Missing",0)</f>
        <v>Product Missing</v>
      </c>
      <c r="H1355" s="7" t="str">
        <f>_xlfn.XLOOKUP(C1355,Products!A1355:A1854,Products!C1355:C1854,"Category Missing",0)</f>
        <v>Category Missing</v>
      </c>
      <c r="I1355" s="11" t="str">
        <f>_xlfn.XLOOKUP(Orders!C1355,Products!A1355:A1854,Products!D1355:D1854,"Price Missing",0)</f>
        <v>Price Missing</v>
      </c>
      <c r="J1355" s="19">
        <f t="shared" si="21"/>
        <v>0</v>
      </c>
    </row>
    <row r="1356" spans="1:10" x14ac:dyDescent="0.35">
      <c r="A1356" s="4" t="s">
        <v>5376</v>
      </c>
      <c r="B1356" s="7" t="s">
        <v>2042</v>
      </c>
      <c r="C1356" s="7" t="s">
        <v>3832</v>
      </c>
      <c r="D1356" s="5">
        <v>4</v>
      </c>
      <c r="E1356" s="7" t="str">
        <f>_xlfn.XLOOKUP(B1356,Customers!A1356:A2355,Customers!B1356:B2355,"Customer Not Found",0)</f>
        <v>Customer Not Found</v>
      </c>
      <c r="F1356" s="7" t="str">
        <f>_xlfn.XLOOKUP(Orders!B1356,Customers!A1356:A2355,Customers!C1356:C2355,"Country not Found",0)</f>
        <v>Country not Found</v>
      </c>
      <c r="G1356" s="7" t="str">
        <f>_xlfn.XLOOKUP(C1356,Products!A1356:A1855,Products!B1356:B1855,"Product Missing",0)</f>
        <v>Product Missing</v>
      </c>
      <c r="H1356" s="7" t="str">
        <f>_xlfn.XLOOKUP(C1356,Products!A1356:A1855,Products!C1356:C1855,"Category Missing",0)</f>
        <v>Category Missing</v>
      </c>
      <c r="I1356" s="11" t="str">
        <f>_xlfn.XLOOKUP(Orders!C1356,Products!A1356:A1855,Products!D1356:D1855,"Price Missing",0)</f>
        <v>Price Missing</v>
      </c>
      <c r="J1356" s="19">
        <f t="shared" si="21"/>
        <v>0</v>
      </c>
    </row>
    <row r="1357" spans="1:10" x14ac:dyDescent="0.35">
      <c r="A1357" s="4" t="s">
        <v>5377</v>
      </c>
      <c r="B1357" s="7" t="s">
        <v>635</v>
      </c>
      <c r="C1357" s="7" t="s">
        <v>3576</v>
      </c>
      <c r="D1357" s="5">
        <v>9</v>
      </c>
      <c r="E1357" s="7" t="str">
        <f>_xlfn.XLOOKUP(B1357,Customers!A1357:A2356,Customers!B1357:B2356,"Customer Not Found",0)</f>
        <v>Customer Not Found</v>
      </c>
      <c r="F1357" s="7" t="str">
        <f>_xlfn.XLOOKUP(Orders!B1357,Customers!A1357:A2356,Customers!C1357:C2356,"Country not Found",0)</f>
        <v>Country not Found</v>
      </c>
      <c r="G1357" s="7" t="str">
        <f>_xlfn.XLOOKUP(C1357,Products!A1357:A1856,Products!B1357:B1856,"Product Missing",0)</f>
        <v>Product Missing</v>
      </c>
      <c r="H1357" s="7" t="str">
        <f>_xlfn.XLOOKUP(C1357,Products!A1357:A1856,Products!C1357:C1856,"Category Missing",0)</f>
        <v>Category Missing</v>
      </c>
      <c r="I1357" s="11" t="str">
        <f>_xlfn.XLOOKUP(Orders!C1357,Products!A1357:A1856,Products!D1357:D1856,"Price Missing",0)</f>
        <v>Price Missing</v>
      </c>
      <c r="J1357" s="19">
        <f t="shared" si="21"/>
        <v>0</v>
      </c>
    </row>
    <row r="1358" spans="1:10" x14ac:dyDescent="0.35">
      <c r="A1358" s="4" t="s">
        <v>5378</v>
      </c>
      <c r="B1358" s="7" t="s">
        <v>239</v>
      </c>
      <c r="C1358" s="7" t="s">
        <v>3786</v>
      </c>
      <c r="D1358" s="5">
        <v>2</v>
      </c>
      <c r="E1358" s="7" t="str">
        <f>_xlfn.XLOOKUP(B1358,Customers!A1358:A2357,Customers!B1358:B2357,"Customer Not Found",0)</f>
        <v>Customer Not Found</v>
      </c>
      <c r="F1358" s="7" t="str">
        <f>_xlfn.XLOOKUP(Orders!B1358,Customers!A1358:A2357,Customers!C1358:C2357,"Country not Found",0)</f>
        <v>Country not Found</v>
      </c>
      <c r="G1358" s="7" t="str">
        <f>_xlfn.XLOOKUP(C1358,Products!A1358:A1857,Products!B1358:B1857,"Product Missing",0)</f>
        <v>Product Missing</v>
      </c>
      <c r="H1358" s="7" t="str">
        <f>_xlfn.XLOOKUP(C1358,Products!A1358:A1857,Products!C1358:C1857,"Category Missing",0)</f>
        <v>Category Missing</v>
      </c>
      <c r="I1358" s="11" t="str">
        <f>_xlfn.XLOOKUP(Orders!C1358,Products!A1358:A1857,Products!D1358:D1857,"Price Missing",0)</f>
        <v>Price Missing</v>
      </c>
      <c r="J1358" s="19">
        <f t="shared" si="21"/>
        <v>0</v>
      </c>
    </row>
    <row r="1359" spans="1:10" x14ac:dyDescent="0.35">
      <c r="A1359" s="4" t="s">
        <v>5379</v>
      </c>
      <c r="B1359" s="7" t="s">
        <v>569</v>
      </c>
      <c r="C1359" s="7" t="s">
        <v>3043</v>
      </c>
      <c r="D1359" s="5">
        <v>1</v>
      </c>
      <c r="E1359" s="7" t="str">
        <f>_xlfn.XLOOKUP(B1359,Customers!A1359:A2358,Customers!B1359:B2358,"Customer Not Found",0)</f>
        <v>Customer Not Found</v>
      </c>
      <c r="F1359" s="7" t="str">
        <f>_xlfn.XLOOKUP(Orders!B1359,Customers!A1359:A2358,Customers!C1359:C2358,"Country not Found",0)</f>
        <v>Country not Found</v>
      </c>
      <c r="G1359" s="7" t="str">
        <f>_xlfn.XLOOKUP(C1359,Products!A1359:A1858,Products!B1359:B1858,"Product Missing",0)</f>
        <v>Product Missing</v>
      </c>
      <c r="H1359" s="7" t="str">
        <f>_xlfn.XLOOKUP(C1359,Products!A1359:A1858,Products!C1359:C1858,"Category Missing",0)</f>
        <v>Category Missing</v>
      </c>
      <c r="I1359" s="11" t="str">
        <f>_xlfn.XLOOKUP(Orders!C1359,Products!A1359:A1858,Products!D1359:D1858,"Price Missing",0)</f>
        <v>Price Missing</v>
      </c>
      <c r="J1359" s="19">
        <f t="shared" si="21"/>
        <v>0</v>
      </c>
    </row>
    <row r="1360" spans="1:10" x14ac:dyDescent="0.35">
      <c r="A1360" s="4" t="s">
        <v>5380</v>
      </c>
      <c r="B1360" s="7" t="s">
        <v>2096</v>
      </c>
      <c r="C1360" s="7" t="s">
        <v>3282</v>
      </c>
      <c r="D1360" s="5">
        <v>10</v>
      </c>
      <c r="E1360" s="7" t="str">
        <f>_xlfn.XLOOKUP(B1360,Customers!A1360:A2359,Customers!B1360:B2359,"Customer Not Found",0)</f>
        <v>Customer Not Found</v>
      </c>
      <c r="F1360" s="7" t="str">
        <f>_xlfn.XLOOKUP(Orders!B1360,Customers!A1360:A2359,Customers!C1360:C2359,"Country not Found",0)</f>
        <v>Country not Found</v>
      </c>
      <c r="G1360" s="7" t="str">
        <f>_xlfn.XLOOKUP(C1360,Products!A1360:A1859,Products!B1360:B1859,"Product Missing",0)</f>
        <v>Product Missing</v>
      </c>
      <c r="H1360" s="7" t="str">
        <f>_xlfn.XLOOKUP(C1360,Products!A1360:A1859,Products!C1360:C1859,"Category Missing",0)</f>
        <v>Category Missing</v>
      </c>
      <c r="I1360" s="11" t="str">
        <f>_xlfn.XLOOKUP(Orders!C1360,Products!A1360:A1859,Products!D1360:D1859,"Price Missing",0)</f>
        <v>Price Missing</v>
      </c>
      <c r="J1360" s="19">
        <f t="shared" si="21"/>
        <v>0</v>
      </c>
    </row>
    <row r="1361" spans="1:10" x14ac:dyDescent="0.35">
      <c r="A1361" s="4" t="s">
        <v>5381</v>
      </c>
      <c r="B1361" s="7" t="s">
        <v>2654</v>
      </c>
      <c r="C1361" s="7" t="s">
        <v>3612</v>
      </c>
      <c r="D1361" s="5">
        <v>2</v>
      </c>
      <c r="E1361" s="7" t="str">
        <f>_xlfn.XLOOKUP(B1361,Customers!A1361:A2360,Customers!B1361:B2360,"Customer Not Found",0)</f>
        <v>Customer Not Found</v>
      </c>
      <c r="F1361" s="7" t="str">
        <f>_xlfn.XLOOKUP(Orders!B1361,Customers!A1361:A2360,Customers!C1361:C2360,"Country not Found",0)</f>
        <v>Country not Found</v>
      </c>
      <c r="G1361" s="7" t="str">
        <f>_xlfn.XLOOKUP(C1361,Products!A1361:A1860,Products!B1361:B1860,"Product Missing",0)</f>
        <v>Product Missing</v>
      </c>
      <c r="H1361" s="7" t="str">
        <f>_xlfn.XLOOKUP(C1361,Products!A1361:A1860,Products!C1361:C1860,"Category Missing",0)</f>
        <v>Category Missing</v>
      </c>
      <c r="I1361" s="11" t="str">
        <f>_xlfn.XLOOKUP(Orders!C1361,Products!A1361:A1860,Products!D1361:D1860,"Price Missing",0)</f>
        <v>Price Missing</v>
      </c>
      <c r="J1361" s="19">
        <f t="shared" si="21"/>
        <v>0</v>
      </c>
    </row>
    <row r="1362" spans="1:10" x14ac:dyDescent="0.35">
      <c r="A1362" s="4" t="s">
        <v>5382</v>
      </c>
      <c r="B1362" s="7" t="s">
        <v>533</v>
      </c>
      <c r="C1362" s="7" t="s">
        <v>3814</v>
      </c>
      <c r="D1362" s="5">
        <v>5</v>
      </c>
      <c r="E1362" s="7" t="str">
        <f>_xlfn.XLOOKUP(B1362,Customers!A1362:A2361,Customers!B1362:B2361,"Customer Not Found",0)</f>
        <v>Customer Not Found</v>
      </c>
      <c r="F1362" s="7" t="str">
        <f>_xlfn.XLOOKUP(Orders!B1362,Customers!A1362:A2361,Customers!C1362:C2361,"Country not Found",0)</f>
        <v>Country not Found</v>
      </c>
      <c r="G1362" s="7" t="str">
        <f>_xlfn.XLOOKUP(C1362,Products!A1362:A1861,Products!B1362:B1861,"Product Missing",0)</f>
        <v>Product Missing</v>
      </c>
      <c r="H1362" s="7" t="str">
        <f>_xlfn.XLOOKUP(C1362,Products!A1362:A1861,Products!C1362:C1861,"Category Missing",0)</f>
        <v>Category Missing</v>
      </c>
      <c r="I1362" s="11" t="str">
        <f>_xlfn.XLOOKUP(Orders!C1362,Products!A1362:A1861,Products!D1362:D1861,"Price Missing",0)</f>
        <v>Price Missing</v>
      </c>
      <c r="J1362" s="19">
        <f t="shared" si="21"/>
        <v>0</v>
      </c>
    </row>
    <row r="1363" spans="1:10" x14ac:dyDescent="0.35">
      <c r="A1363" s="4" t="s">
        <v>5383</v>
      </c>
      <c r="B1363" s="7" t="s">
        <v>1661</v>
      </c>
      <c r="C1363" s="7" t="s">
        <v>3514</v>
      </c>
      <c r="D1363" s="5">
        <v>4</v>
      </c>
      <c r="E1363" s="7" t="str">
        <f>_xlfn.XLOOKUP(B1363,Customers!A1363:A2362,Customers!B1363:B2362,"Customer Not Found",0)</f>
        <v>Customer Not Found</v>
      </c>
      <c r="F1363" s="7" t="str">
        <f>_xlfn.XLOOKUP(Orders!B1363,Customers!A1363:A2362,Customers!C1363:C2362,"Country not Found",0)</f>
        <v>Country not Found</v>
      </c>
      <c r="G1363" s="7" t="str">
        <f>_xlfn.XLOOKUP(C1363,Products!A1363:A1862,Products!B1363:B1862,"Product Missing",0)</f>
        <v>Product Missing</v>
      </c>
      <c r="H1363" s="7" t="str">
        <f>_xlfn.XLOOKUP(C1363,Products!A1363:A1862,Products!C1363:C1862,"Category Missing",0)</f>
        <v>Category Missing</v>
      </c>
      <c r="I1363" s="11" t="str">
        <f>_xlfn.XLOOKUP(Orders!C1363,Products!A1363:A1862,Products!D1363:D1862,"Price Missing",0)</f>
        <v>Price Missing</v>
      </c>
      <c r="J1363" s="19">
        <f t="shared" si="21"/>
        <v>0</v>
      </c>
    </row>
    <row r="1364" spans="1:10" x14ac:dyDescent="0.35">
      <c r="A1364" s="4" t="s">
        <v>5384</v>
      </c>
      <c r="B1364" s="7" t="s">
        <v>1145</v>
      </c>
      <c r="C1364" s="7" t="s">
        <v>3512</v>
      </c>
      <c r="D1364" s="5">
        <v>5</v>
      </c>
      <c r="E1364" s="7" t="str">
        <f>_xlfn.XLOOKUP(B1364,Customers!A1364:A2363,Customers!B1364:B2363,"Customer Not Found",0)</f>
        <v>Customer Not Found</v>
      </c>
      <c r="F1364" s="7" t="str">
        <f>_xlfn.XLOOKUP(Orders!B1364,Customers!A1364:A2363,Customers!C1364:C2363,"Country not Found",0)</f>
        <v>Country not Found</v>
      </c>
      <c r="G1364" s="7" t="str">
        <f>_xlfn.XLOOKUP(C1364,Products!A1364:A1863,Products!B1364:B1863,"Product Missing",0)</f>
        <v>Product Missing</v>
      </c>
      <c r="H1364" s="7" t="str">
        <f>_xlfn.XLOOKUP(C1364,Products!A1364:A1863,Products!C1364:C1863,"Category Missing",0)</f>
        <v>Category Missing</v>
      </c>
      <c r="I1364" s="11" t="str">
        <f>_xlfn.XLOOKUP(Orders!C1364,Products!A1364:A1863,Products!D1364:D1863,"Price Missing",0)</f>
        <v>Price Missing</v>
      </c>
      <c r="J1364" s="19">
        <f t="shared" si="21"/>
        <v>0</v>
      </c>
    </row>
    <row r="1365" spans="1:10" x14ac:dyDescent="0.35">
      <c r="A1365" s="4" t="s">
        <v>5385</v>
      </c>
      <c r="B1365" s="7" t="s">
        <v>479</v>
      </c>
      <c r="C1365" s="7" t="s">
        <v>3074</v>
      </c>
      <c r="D1365" s="5">
        <v>8</v>
      </c>
      <c r="E1365" s="7" t="str">
        <f>_xlfn.XLOOKUP(B1365,Customers!A1365:A2364,Customers!B1365:B2364,"Customer Not Found",0)</f>
        <v>Customer Not Found</v>
      </c>
      <c r="F1365" s="7" t="str">
        <f>_xlfn.XLOOKUP(Orders!B1365,Customers!A1365:A2364,Customers!C1365:C2364,"Country not Found",0)</f>
        <v>Country not Found</v>
      </c>
      <c r="G1365" s="7" t="str">
        <f>_xlfn.XLOOKUP(C1365,Products!A1365:A1864,Products!B1365:B1864,"Product Missing",0)</f>
        <v>Product Missing</v>
      </c>
      <c r="H1365" s="7" t="str">
        <f>_xlfn.XLOOKUP(C1365,Products!A1365:A1864,Products!C1365:C1864,"Category Missing",0)</f>
        <v>Category Missing</v>
      </c>
      <c r="I1365" s="11" t="str">
        <f>_xlfn.XLOOKUP(Orders!C1365,Products!A1365:A1864,Products!D1365:D1864,"Price Missing",0)</f>
        <v>Price Missing</v>
      </c>
      <c r="J1365" s="19">
        <f t="shared" si="21"/>
        <v>0</v>
      </c>
    </row>
    <row r="1366" spans="1:10" x14ac:dyDescent="0.35">
      <c r="A1366" s="4" t="s">
        <v>5386</v>
      </c>
      <c r="B1366" s="7" t="s">
        <v>1802</v>
      </c>
      <c r="C1366" s="7" t="s">
        <v>3990</v>
      </c>
      <c r="D1366" s="5">
        <v>5</v>
      </c>
      <c r="E1366" s="7" t="str">
        <f>_xlfn.XLOOKUP(B1366,Customers!A1366:A2365,Customers!B1366:B2365,"Customer Not Found",0)</f>
        <v>Customer Not Found</v>
      </c>
      <c r="F1366" s="7" t="str">
        <f>_xlfn.XLOOKUP(Orders!B1366,Customers!A1366:A2365,Customers!C1366:C2365,"Country not Found",0)</f>
        <v>Country not Found</v>
      </c>
      <c r="G1366" s="7" t="str">
        <f>_xlfn.XLOOKUP(C1366,Products!A1366:A1865,Products!B1366:B1865,"Product Missing",0)</f>
        <v>Product Missing</v>
      </c>
      <c r="H1366" s="7" t="str">
        <f>_xlfn.XLOOKUP(C1366,Products!A1366:A1865,Products!C1366:C1865,"Category Missing",0)</f>
        <v>Category Missing</v>
      </c>
      <c r="I1366" s="11" t="str">
        <f>_xlfn.XLOOKUP(Orders!C1366,Products!A1366:A1865,Products!D1366:D1865,"Price Missing",0)</f>
        <v>Price Missing</v>
      </c>
      <c r="J1366" s="19">
        <f t="shared" si="21"/>
        <v>0</v>
      </c>
    </row>
    <row r="1367" spans="1:10" x14ac:dyDescent="0.35">
      <c r="A1367" s="4" t="s">
        <v>5387</v>
      </c>
      <c r="B1367" s="7" t="s">
        <v>1655</v>
      </c>
      <c r="C1367" s="7" t="s">
        <v>3864</v>
      </c>
      <c r="D1367" s="5">
        <v>4</v>
      </c>
      <c r="E1367" s="7" t="str">
        <f>_xlfn.XLOOKUP(B1367,Customers!A1367:A2366,Customers!B1367:B2366,"Customer Not Found",0)</f>
        <v>Customer Not Found</v>
      </c>
      <c r="F1367" s="7" t="str">
        <f>_xlfn.XLOOKUP(Orders!B1367,Customers!A1367:A2366,Customers!C1367:C2366,"Country not Found",0)</f>
        <v>Country not Found</v>
      </c>
      <c r="G1367" s="7" t="str">
        <f>_xlfn.XLOOKUP(C1367,Products!A1367:A1866,Products!B1367:B1866,"Product Missing",0)</f>
        <v>Product Missing</v>
      </c>
      <c r="H1367" s="7" t="str">
        <f>_xlfn.XLOOKUP(C1367,Products!A1367:A1866,Products!C1367:C1866,"Category Missing",0)</f>
        <v>Category Missing</v>
      </c>
      <c r="I1367" s="11" t="str">
        <f>_xlfn.XLOOKUP(Orders!C1367,Products!A1367:A1866,Products!D1367:D1866,"Price Missing",0)</f>
        <v>Price Missing</v>
      </c>
      <c r="J1367" s="19">
        <f t="shared" si="21"/>
        <v>0</v>
      </c>
    </row>
    <row r="1368" spans="1:10" x14ac:dyDescent="0.35">
      <c r="A1368" s="4" t="s">
        <v>5388</v>
      </c>
      <c r="B1368" s="7" t="s">
        <v>839</v>
      </c>
      <c r="C1368" s="7" t="s">
        <v>3290</v>
      </c>
      <c r="D1368" s="5">
        <v>1</v>
      </c>
      <c r="E1368" s="7" t="str">
        <f>_xlfn.XLOOKUP(B1368,Customers!A1368:A2367,Customers!B1368:B2367,"Customer Not Found",0)</f>
        <v>Customer Not Found</v>
      </c>
      <c r="F1368" s="7" t="str">
        <f>_xlfn.XLOOKUP(Orders!B1368,Customers!A1368:A2367,Customers!C1368:C2367,"Country not Found",0)</f>
        <v>Country not Found</v>
      </c>
      <c r="G1368" s="7" t="str">
        <f>_xlfn.XLOOKUP(C1368,Products!A1368:A1867,Products!B1368:B1867,"Product Missing",0)</f>
        <v>Product Missing</v>
      </c>
      <c r="H1368" s="7" t="str">
        <f>_xlfn.XLOOKUP(C1368,Products!A1368:A1867,Products!C1368:C1867,"Category Missing",0)</f>
        <v>Category Missing</v>
      </c>
      <c r="I1368" s="11" t="str">
        <f>_xlfn.XLOOKUP(Orders!C1368,Products!A1368:A1867,Products!D1368:D1867,"Price Missing",0)</f>
        <v>Price Missing</v>
      </c>
      <c r="J1368" s="19">
        <f t="shared" si="21"/>
        <v>0</v>
      </c>
    </row>
    <row r="1369" spans="1:10" x14ac:dyDescent="0.35">
      <c r="A1369" s="4" t="s">
        <v>5389</v>
      </c>
      <c r="B1369" s="7" t="s">
        <v>1244</v>
      </c>
      <c r="C1369" s="7" t="s">
        <v>3880</v>
      </c>
      <c r="D1369" s="5">
        <v>4</v>
      </c>
      <c r="E1369" s="7" t="str">
        <f>_xlfn.XLOOKUP(B1369,Customers!A1369:A2368,Customers!B1369:B2368,"Customer Not Found",0)</f>
        <v>Customer Not Found</v>
      </c>
      <c r="F1369" s="7" t="str">
        <f>_xlfn.XLOOKUP(Orders!B1369,Customers!A1369:A2368,Customers!C1369:C2368,"Country not Found",0)</f>
        <v>Country not Found</v>
      </c>
      <c r="G1369" s="7" t="str">
        <f>_xlfn.XLOOKUP(C1369,Products!A1369:A1868,Products!B1369:B1868,"Product Missing",0)</f>
        <v>Product Missing</v>
      </c>
      <c r="H1369" s="7" t="str">
        <f>_xlfn.XLOOKUP(C1369,Products!A1369:A1868,Products!C1369:C1868,"Category Missing",0)</f>
        <v>Category Missing</v>
      </c>
      <c r="I1369" s="11" t="str">
        <f>_xlfn.XLOOKUP(Orders!C1369,Products!A1369:A1868,Products!D1369:D1868,"Price Missing",0)</f>
        <v>Price Missing</v>
      </c>
      <c r="J1369" s="19">
        <f t="shared" si="21"/>
        <v>0</v>
      </c>
    </row>
    <row r="1370" spans="1:10" x14ac:dyDescent="0.35">
      <c r="A1370" s="4" t="s">
        <v>5390</v>
      </c>
      <c r="B1370" s="7" t="s">
        <v>935</v>
      </c>
      <c r="C1370" s="7" t="s">
        <v>3950</v>
      </c>
      <c r="D1370" s="5">
        <v>6</v>
      </c>
      <c r="E1370" s="7" t="str">
        <f>_xlfn.XLOOKUP(B1370,Customers!A1370:A2369,Customers!B1370:B2369,"Customer Not Found",0)</f>
        <v>Customer Not Found</v>
      </c>
      <c r="F1370" s="7" t="str">
        <f>_xlfn.XLOOKUP(Orders!B1370,Customers!A1370:A2369,Customers!C1370:C2369,"Country not Found",0)</f>
        <v>Country not Found</v>
      </c>
      <c r="G1370" s="7" t="str">
        <f>_xlfn.XLOOKUP(C1370,Products!A1370:A1869,Products!B1370:B1869,"Product Missing",0)</f>
        <v>Product Missing</v>
      </c>
      <c r="H1370" s="7" t="str">
        <f>_xlfn.XLOOKUP(C1370,Products!A1370:A1869,Products!C1370:C1869,"Category Missing",0)</f>
        <v>Category Missing</v>
      </c>
      <c r="I1370" s="11" t="str">
        <f>_xlfn.XLOOKUP(Orders!C1370,Products!A1370:A1869,Products!D1370:D1869,"Price Missing",0)</f>
        <v>Price Missing</v>
      </c>
      <c r="J1370" s="19">
        <f t="shared" si="21"/>
        <v>0</v>
      </c>
    </row>
    <row r="1371" spans="1:10" x14ac:dyDescent="0.35">
      <c r="A1371" s="4" t="s">
        <v>5391</v>
      </c>
      <c r="B1371" s="7" t="s">
        <v>2954</v>
      </c>
      <c r="C1371" s="7" t="s">
        <v>3218</v>
      </c>
      <c r="D1371" s="5">
        <v>1</v>
      </c>
      <c r="E1371" s="7" t="str">
        <f>_xlfn.XLOOKUP(B1371,Customers!A1371:A2370,Customers!B1371:B2370,"Customer Not Found",0)</f>
        <v>Customer Not Found</v>
      </c>
      <c r="F1371" s="7" t="str">
        <f>_xlfn.XLOOKUP(Orders!B1371,Customers!A1371:A2370,Customers!C1371:C2370,"Country not Found",0)</f>
        <v>Country not Found</v>
      </c>
      <c r="G1371" s="7" t="str">
        <f>_xlfn.XLOOKUP(C1371,Products!A1371:A1870,Products!B1371:B1870,"Product Missing",0)</f>
        <v>Product Missing</v>
      </c>
      <c r="H1371" s="7" t="str">
        <f>_xlfn.XLOOKUP(C1371,Products!A1371:A1870,Products!C1371:C1870,"Category Missing",0)</f>
        <v>Category Missing</v>
      </c>
      <c r="I1371" s="11" t="str">
        <f>_xlfn.XLOOKUP(Orders!C1371,Products!A1371:A1870,Products!D1371:D1870,"Price Missing",0)</f>
        <v>Price Missing</v>
      </c>
      <c r="J1371" s="19">
        <f t="shared" si="21"/>
        <v>0</v>
      </c>
    </row>
    <row r="1372" spans="1:10" x14ac:dyDescent="0.35">
      <c r="A1372" s="4" t="s">
        <v>5392</v>
      </c>
      <c r="B1372" s="7" t="s">
        <v>1262</v>
      </c>
      <c r="C1372" s="7" t="s">
        <v>3766</v>
      </c>
      <c r="D1372" s="5">
        <v>8</v>
      </c>
      <c r="E1372" s="7" t="str">
        <f>_xlfn.XLOOKUP(B1372,Customers!A1372:A2371,Customers!B1372:B2371,"Customer Not Found",0)</f>
        <v>Customer Not Found</v>
      </c>
      <c r="F1372" s="7" t="str">
        <f>_xlfn.XLOOKUP(Orders!B1372,Customers!A1372:A2371,Customers!C1372:C2371,"Country not Found",0)</f>
        <v>Country not Found</v>
      </c>
      <c r="G1372" s="7" t="str">
        <f>_xlfn.XLOOKUP(C1372,Products!A1372:A1871,Products!B1372:B1871,"Product Missing",0)</f>
        <v>Product Missing</v>
      </c>
      <c r="H1372" s="7" t="str">
        <f>_xlfn.XLOOKUP(C1372,Products!A1372:A1871,Products!C1372:C1871,"Category Missing",0)</f>
        <v>Category Missing</v>
      </c>
      <c r="I1372" s="11" t="str">
        <f>_xlfn.XLOOKUP(Orders!C1372,Products!A1372:A1871,Products!D1372:D1871,"Price Missing",0)</f>
        <v>Price Missing</v>
      </c>
      <c r="J1372" s="19">
        <f t="shared" si="21"/>
        <v>0</v>
      </c>
    </row>
    <row r="1373" spans="1:10" x14ac:dyDescent="0.35">
      <c r="A1373" s="4" t="s">
        <v>5393</v>
      </c>
      <c r="B1373" s="7" t="s">
        <v>830</v>
      </c>
      <c r="C1373" s="7" t="s">
        <v>3488</v>
      </c>
      <c r="D1373" s="5">
        <v>9</v>
      </c>
      <c r="E1373" s="7" t="str">
        <f>_xlfn.XLOOKUP(B1373,Customers!A1373:A2372,Customers!B1373:B2372,"Customer Not Found",0)</f>
        <v>Customer Not Found</v>
      </c>
      <c r="F1373" s="7" t="str">
        <f>_xlfn.XLOOKUP(Orders!B1373,Customers!A1373:A2372,Customers!C1373:C2372,"Country not Found",0)</f>
        <v>Country not Found</v>
      </c>
      <c r="G1373" s="7" t="str">
        <f>_xlfn.XLOOKUP(C1373,Products!A1373:A1872,Products!B1373:B1872,"Product Missing",0)</f>
        <v>Product Missing</v>
      </c>
      <c r="H1373" s="7" t="str">
        <f>_xlfn.XLOOKUP(C1373,Products!A1373:A1872,Products!C1373:C1872,"Category Missing",0)</f>
        <v>Category Missing</v>
      </c>
      <c r="I1373" s="11" t="str">
        <f>_xlfn.XLOOKUP(Orders!C1373,Products!A1373:A1872,Products!D1373:D1872,"Price Missing",0)</f>
        <v>Price Missing</v>
      </c>
      <c r="J1373" s="19">
        <f t="shared" si="21"/>
        <v>0</v>
      </c>
    </row>
    <row r="1374" spans="1:10" x14ac:dyDescent="0.35">
      <c r="A1374" s="4" t="s">
        <v>5394</v>
      </c>
      <c r="B1374" s="7" t="s">
        <v>140</v>
      </c>
      <c r="C1374" s="7" t="s">
        <v>3292</v>
      </c>
      <c r="D1374" s="5">
        <v>1</v>
      </c>
      <c r="E1374" s="7" t="str">
        <f>_xlfn.XLOOKUP(B1374,Customers!A1374:A2373,Customers!B1374:B2373,"Customer Not Found",0)</f>
        <v>Customer Not Found</v>
      </c>
      <c r="F1374" s="7" t="str">
        <f>_xlfn.XLOOKUP(Orders!B1374,Customers!A1374:A2373,Customers!C1374:C2373,"Country not Found",0)</f>
        <v>Country not Found</v>
      </c>
      <c r="G1374" s="7" t="str">
        <f>_xlfn.XLOOKUP(C1374,Products!A1374:A1873,Products!B1374:B1873,"Product Missing",0)</f>
        <v>Product Missing</v>
      </c>
      <c r="H1374" s="7" t="str">
        <f>_xlfn.XLOOKUP(C1374,Products!A1374:A1873,Products!C1374:C1873,"Category Missing",0)</f>
        <v>Category Missing</v>
      </c>
      <c r="I1374" s="11" t="str">
        <f>_xlfn.XLOOKUP(Orders!C1374,Products!A1374:A1873,Products!D1374:D1873,"Price Missing",0)</f>
        <v>Price Missing</v>
      </c>
      <c r="J1374" s="19">
        <f t="shared" si="21"/>
        <v>0</v>
      </c>
    </row>
    <row r="1375" spans="1:10" x14ac:dyDescent="0.35">
      <c r="A1375" s="4" t="s">
        <v>5395</v>
      </c>
      <c r="B1375" s="7" t="s">
        <v>2360</v>
      </c>
      <c r="C1375" s="7" t="s">
        <v>3616</v>
      </c>
      <c r="D1375" s="5">
        <v>8</v>
      </c>
      <c r="E1375" s="7" t="str">
        <f>_xlfn.XLOOKUP(B1375,Customers!A1375:A2374,Customers!B1375:B2374,"Customer Not Found",0)</f>
        <v>Customer Not Found</v>
      </c>
      <c r="F1375" s="7" t="str">
        <f>_xlfn.XLOOKUP(Orders!B1375,Customers!A1375:A2374,Customers!C1375:C2374,"Country not Found",0)</f>
        <v>Country not Found</v>
      </c>
      <c r="G1375" s="7" t="str">
        <f>_xlfn.XLOOKUP(C1375,Products!A1375:A1874,Products!B1375:B1874,"Product Missing",0)</f>
        <v>Product Missing</v>
      </c>
      <c r="H1375" s="7" t="str">
        <f>_xlfn.XLOOKUP(C1375,Products!A1375:A1874,Products!C1375:C1874,"Category Missing",0)</f>
        <v>Category Missing</v>
      </c>
      <c r="I1375" s="11" t="str">
        <f>_xlfn.XLOOKUP(Orders!C1375,Products!A1375:A1874,Products!D1375:D1874,"Price Missing",0)</f>
        <v>Price Missing</v>
      </c>
      <c r="J1375" s="19">
        <f t="shared" si="21"/>
        <v>0</v>
      </c>
    </row>
    <row r="1376" spans="1:10" x14ac:dyDescent="0.35">
      <c r="A1376" s="4" t="s">
        <v>5396</v>
      </c>
      <c r="B1376" s="7" t="s">
        <v>359</v>
      </c>
      <c r="C1376" s="7" t="s">
        <v>3066</v>
      </c>
      <c r="D1376" s="5">
        <v>4</v>
      </c>
      <c r="E1376" s="7" t="str">
        <f>_xlfn.XLOOKUP(B1376,Customers!A1376:A2375,Customers!B1376:B2375,"Customer Not Found",0)</f>
        <v>Customer Not Found</v>
      </c>
      <c r="F1376" s="7" t="str">
        <f>_xlfn.XLOOKUP(Orders!B1376,Customers!A1376:A2375,Customers!C1376:C2375,"Country not Found",0)</f>
        <v>Country not Found</v>
      </c>
      <c r="G1376" s="7" t="str">
        <f>_xlfn.XLOOKUP(C1376,Products!A1376:A1875,Products!B1376:B1875,"Product Missing",0)</f>
        <v>Product Missing</v>
      </c>
      <c r="H1376" s="7" t="str">
        <f>_xlfn.XLOOKUP(C1376,Products!A1376:A1875,Products!C1376:C1875,"Category Missing",0)</f>
        <v>Category Missing</v>
      </c>
      <c r="I1376" s="11" t="str">
        <f>_xlfn.XLOOKUP(Orders!C1376,Products!A1376:A1875,Products!D1376:D1875,"Price Missing",0)</f>
        <v>Price Missing</v>
      </c>
      <c r="J1376" s="19">
        <f t="shared" si="21"/>
        <v>0</v>
      </c>
    </row>
    <row r="1377" spans="1:10" x14ac:dyDescent="0.35">
      <c r="A1377" s="4" t="s">
        <v>5397</v>
      </c>
      <c r="B1377" s="7" t="s">
        <v>1130</v>
      </c>
      <c r="C1377" s="7" t="s">
        <v>3600</v>
      </c>
      <c r="D1377" s="5">
        <v>8</v>
      </c>
      <c r="E1377" s="7" t="str">
        <f>_xlfn.XLOOKUP(B1377,Customers!A1377:A2376,Customers!B1377:B2376,"Customer Not Found",0)</f>
        <v>Customer Not Found</v>
      </c>
      <c r="F1377" s="7" t="str">
        <f>_xlfn.XLOOKUP(Orders!B1377,Customers!A1377:A2376,Customers!C1377:C2376,"Country not Found",0)</f>
        <v>Country not Found</v>
      </c>
      <c r="G1377" s="7" t="str">
        <f>_xlfn.XLOOKUP(C1377,Products!A1377:A1876,Products!B1377:B1876,"Product Missing",0)</f>
        <v>Product Missing</v>
      </c>
      <c r="H1377" s="7" t="str">
        <f>_xlfn.XLOOKUP(C1377,Products!A1377:A1876,Products!C1377:C1876,"Category Missing",0)</f>
        <v>Category Missing</v>
      </c>
      <c r="I1377" s="11" t="str">
        <f>_xlfn.XLOOKUP(Orders!C1377,Products!A1377:A1876,Products!D1377:D1876,"Price Missing",0)</f>
        <v>Price Missing</v>
      </c>
      <c r="J1377" s="19">
        <f t="shared" si="21"/>
        <v>0</v>
      </c>
    </row>
    <row r="1378" spans="1:10" x14ac:dyDescent="0.35">
      <c r="A1378" s="4" t="s">
        <v>5398</v>
      </c>
      <c r="B1378" s="7" t="s">
        <v>101</v>
      </c>
      <c r="C1378" s="7" t="s">
        <v>3270</v>
      </c>
      <c r="D1378" s="5">
        <v>3</v>
      </c>
      <c r="E1378" s="7" t="str">
        <f>_xlfn.XLOOKUP(B1378,Customers!A1378:A2377,Customers!B1378:B2377,"Customer Not Found",0)</f>
        <v>Customer Not Found</v>
      </c>
      <c r="F1378" s="7" t="str">
        <f>_xlfn.XLOOKUP(Orders!B1378,Customers!A1378:A2377,Customers!C1378:C2377,"Country not Found",0)</f>
        <v>Country not Found</v>
      </c>
      <c r="G1378" s="7" t="str">
        <f>_xlfn.XLOOKUP(C1378,Products!A1378:A1877,Products!B1378:B1877,"Product Missing",0)</f>
        <v>Product Missing</v>
      </c>
      <c r="H1378" s="7" t="str">
        <f>_xlfn.XLOOKUP(C1378,Products!A1378:A1877,Products!C1378:C1877,"Category Missing",0)</f>
        <v>Category Missing</v>
      </c>
      <c r="I1378" s="11" t="str">
        <f>_xlfn.XLOOKUP(Orders!C1378,Products!A1378:A1877,Products!D1378:D1877,"Price Missing",0)</f>
        <v>Price Missing</v>
      </c>
      <c r="J1378" s="19">
        <f t="shared" si="21"/>
        <v>0</v>
      </c>
    </row>
    <row r="1379" spans="1:10" x14ac:dyDescent="0.35">
      <c r="A1379" s="4" t="s">
        <v>5399</v>
      </c>
      <c r="B1379" s="7" t="s">
        <v>980</v>
      </c>
      <c r="C1379" s="7" t="s">
        <v>3790</v>
      </c>
      <c r="D1379" s="5">
        <v>7</v>
      </c>
      <c r="E1379" s="7" t="str">
        <f>_xlfn.XLOOKUP(B1379,Customers!A1379:A2378,Customers!B1379:B2378,"Customer Not Found",0)</f>
        <v>Customer Not Found</v>
      </c>
      <c r="F1379" s="7" t="str">
        <f>_xlfn.XLOOKUP(Orders!B1379,Customers!A1379:A2378,Customers!C1379:C2378,"Country not Found",0)</f>
        <v>Country not Found</v>
      </c>
      <c r="G1379" s="7" t="str">
        <f>_xlfn.XLOOKUP(C1379,Products!A1379:A1878,Products!B1379:B1878,"Product Missing",0)</f>
        <v>Product Missing</v>
      </c>
      <c r="H1379" s="7" t="str">
        <f>_xlfn.XLOOKUP(C1379,Products!A1379:A1878,Products!C1379:C1878,"Category Missing",0)</f>
        <v>Category Missing</v>
      </c>
      <c r="I1379" s="11" t="str">
        <f>_xlfn.XLOOKUP(Orders!C1379,Products!A1379:A1878,Products!D1379:D1878,"Price Missing",0)</f>
        <v>Price Missing</v>
      </c>
      <c r="J1379" s="19">
        <f t="shared" si="21"/>
        <v>0</v>
      </c>
    </row>
    <row r="1380" spans="1:10" x14ac:dyDescent="0.35">
      <c r="A1380" s="4" t="s">
        <v>5400</v>
      </c>
      <c r="B1380" s="7" t="s">
        <v>2918</v>
      </c>
      <c r="C1380" s="7" t="s">
        <v>3452</v>
      </c>
      <c r="D1380" s="5">
        <v>8</v>
      </c>
      <c r="E1380" s="7" t="str">
        <f>_xlfn.XLOOKUP(B1380,Customers!A1380:A2379,Customers!B1380:B2379,"Customer Not Found",0)</f>
        <v>Customer Not Found</v>
      </c>
      <c r="F1380" s="7" t="str">
        <f>_xlfn.XLOOKUP(Orders!B1380,Customers!A1380:A2379,Customers!C1380:C2379,"Country not Found",0)</f>
        <v>Country not Found</v>
      </c>
      <c r="G1380" s="7" t="str">
        <f>_xlfn.XLOOKUP(C1380,Products!A1380:A1879,Products!B1380:B1879,"Product Missing",0)</f>
        <v>Product Missing</v>
      </c>
      <c r="H1380" s="7" t="str">
        <f>_xlfn.XLOOKUP(C1380,Products!A1380:A1879,Products!C1380:C1879,"Category Missing",0)</f>
        <v>Category Missing</v>
      </c>
      <c r="I1380" s="11" t="str">
        <f>_xlfn.XLOOKUP(Orders!C1380,Products!A1380:A1879,Products!D1380:D1879,"Price Missing",0)</f>
        <v>Price Missing</v>
      </c>
      <c r="J1380" s="19">
        <f t="shared" si="21"/>
        <v>0</v>
      </c>
    </row>
    <row r="1381" spans="1:10" x14ac:dyDescent="0.35">
      <c r="A1381" s="4" t="s">
        <v>5401</v>
      </c>
      <c r="B1381" s="7" t="s">
        <v>2036</v>
      </c>
      <c r="C1381" s="7" t="s">
        <v>3284</v>
      </c>
      <c r="D1381" s="5">
        <v>6</v>
      </c>
      <c r="E1381" s="7" t="str">
        <f>_xlfn.XLOOKUP(B1381,Customers!A1381:A2380,Customers!B1381:B2380,"Customer Not Found",0)</f>
        <v>Customer Not Found</v>
      </c>
      <c r="F1381" s="7" t="str">
        <f>_xlfn.XLOOKUP(Orders!B1381,Customers!A1381:A2380,Customers!C1381:C2380,"Country not Found",0)</f>
        <v>Country not Found</v>
      </c>
      <c r="G1381" s="7" t="str">
        <f>_xlfn.XLOOKUP(C1381,Products!A1381:A1880,Products!B1381:B1880,"Product Missing",0)</f>
        <v>Product Missing</v>
      </c>
      <c r="H1381" s="7" t="str">
        <f>_xlfn.XLOOKUP(C1381,Products!A1381:A1880,Products!C1381:C1880,"Category Missing",0)</f>
        <v>Category Missing</v>
      </c>
      <c r="I1381" s="11" t="str">
        <f>_xlfn.XLOOKUP(Orders!C1381,Products!A1381:A1880,Products!D1381:D1880,"Price Missing",0)</f>
        <v>Price Missing</v>
      </c>
      <c r="J1381" s="19">
        <f t="shared" si="21"/>
        <v>0</v>
      </c>
    </row>
    <row r="1382" spans="1:10" x14ac:dyDescent="0.35">
      <c r="A1382" s="4" t="s">
        <v>5402</v>
      </c>
      <c r="B1382" s="7" t="s">
        <v>641</v>
      </c>
      <c r="C1382" s="7" t="s">
        <v>3986</v>
      </c>
      <c r="D1382" s="5">
        <v>4</v>
      </c>
      <c r="E1382" s="7" t="str">
        <f>_xlfn.XLOOKUP(B1382,Customers!A1382:A2381,Customers!B1382:B2381,"Customer Not Found",0)</f>
        <v>Customer Not Found</v>
      </c>
      <c r="F1382" s="7" t="str">
        <f>_xlfn.XLOOKUP(Orders!B1382,Customers!A1382:A2381,Customers!C1382:C2381,"Country not Found",0)</f>
        <v>Country not Found</v>
      </c>
      <c r="G1382" s="7" t="str">
        <f>_xlfn.XLOOKUP(C1382,Products!A1382:A1881,Products!B1382:B1881,"Product Missing",0)</f>
        <v>Product Missing</v>
      </c>
      <c r="H1382" s="7" t="str">
        <f>_xlfn.XLOOKUP(C1382,Products!A1382:A1881,Products!C1382:C1881,"Category Missing",0)</f>
        <v>Category Missing</v>
      </c>
      <c r="I1382" s="11" t="str">
        <f>_xlfn.XLOOKUP(Orders!C1382,Products!A1382:A1881,Products!D1382:D1881,"Price Missing",0)</f>
        <v>Price Missing</v>
      </c>
      <c r="J1382" s="19">
        <f t="shared" si="21"/>
        <v>0</v>
      </c>
    </row>
    <row r="1383" spans="1:10" x14ac:dyDescent="0.35">
      <c r="A1383" s="4" t="s">
        <v>5403</v>
      </c>
      <c r="B1383" s="7" t="s">
        <v>2570</v>
      </c>
      <c r="C1383" s="7" t="s">
        <v>3132</v>
      </c>
      <c r="D1383" s="5">
        <v>3</v>
      </c>
      <c r="E1383" s="7" t="str">
        <f>_xlfn.XLOOKUP(B1383,Customers!A1383:A2382,Customers!B1383:B2382,"Customer Not Found",0)</f>
        <v>Customer Not Found</v>
      </c>
      <c r="F1383" s="7" t="str">
        <f>_xlfn.XLOOKUP(Orders!B1383,Customers!A1383:A2382,Customers!C1383:C2382,"Country not Found",0)</f>
        <v>Country not Found</v>
      </c>
      <c r="G1383" s="7" t="str">
        <f>_xlfn.XLOOKUP(C1383,Products!A1383:A1882,Products!B1383:B1882,"Product Missing",0)</f>
        <v>Product Missing</v>
      </c>
      <c r="H1383" s="7" t="str">
        <f>_xlfn.XLOOKUP(C1383,Products!A1383:A1882,Products!C1383:C1882,"Category Missing",0)</f>
        <v>Category Missing</v>
      </c>
      <c r="I1383" s="11" t="str">
        <f>_xlfn.XLOOKUP(Orders!C1383,Products!A1383:A1882,Products!D1383:D1882,"Price Missing",0)</f>
        <v>Price Missing</v>
      </c>
      <c r="J1383" s="19">
        <f t="shared" si="21"/>
        <v>0</v>
      </c>
    </row>
    <row r="1384" spans="1:10" x14ac:dyDescent="0.35">
      <c r="A1384" s="4" t="s">
        <v>5404</v>
      </c>
      <c r="B1384" s="7" t="s">
        <v>272</v>
      </c>
      <c r="C1384" s="7" t="s">
        <v>3824</v>
      </c>
      <c r="D1384" s="5">
        <v>5</v>
      </c>
      <c r="E1384" s="7" t="str">
        <f>_xlfn.XLOOKUP(B1384,Customers!A1384:A2383,Customers!B1384:B2383,"Customer Not Found",0)</f>
        <v>Customer Not Found</v>
      </c>
      <c r="F1384" s="7" t="str">
        <f>_xlfn.XLOOKUP(Orders!B1384,Customers!A1384:A2383,Customers!C1384:C2383,"Country not Found",0)</f>
        <v>Country not Found</v>
      </c>
      <c r="G1384" s="7" t="str">
        <f>_xlfn.XLOOKUP(C1384,Products!A1384:A1883,Products!B1384:B1883,"Product Missing",0)</f>
        <v>Product Missing</v>
      </c>
      <c r="H1384" s="7" t="str">
        <f>_xlfn.XLOOKUP(C1384,Products!A1384:A1883,Products!C1384:C1883,"Category Missing",0)</f>
        <v>Category Missing</v>
      </c>
      <c r="I1384" s="11" t="str">
        <f>_xlfn.XLOOKUP(Orders!C1384,Products!A1384:A1883,Products!D1384:D1883,"Price Missing",0)</f>
        <v>Price Missing</v>
      </c>
      <c r="J1384" s="19">
        <f t="shared" si="21"/>
        <v>0</v>
      </c>
    </row>
    <row r="1385" spans="1:10" x14ac:dyDescent="0.35">
      <c r="A1385" s="4" t="s">
        <v>5405</v>
      </c>
      <c r="B1385" s="7" t="s">
        <v>2393</v>
      </c>
      <c r="C1385" s="7" t="s">
        <v>3812</v>
      </c>
      <c r="D1385" s="5">
        <v>4</v>
      </c>
      <c r="E1385" s="7" t="str">
        <f>_xlfn.XLOOKUP(B1385,Customers!A1385:A2384,Customers!B1385:B2384,"Customer Not Found",0)</f>
        <v>Customer Not Found</v>
      </c>
      <c r="F1385" s="7" t="str">
        <f>_xlfn.XLOOKUP(Orders!B1385,Customers!A1385:A2384,Customers!C1385:C2384,"Country not Found",0)</f>
        <v>Country not Found</v>
      </c>
      <c r="G1385" s="7" t="str">
        <f>_xlfn.XLOOKUP(C1385,Products!A1385:A1884,Products!B1385:B1884,"Product Missing",0)</f>
        <v>Product Missing</v>
      </c>
      <c r="H1385" s="7" t="str">
        <f>_xlfn.XLOOKUP(C1385,Products!A1385:A1884,Products!C1385:C1884,"Category Missing",0)</f>
        <v>Category Missing</v>
      </c>
      <c r="I1385" s="11" t="str">
        <f>_xlfn.XLOOKUP(Orders!C1385,Products!A1385:A1884,Products!D1385:D1884,"Price Missing",0)</f>
        <v>Price Missing</v>
      </c>
      <c r="J1385" s="19">
        <f t="shared" si="21"/>
        <v>0</v>
      </c>
    </row>
    <row r="1386" spans="1:10" x14ac:dyDescent="0.35">
      <c r="A1386" s="4" t="s">
        <v>5406</v>
      </c>
      <c r="B1386" s="7" t="s">
        <v>2441</v>
      </c>
      <c r="C1386" s="7" t="s">
        <v>3792</v>
      </c>
      <c r="D1386" s="5">
        <v>3</v>
      </c>
      <c r="E1386" s="7" t="str">
        <f>_xlfn.XLOOKUP(B1386,Customers!A1386:A2385,Customers!B1386:B2385,"Customer Not Found",0)</f>
        <v>Customer Not Found</v>
      </c>
      <c r="F1386" s="7" t="str">
        <f>_xlfn.XLOOKUP(Orders!B1386,Customers!A1386:A2385,Customers!C1386:C2385,"Country not Found",0)</f>
        <v>Country not Found</v>
      </c>
      <c r="G1386" s="7" t="str">
        <f>_xlfn.XLOOKUP(C1386,Products!A1386:A1885,Products!B1386:B1885,"Product Missing",0)</f>
        <v>Product Missing</v>
      </c>
      <c r="H1386" s="7" t="str">
        <f>_xlfn.XLOOKUP(C1386,Products!A1386:A1885,Products!C1386:C1885,"Category Missing",0)</f>
        <v>Category Missing</v>
      </c>
      <c r="I1386" s="11" t="str">
        <f>_xlfn.XLOOKUP(Orders!C1386,Products!A1386:A1885,Products!D1386:D1885,"Price Missing",0)</f>
        <v>Price Missing</v>
      </c>
      <c r="J1386" s="19">
        <f t="shared" si="21"/>
        <v>0</v>
      </c>
    </row>
    <row r="1387" spans="1:10" x14ac:dyDescent="0.35">
      <c r="A1387" s="4" t="s">
        <v>5407</v>
      </c>
      <c r="B1387" s="7" t="s">
        <v>530</v>
      </c>
      <c r="C1387" s="7" t="s">
        <v>3724</v>
      </c>
      <c r="D1387" s="5">
        <v>5</v>
      </c>
      <c r="E1387" s="7" t="str">
        <f>_xlfn.XLOOKUP(B1387,Customers!A1387:A2386,Customers!B1387:B2386,"Customer Not Found",0)</f>
        <v>Customer Not Found</v>
      </c>
      <c r="F1387" s="7" t="str">
        <f>_xlfn.XLOOKUP(Orders!B1387,Customers!A1387:A2386,Customers!C1387:C2386,"Country not Found",0)</f>
        <v>Country not Found</v>
      </c>
      <c r="G1387" s="7" t="str">
        <f>_xlfn.XLOOKUP(C1387,Products!A1387:A1886,Products!B1387:B1886,"Product Missing",0)</f>
        <v>Product Missing</v>
      </c>
      <c r="H1387" s="7" t="str">
        <f>_xlfn.XLOOKUP(C1387,Products!A1387:A1886,Products!C1387:C1886,"Category Missing",0)</f>
        <v>Category Missing</v>
      </c>
      <c r="I1387" s="11" t="str">
        <f>_xlfn.XLOOKUP(Orders!C1387,Products!A1387:A1886,Products!D1387:D1886,"Price Missing",0)</f>
        <v>Price Missing</v>
      </c>
      <c r="J1387" s="19">
        <f t="shared" si="21"/>
        <v>0</v>
      </c>
    </row>
    <row r="1388" spans="1:10" x14ac:dyDescent="0.35">
      <c r="A1388" s="4" t="s">
        <v>5408</v>
      </c>
      <c r="B1388" s="7" t="s">
        <v>680</v>
      </c>
      <c r="C1388" s="7" t="s">
        <v>3522</v>
      </c>
      <c r="D1388" s="5">
        <v>10</v>
      </c>
      <c r="E1388" s="7" t="str">
        <f>_xlfn.XLOOKUP(B1388,Customers!A1388:A2387,Customers!B1388:B2387,"Customer Not Found",0)</f>
        <v>Customer Not Found</v>
      </c>
      <c r="F1388" s="7" t="str">
        <f>_xlfn.XLOOKUP(Orders!B1388,Customers!A1388:A2387,Customers!C1388:C2387,"Country not Found",0)</f>
        <v>Country not Found</v>
      </c>
      <c r="G1388" s="7" t="str">
        <f>_xlfn.XLOOKUP(C1388,Products!A1388:A1887,Products!B1388:B1887,"Product Missing",0)</f>
        <v>Product Missing</v>
      </c>
      <c r="H1388" s="7" t="str">
        <f>_xlfn.XLOOKUP(C1388,Products!A1388:A1887,Products!C1388:C1887,"Category Missing",0)</f>
        <v>Category Missing</v>
      </c>
      <c r="I1388" s="11" t="str">
        <f>_xlfn.XLOOKUP(Orders!C1388,Products!A1388:A1887,Products!D1388:D1887,"Price Missing",0)</f>
        <v>Price Missing</v>
      </c>
      <c r="J1388" s="19">
        <f t="shared" si="21"/>
        <v>0</v>
      </c>
    </row>
    <row r="1389" spans="1:10" x14ac:dyDescent="0.35">
      <c r="A1389" s="4" t="s">
        <v>5409</v>
      </c>
      <c r="B1389" s="7" t="s">
        <v>416</v>
      </c>
      <c r="C1389" s="7" t="s">
        <v>3342</v>
      </c>
      <c r="D1389" s="5">
        <v>9</v>
      </c>
      <c r="E1389" s="7" t="str">
        <f>_xlfn.XLOOKUP(B1389,Customers!A1389:A2388,Customers!B1389:B2388,"Customer Not Found",0)</f>
        <v>Customer Not Found</v>
      </c>
      <c r="F1389" s="7" t="str">
        <f>_xlfn.XLOOKUP(Orders!B1389,Customers!A1389:A2388,Customers!C1389:C2388,"Country not Found",0)</f>
        <v>Country not Found</v>
      </c>
      <c r="G1389" s="7" t="str">
        <f>_xlfn.XLOOKUP(C1389,Products!A1389:A1888,Products!B1389:B1888,"Product Missing",0)</f>
        <v>Product Missing</v>
      </c>
      <c r="H1389" s="7" t="str">
        <f>_xlfn.XLOOKUP(C1389,Products!A1389:A1888,Products!C1389:C1888,"Category Missing",0)</f>
        <v>Category Missing</v>
      </c>
      <c r="I1389" s="11" t="str">
        <f>_xlfn.XLOOKUP(Orders!C1389,Products!A1389:A1888,Products!D1389:D1888,"Price Missing",0)</f>
        <v>Price Missing</v>
      </c>
      <c r="J1389" s="19">
        <f t="shared" si="21"/>
        <v>0</v>
      </c>
    </row>
    <row r="1390" spans="1:10" x14ac:dyDescent="0.35">
      <c r="A1390" s="4" t="s">
        <v>5410</v>
      </c>
      <c r="B1390" s="7" t="s">
        <v>1451</v>
      </c>
      <c r="C1390" s="7" t="s">
        <v>3386</v>
      </c>
      <c r="D1390" s="5">
        <v>6</v>
      </c>
      <c r="E1390" s="7" t="str">
        <f>_xlfn.XLOOKUP(B1390,Customers!A1390:A2389,Customers!B1390:B2389,"Customer Not Found",0)</f>
        <v>Customer Not Found</v>
      </c>
      <c r="F1390" s="7" t="str">
        <f>_xlfn.XLOOKUP(Orders!B1390,Customers!A1390:A2389,Customers!C1390:C2389,"Country not Found",0)</f>
        <v>Country not Found</v>
      </c>
      <c r="G1390" s="7" t="str">
        <f>_xlfn.XLOOKUP(C1390,Products!A1390:A1889,Products!B1390:B1889,"Product Missing",0)</f>
        <v>Product Missing</v>
      </c>
      <c r="H1390" s="7" t="str">
        <f>_xlfn.XLOOKUP(C1390,Products!A1390:A1889,Products!C1390:C1889,"Category Missing",0)</f>
        <v>Category Missing</v>
      </c>
      <c r="I1390" s="11" t="str">
        <f>_xlfn.XLOOKUP(Orders!C1390,Products!A1390:A1889,Products!D1390:D1889,"Price Missing",0)</f>
        <v>Price Missing</v>
      </c>
      <c r="J1390" s="19">
        <f t="shared" si="21"/>
        <v>0</v>
      </c>
    </row>
    <row r="1391" spans="1:10" x14ac:dyDescent="0.35">
      <c r="A1391" s="4" t="s">
        <v>5411</v>
      </c>
      <c r="B1391" s="7" t="s">
        <v>701</v>
      </c>
      <c r="C1391" s="7" t="s">
        <v>3918</v>
      </c>
      <c r="D1391" s="5">
        <v>7</v>
      </c>
      <c r="E1391" s="7" t="str">
        <f>_xlfn.XLOOKUP(B1391,Customers!A1391:A2390,Customers!B1391:B2390,"Customer Not Found",0)</f>
        <v>Customer Not Found</v>
      </c>
      <c r="F1391" s="7" t="str">
        <f>_xlfn.XLOOKUP(Orders!B1391,Customers!A1391:A2390,Customers!C1391:C2390,"Country not Found",0)</f>
        <v>Country not Found</v>
      </c>
      <c r="G1391" s="7" t="str">
        <f>_xlfn.XLOOKUP(C1391,Products!A1391:A1890,Products!B1391:B1890,"Product Missing",0)</f>
        <v>Product Missing</v>
      </c>
      <c r="H1391" s="7" t="str">
        <f>_xlfn.XLOOKUP(C1391,Products!A1391:A1890,Products!C1391:C1890,"Category Missing",0)</f>
        <v>Category Missing</v>
      </c>
      <c r="I1391" s="11" t="str">
        <f>_xlfn.XLOOKUP(Orders!C1391,Products!A1391:A1890,Products!D1391:D1890,"Price Missing",0)</f>
        <v>Price Missing</v>
      </c>
      <c r="J1391" s="19">
        <f t="shared" si="21"/>
        <v>0</v>
      </c>
    </row>
    <row r="1392" spans="1:10" x14ac:dyDescent="0.35">
      <c r="A1392" s="4" t="s">
        <v>5412</v>
      </c>
      <c r="B1392" s="7" t="s">
        <v>1046</v>
      </c>
      <c r="C1392" s="7" t="s">
        <v>3924</v>
      </c>
      <c r="D1392" s="5">
        <v>4</v>
      </c>
      <c r="E1392" s="7" t="str">
        <f>_xlfn.XLOOKUP(B1392,Customers!A1392:A2391,Customers!B1392:B2391,"Customer Not Found",0)</f>
        <v>Customer Not Found</v>
      </c>
      <c r="F1392" s="7" t="str">
        <f>_xlfn.XLOOKUP(Orders!B1392,Customers!A1392:A2391,Customers!C1392:C2391,"Country not Found",0)</f>
        <v>Country not Found</v>
      </c>
      <c r="G1392" s="7" t="str">
        <f>_xlfn.XLOOKUP(C1392,Products!A1392:A1891,Products!B1392:B1891,"Product Missing",0)</f>
        <v>Product Missing</v>
      </c>
      <c r="H1392" s="7" t="str">
        <f>_xlfn.XLOOKUP(C1392,Products!A1392:A1891,Products!C1392:C1891,"Category Missing",0)</f>
        <v>Category Missing</v>
      </c>
      <c r="I1392" s="11" t="str">
        <f>_xlfn.XLOOKUP(Orders!C1392,Products!A1392:A1891,Products!D1392:D1891,"Price Missing",0)</f>
        <v>Price Missing</v>
      </c>
      <c r="J1392" s="19">
        <f t="shared" si="21"/>
        <v>0</v>
      </c>
    </row>
    <row r="1393" spans="1:10" x14ac:dyDescent="0.35">
      <c r="A1393" s="4" t="s">
        <v>5413</v>
      </c>
      <c r="B1393" s="7" t="s">
        <v>55</v>
      </c>
      <c r="C1393" s="7" t="s">
        <v>3898</v>
      </c>
      <c r="D1393" s="5">
        <v>4</v>
      </c>
      <c r="E1393" s="7" t="str">
        <f>_xlfn.XLOOKUP(B1393,Customers!A1393:A2392,Customers!B1393:B2392,"Customer Not Found",0)</f>
        <v>Customer Not Found</v>
      </c>
      <c r="F1393" s="7" t="str">
        <f>_xlfn.XLOOKUP(Orders!B1393,Customers!A1393:A2392,Customers!C1393:C2392,"Country not Found",0)</f>
        <v>Country not Found</v>
      </c>
      <c r="G1393" s="7" t="str">
        <f>_xlfn.XLOOKUP(C1393,Products!A1393:A1892,Products!B1393:B1892,"Product Missing",0)</f>
        <v>Product Missing</v>
      </c>
      <c r="H1393" s="7" t="str">
        <f>_xlfn.XLOOKUP(C1393,Products!A1393:A1892,Products!C1393:C1892,"Category Missing",0)</f>
        <v>Category Missing</v>
      </c>
      <c r="I1393" s="11" t="str">
        <f>_xlfn.XLOOKUP(Orders!C1393,Products!A1393:A1892,Products!D1393:D1892,"Price Missing",0)</f>
        <v>Price Missing</v>
      </c>
      <c r="J1393" s="19">
        <f t="shared" si="21"/>
        <v>0</v>
      </c>
    </row>
    <row r="1394" spans="1:10" x14ac:dyDescent="0.35">
      <c r="A1394" s="4" t="s">
        <v>5414</v>
      </c>
      <c r="B1394" s="7" t="s">
        <v>2336</v>
      </c>
      <c r="C1394" s="7" t="s">
        <v>3172</v>
      </c>
      <c r="D1394" s="5">
        <v>7</v>
      </c>
      <c r="E1394" s="7" t="str">
        <f>_xlfn.XLOOKUP(B1394,Customers!A1394:A2393,Customers!B1394:B2393,"Customer Not Found",0)</f>
        <v>Customer Not Found</v>
      </c>
      <c r="F1394" s="7" t="str">
        <f>_xlfn.XLOOKUP(Orders!B1394,Customers!A1394:A2393,Customers!C1394:C2393,"Country not Found",0)</f>
        <v>Country not Found</v>
      </c>
      <c r="G1394" s="7" t="str">
        <f>_xlfn.XLOOKUP(C1394,Products!A1394:A1893,Products!B1394:B1893,"Product Missing",0)</f>
        <v>Product Missing</v>
      </c>
      <c r="H1394" s="7" t="str">
        <f>_xlfn.XLOOKUP(C1394,Products!A1394:A1893,Products!C1394:C1893,"Category Missing",0)</f>
        <v>Category Missing</v>
      </c>
      <c r="I1394" s="11" t="str">
        <f>_xlfn.XLOOKUP(Orders!C1394,Products!A1394:A1893,Products!D1394:D1893,"Price Missing",0)</f>
        <v>Price Missing</v>
      </c>
      <c r="J1394" s="19">
        <f t="shared" si="21"/>
        <v>0</v>
      </c>
    </row>
    <row r="1395" spans="1:10" x14ac:dyDescent="0.35">
      <c r="A1395" s="4" t="s">
        <v>5415</v>
      </c>
      <c r="B1395" s="7" t="s">
        <v>908</v>
      </c>
      <c r="C1395" s="7" t="s">
        <v>3398</v>
      </c>
      <c r="D1395" s="5">
        <v>2</v>
      </c>
      <c r="E1395" s="7" t="str">
        <f>_xlfn.XLOOKUP(B1395,Customers!A1395:A2394,Customers!B1395:B2394,"Customer Not Found",0)</f>
        <v>Customer Not Found</v>
      </c>
      <c r="F1395" s="7" t="str">
        <f>_xlfn.XLOOKUP(Orders!B1395,Customers!A1395:A2394,Customers!C1395:C2394,"Country not Found",0)</f>
        <v>Country not Found</v>
      </c>
      <c r="G1395" s="7" t="str">
        <f>_xlfn.XLOOKUP(C1395,Products!A1395:A1894,Products!B1395:B1894,"Product Missing",0)</f>
        <v>Product Missing</v>
      </c>
      <c r="H1395" s="7" t="str">
        <f>_xlfn.XLOOKUP(C1395,Products!A1395:A1894,Products!C1395:C1894,"Category Missing",0)</f>
        <v>Category Missing</v>
      </c>
      <c r="I1395" s="11" t="str">
        <f>_xlfn.XLOOKUP(Orders!C1395,Products!A1395:A1894,Products!D1395:D1894,"Price Missing",0)</f>
        <v>Price Missing</v>
      </c>
      <c r="J1395" s="19">
        <f t="shared" si="21"/>
        <v>0</v>
      </c>
    </row>
    <row r="1396" spans="1:10" x14ac:dyDescent="0.35">
      <c r="A1396" s="4" t="s">
        <v>5416</v>
      </c>
      <c r="B1396" s="7" t="s">
        <v>2687</v>
      </c>
      <c r="C1396" s="7" t="s">
        <v>3486</v>
      </c>
      <c r="D1396" s="5">
        <v>6</v>
      </c>
      <c r="E1396" s="7" t="str">
        <f>_xlfn.XLOOKUP(B1396,Customers!A1396:A2395,Customers!B1396:B2395,"Customer Not Found",0)</f>
        <v>Customer Not Found</v>
      </c>
      <c r="F1396" s="7" t="str">
        <f>_xlfn.XLOOKUP(Orders!B1396,Customers!A1396:A2395,Customers!C1396:C2395,"Country not Found",0)</f>
        <v>Country not Found</v>
      </c>
      <c r="G1396" s="7" t="str">
        <f>_xlfn.XLOOKUP(C1396,Products!A1396:A1895,Products!B1396:B1895,"Product Missing",0)</f>
        <v>Product Missing</v>
      </c>
      <c r="H1396" s="7" t="str">
        <f>_xlfn.XLOOKUP(C1396,Products!A1396:A1895,Products!C1396:C1895,"Category Missing",0)</f>
        <v>Category Missing</v>
      </c>
      <c r="I1396" s="11" t="str">
        <f>_xlfn.XLOOKUP(Orders!C1396,Products!A1396:A1895,Products!D1396:D1895,"Price Missing",0)</f>
        <v>Price Missing</v>
      </c>
      <c r="J1396" s="19">
        <f t="shared" si="21"/>
        <v>0</v>
      </c>
    </row>
    <row r="1397" spans="1:10" x14ac:dyDescent="0.35">
      <c r="A1397" s="4" t="s">
        <v>5417</v>
      </c>
      <c r="B1397" s="7" t="s">
        <v>2600</v>
      </c>
      <c r="C1397" s="7" t="s">
        <v>3540</v>
      </c>
      <c r="D1397" s="5">
        <v>2</v>
      </c>
      <c r="E1397" s="7" t="str">
        <f>_xlfn.XLOOKUP(B1397,Customers!A1397:A2396,Customers!B1397:B2396,"Customer Not Found",0)</f>
        <v>Customer Not Found</v>
      </c>
      <c r="F1397" s="7" t="str">
        <f>_xlfn.XLOOKUP(Orders!B1397,Customers!A1397:A2396,Customers!C1397:C2396,"Country not Found",0)</f>
        <v>Country not Found</v>
      </c>
      <c r="G1397" s="7" t="str">
        <f>_xlfn.XLOOKUP(C1397,Products!A1397:A1896,Products!B1397:B1896,"Product Missing",0)</f>
        <v>Product Missing</v>
      </c>
      <c r="H1397" s="7" t="str">
        <f>_xlfn.XLOOKUP(C1397,Products!A1397:A1896,Products!C1397:C1896,"Category Missing",0)</f>
        <v>Category Missing</v>
      </c>
      <c r="I1397" s="11" t="str">
        <f>_xlfn.XLOOKUP(Orders!C1397,Products!A1397:A1896,Products!D1397:D1896,"Price Missing",0)</f>
        <v>Price Missing</v>
      </c>
      <c r="J1397" s="19">
        <f t="shared" si="21"/>
        <v>0</v>
      </c>
    </row>
    <row r="1398" spans="1:10" x14ac:dyDescent="0.35">
      <c r="A1398" s="4" t="s">
        <v>5418</v>
      </c>
      <c r="B1398" s="7" t="s">
        <v>2069</v>
      </c>
      <c r="C1398" s="7" t="s">
        <v>3114</v>
      </c>
      <c r="D1398" s="5">
        <v>4</v>
      </c>
      <c r="E1398" s="7" t="str">
        <f>_xlfn.XLOOKUP(B1398,Customers!A1398:A2397,Customers!B1398:B2397,"Customer Not Found",0)</f>
        <v>Customer Not Found</v>
      </c>
      <c r="F1398" s="7" t="str">
        <f>_xlfn.XLOOKUP(Orders!B1398,Customers!A1398:A2397,Customers!C1398:C2397,"Country not Found",0)</f>
        <v>Country not Found</v>
      </c>
      <c r="G1398" s="7" t="str">
        <f>_xlfn.XLOOKUP(C1398,Products!A1398:A1897,Products!B1398:B1897,"Product Missing",0)</f>
        <v>Product Missing</v>
      </c>
      <c r="H1398" s="7" t="str">
        <f>_xlfn.XLOOKUP(C1398,Products!A1398:A1897,Products!C1398:C1897,"Category Missing",0)</f>
        <v>Category Missing</v>
      </c>
      <c r="I1398" s="11" t="str">
        <f>_xlfn.XLOOKUP(Orders!C1398,Products!A1398:A1897,Products!D1398:D1897,"Price Missing",0)</f>
        <v>Price Missing</v>
      </c>
      <c r="J1398" s="19">
        <f t="shared" si="21"/>
        <v>0</v>
      </c>
    </row>
    <row r="1399" spans="1:10" x14ac:dyDescent="0.35">
      <c r="A1399" s="4" t="s">
        <v>5419</v>
      </c>
      <c r="B1399" s="7" t="s">
        <v>359</v>
      </c>
      <c r="C1399" s="7" t="s">
        <v>3756</v>
      </c>
      <c r="D1399" s="5">
        <v>8</v>
      </c>
      <c r="E1399" s="7" t="str">
        <f>_xlfn.XLOOKUP(B1399,Customers!A1399:A2398,Customers!B1399:B2398,"Customer Not Found",0)</f>
        <v>Customer Not Found</v>
      </c>
      <c r="F1399" s="7" t="str">
        <f>_xlfn.XLOOKUP(Orders!B1399,Customers!A1399:A2398,Customers!C1399:C2398,"Country not Found",0)</f>
        <v>Country not Found</v>
      </c>
      <c r="G1399" s="7" t="str">
        <f>_xlfn.XLOOKUP(C1399,Products!A1399:A1898,Products!B1399:B1898,"Product Missing",0)</f>
        <v>Product Missing</v>
      </c>
      <c r="H1399" s="7" t="str">
        <f>_xlfn.XLOOKUP(C1399,Products!A1399:A1898,Products!C1399:C1898,"Category Missing",0)</f>
        <v>Category Missing</v>
      </c>
      <c r="I1399" s="11" t="str">
        <f>_xlfn.XLOOKUP(Orders!C1399,Products!A1399:A1898,Products!D1399:D1898,"Price Missing",0)</f>
        <v>Price Missing</v>
      </c>
      <c r="J1399" s="19">
        <f t="shared" si="21"/>
        <v>0</v>
      </c>
    </row>
    <row r="1400" spans="1:10" x14ac:dyDescent="0.35">
      <c r="A1400" s="4" t="s">
        <v>5420</v>
      </c>
      <c r="B1400" s="7" t="s">
        <v>2207</v>
      </c>
      <c r="C1400" s="7" t="s">
        <v>3510</v>
      </c>
      <c r="D1400" s="5">
        <v>6</v>
      </c>
      <c r="E1400" s="7" t="str">
        <f>_xlfn.XLOOKUP(B1400,Customers!A1400:A2399,Customers!B1400:B2399,"Customer Not Found",0)</f>
        <v>Customer Not Found</v>
      </c>
      <c r="F1400" s="7" t="str">
        <f>_xlfn.XLOOKUP(Orders!B1400,Customers!A1400:A2399,Customers!C1400:C2399,"Country not Found",0)</f>
        <v>Country not Found</v>
      </c>
      <c r="G1400" s="7" t="str">
        <f>_xlfn.XLOOKUP(C1400,Products!A1400:A1899,Products!B1400:B1899,"Product Missing",0)</f>
        <v>Product Missing</v>
      </c>
      <c r="H1400" s="7" t="str">
        <f>_xlfn.XLOOKUP(C1400,Products!A1400:A1899,Products!C1400:C1899,"Category Missing",0)</f>
        <v>Category Missing</v>
      </c>
      <c r="I1400" s="11" t="str">
        <f>_xlfn.XLOOKUP(Orders!C1400,Products!A1400:A1899,Products!D1400:D1899,"Price Missing",0)</f>
        <v>Price Missing</v>
      </c>
      <c r="J1400" s="19">
        <f t="shared" si="21"/>
        <v>0</v>
      </c>
    </row>
    <row r="1401" spans="1:10" x14ac:dyDescent="0.35">
      <c r="A1401" s="4" t="s">
        <v>5421</v>
      </c>
      <c r="B1401" s="7" t="s">
        <v>1880</v>
      </c>
      <c r="C1401" s="7" t="s">
        <v>3502</v>
      </c>
      <c r="D1401" s="5">
        <v>7</v>
      </c>
      <c r="E1401" s="7" t="str">
        <f>_xlfn.XLOOKUP(B1401,Customers!A1401:A2400,Customers!B1401:B2400,"Customer Not Found",0)</f>
        <v>Customer Not Found</v>
      </c>
      <c r="F1401" s="7" t="str">
        <f>_xlfn.XLOOKUP(Orders!B1401,Customers!A1401:A2400,Customers!C1401:C2400,"Country not Found",0)</f>
        <v>Country not Found</v>
      </c>
      <c r="G1401" s="7" t="str">
        <f>_xlfn.XLOOKUP(C1401,Products!A1401:A1900,Products!B1401:B1900,"Product Missing",0)</f>
        <v>Product Missing</v>
      </c>
      <c r="H1401" s="7" t="str">
        <f>_xlfn.XLOOKUP(C1401,Products!A1401:A1900,Products!C1401:C1900,"Category Missing",0)</f>
        <v>Category Missing</v>
      </c>
      <c r="I1401" s="11" t="str">
        <f>_xlfn.XLOOKUP(Orders!C1401,Products!A1401:A1900,Products!D1401:D1900,"Price Missing",0)</f>
        <v>Price Missing</v>
      </c>
      <c r="J1401" s="19">
        <f t="shared" si="21"/>
        <v>0</v>
      </c>
    </row>
    <row r="1402" spans="1:10" x14ac:dyDescent="0.35">
      <c r="A1402" s="4" t="s">
        <v>5422</v>
      </c>
      <c r="B1402" s="7" t="s">
        <v>311</v>
      </c>
      <c r="C1402" s="7" t="s">
        <v>3678</v>
      </c>
      <c r="D1402" s="5">
        <v>4</v>
      </c>
      <c r="E1402" s="7" t="str">
        <f>_xlfn.XLOOKUP(B1402,Customers!A1402:A2401,Customers!B1402:B2401,"Customer Not Found",0)</f>
        <v>Customer Not Found</v>
      </c>
      <c r="F1402" s="7" t="str">
        <f>_xlfn.XLOOKUP(Orders!B1402,Customers!A1402:A2401,Customers!C1402:C2401,"Country not Found",0)</f>
        <v>Country not Found</v>
      </c>
      <c r="G1402" s="7" t="str">
        <f>_xlfn.XLOOKUP(C1402,Products!A1402:A1901,Products!B1402:B1901,"Product Missing",0)</f>
        <v>Product Missing</v>
      </c>
      <c r="H1402" s="7" t="str">
        <f>_xlfn.XLOOKUP(C1402,Products!A1402:A1901,Products!C1402:C1901,"Category Missing",0)</f>
        <v>Category Missing</v>
      </c>
      <c r="I1402" s="11" t="str">
        <f>_xlfn.XLOOKUP(Orders!C1402,Products!A1402:A1901,Products!D1402:D1901,"Price Missing",0)</f>
        <v>Price Missing</v>
      </c>
      <c r="J1402" s="19">
        <f t="shared" si="21"/>
        <v>0</v>
      </c>
    </row>
    <row r="1403" spans="1:10" x14ac:dyDescent="0.35">
      <c r="A1403" s="4" t="s">
        <v>5423</v>
      </c>
      <c r="B1403" s="7" t="s">
        <v>1253</v>
      </c>
      <c r="C1403" s="7" t="s">
        <v>3318</v>
      </c>
      <c r="D1403" s="5">
        <v>3</v>
      </c>
      <c r="E1403" s="7" t="str">
        <f>_xlfn.XLOOKUP(B1403,Customers!A1403:A2402,Customers!B1403:B2402,"Customer Not Found",0)</f>
        <v>Customer Not Found</v>
      </c>
      <c r="F1403" s="7" t="str">
        <f>_xlfn.XLOOKUP(Orders!B1403,Customers!A1403:A2402,Customers!C1403:C2402,"Country not Found",0)</f>
        <v>Country not Found</v>
      </c>
      <c r="G1403" s="7" t="str">
        <f>_xlfn.XLOOKUP(C1403,Products!A1403:A1902,Products!B1403:B1902,"Product Missing",0)</f>
        <v>Product Missing</v>
      </c>
      <c r="H1403" s="7" t="str">
        <f>_xlfn.XLOOKUP(C1403,Products!A1403:A1902,Products!C1403:C1902,"Category Missing",0)</f>
        <v>Category Missing</v>
      </c>
      <c r="I1403" s="11" t="str">
        <f>_xlfn.XLOOKUP(Orders!C1403,Products!A1403:A1902,Products!D1403:D1902,"Price Missing",0)</f>
        <v>Price Missing</v>
      </c>
      <c r="J1403" s="19">
        <f t="shared" si="21"/>
        <v>0</v>
      </c>
    </row>
    <row r="1404" spans="1:10" x14ac:dyDescent="0.35">
      <c r="A1404" s="4" t="s">
        <v>5424</v>
      </c>
      <c r="B1404" s="7" t="s">
        <v>1247</v>
      </c>
      <c r="C1404" s="7" t="s">
        <v>3406</v>
      </c>
      <c r="D1404" s="5">
        <v>8</v>
      </c>
      <c r="E1404" s="7" t="str">
        <f>_xlfn.XLOOKUP(B1404,Customers!A1404:A2403,Customers!B1404:B2403,"Customer Not Found",0)</f>
        <v>Customer Not Found</v>
      </c>
      <c r="F1404" s="7" t="str">
        <f>_xlfn.XLOOKUP(Orders!B1404,Customers!A1404:A2403,Customers!C1404:C2403,"Country not Found",0)</f>
        <v>Country not Found</v>
      </c>
      <c r="G1404" s="7" t="str">
        <f>_xlfn.XLOOKUP(C1404,Products!A1404:A1903,Products!B1404:B1903,"Product Missing",0)</f>
        <v>Product Missing</v>
      </c>
      <c r="H1404" s="7" t="str">
        <f>_xlfn.XLOOKUP(C1404,Products!A1404:A1903,Products!C1404:C1903,"Category Missing",0)</f>
        <v>Category Missing</v>
      </c>
      <c r="I1404" s="11" t="str">
        <f>_xlfn.XLOOKUP(Orders!C1404,Products!A1404:A1903,Products!D1404:D1903,"Price Missing",0)</f>
        <v>Price Missing</v>
      </c>
      <c r="J1404" s="19">
        <f t="shared" si="21"/>
        <v>0</v>
      </c>
    </row>
    <row r="1405" spans="1:10" x14ac:dyDescent="0.35">
      <c r="A1405" s="4" t="s">
        <v>5425</v>
      </c>
      <c r="B1405" s="7" t="s">
        <v>491</v>
      </c>
      <c r="C1405" s="7" t="s">
        <v>3918</v>
      </c>
      <c r="D1405" s="5">
        <v>7</v>
      </c>
      <c r="E1405" s="7" t="str">
        <f>_xlfn.XLOOKUP(B1405,Customers!A1405:A2404,Customers!B1405:B2404,"Customer Not Found",0)</f>
        <v>Customer Not Found</v>
      </c>
      <c r="F1405" s="7" t="str">
        <f>_xlfn.XLOOKUP(Orders!B1405,Customers!A1405:A2404,Customers!C1405:C2404,"Country not Found",0)</f>
        <v>Country not Found</v>
      </c>
      <c r="G1405" s="7" t="str">
        <f>_xlfn.XLOOKUP(C1405,Products!A1405:A1904,Products!B1405:B1904,"Product Missing",0)</f>
        <v>Product Missing</v>
      </c>
      <c r="H1405" s="7" t="str">
        <f>_xlfn.XLOOKUP(C1405,Products!A1405:A1904,Products!C1405:C1904,"Category Missing",0)</f>
        <v>Category Missing</v>
      </c>
      <c r="I1405" s="11" t="str">
        <f>_xlfn.XLOOKUP(Orders!C1405,Products!A1405:A1904,Products!D1405:D1904,"Price Missing",0)</f>
        <v>Price Missing</v>
      </c>
      <c r="J1405" s="19">
        <f t="shared" si="21"/>
        <v>0</v>
      </c>
    </row>
    <row r="1406" spans="1:10" x14ac:dyDescent="0.35">
      <c r="A1406" s="4" t="s">
        <v>5426</v>
      </c>
      <c r="B1406" s="7" t="s">
        <v>2036</v>
      </c>
      <c r="C1406" s="7" t="s">
        <v>3328</v>
      </c>
      <c r="D1406" s="5">
        <v>4</v>
      </c>
      <c r="E1406" s="7" t="str">
        <f>_xlfn.XLOOKUP(B1406,Customers!A1406:A2405,Customers!B1406:B2405,"Customer Not Found",0)</f>
        <v>Customer Not Found</v>
      </c>
      <c r="F1406" s="7" t="str">
        <f>_xlfn.XLOOKUP(Orders!B1406,Customers!A1406:A2405,Customers!C1406:C2405,"Country not Found",0)</f>
        <v>Country not Found</v>
      </c>
      <c r="G1406" s="7" t="str">
        <f>_xlfn.XLOOKUP(C1406,Products!A1406:A1905,Products!B1406:B1905,"Product Missing",0)</f>
        <v>Product Missing</v>
      </c>
      <c r="H1406" s="7" t="str">
        <f>_xlfn.XLOOKUP(C1406,Products!A1406:A1905,Products!C1406:C1905,"Category Missing",0)</f>
        <v>Category Missing</v>
      </c>
      <c r="I1406" s="11" t="str">
        <f>_xlfn.XLOOKUP(Orders!C1406,Products!A1406:A1905,Products!D1406:D1905,"Price Missing",0)</f>
        <v>Price Missing</v>
      </c>
      <c r="J1406" s="19">
        <f t="shared" si="21"/>
        <v>0</v>
      </c>
    </row>
    <row r="1407" spans="1:10" x14ac:dyDescent="0.35">
      <c r="A1407" s="4" t="s">
        <v>5427</v>
      </c>
      <c r="B1407" s="7" t="s">
        <v>209</v>
      </c>
      <c r="C1407" s="7" t="s">
        <v>3580</v>
      </c>
      <c r="D1407" s="5">
        <v>7</v>
      </c>
      <c r="E1407" s="7" t="str">
        <f>_xlfn.XLOOKUP(B1407,Customers!A1407:A2406,Customers!B1407:B2406,"Customer Not Found",0)</f>
        <v>Customer Not Found</v>
      </c>
      <c r="F1407" s="7" t="str">
        <f>_xlfn.XLOOKUP(Orders!B1407,Customers!A1407:A2406,Customers!C1407:C2406,"Country not Found",0)</f>
        <v>Country not Found</v>
      </c>
      <c r="G1407" s="7" t="str">
        <f>_xlfn.XLOOKUP(C1407,Products!A1407:A1906,Products!B1407:B1906,"Product Missing",0)</f>
        <v>Product Missing</v>
      </c>
      <c r="H1407" s="7" t="str">
        <f>_xlfn.XLOOKUP(C1407,Products!A1407:A1906,Products!C1407:C1906,"Category Missing",0)</f>
        <v>Category Missing</v>
      </c>
      <c r="I1407" s="11" t="str">
        <f>_xlfn.XLOOKUP(Orders!C1407,Products!A1407:A1906,Products!D1407:D1906,"Price Missing",0)</f>
        <v>Price Missing</v>
      </c>
      <c r="J1407" s="19">
        <f t="shared" si="21"/>
        <v>0</v>
      </c>
    </row>
    <row r="1408" spans="1:10" x14ac:dyDescent="0.35">
      <c r="A1408" s="4" t="s">
        <v>5428</v>
      </c>
      <c r="B1408" s="7" t="s">
        <v>2525</v>
      </c>
      <c r="C1408" s="7" t="s">
        <v>3230</v>
      </c>
      <c r="D1408" s="5">
        <v>2</v>
      </c>
      <c r="E1408" s="7" t="str">
        <f>_xlfn.XLOOKUP(B1408,Customers!A1408:A2407,Customers!B1408:B2407,"Customer Not Found",0)</f>
        <v>Customer Not Found</v>
      </c>
      <c r="F1408" s="7" t="str">
        <f>_xlfn.XLOOKUP(Orders!B1408,Customers!A1408:A2407,Customers!C1408:C2407,"Country not Found",0)</f>
        <v>Country not Found</v>
      </c>
      <c r="G1408" s="7" t="str">
        <f>_xlfn.XLOOKUP(C1408,Products!A1408:A1907,Products!B1408:B1907,"Product Missing",0)</f>
        <v>Product Missing</v>
      </c>
      <c r="H1408" s="7" t="str">
        <f>_xlfn.XLOOKUP(C1408,Products!A1408:A1907,Products!C1408:C1907,"Category Missing",0)</f>
        <v>Category Missing</v>
      </c>
      <c r="I1408" s="11" t="str">
        <f>_xlfn.XLOOKUP(Orders!C1408,Products!A1408:A1907,Products!D1408:D1907,"Price Missing",0)</f>
        <v>Price Missing</v>
      </c>
      <c r="J1408" s="19">
        <f t="shared" si="21"/>
        <v>0</v>
      </c>
    </row>
    <row r="1409" spans="1:10" x14ac:dyDescent="0.35">
      <c r="A1409" s="4" t="s">
        <v>5429</v>
      </c>
      <c r="B1409" s="7" t="s">
        <v>2033</v>
      </c>
      <c r="C1409" s="7" t="s">
        <v>3594</v>
      </c>
      <c r="D1409" s="5">
        <v>3</v>
      </c>
      <c r="E1409" s="7" t="str">
        <f>_xlfn.XLOOKUP(B1409,Customers!A1409:A2408,Customers!B1409:B2408,"Customer Not Found",0)</f>
        <v>Customer Not Found</v>
      </c>
      <c r="F1409" s="7" t="str">
        <f>_xlfn.XLOOKUP(Orders!B1409,Customers!A1409:A2408,Customers!C1409:C2408,"Country not Found",0)</f>
        <v>Country not Found</v>
      </c>
      <c r="G1409" s="7" t="str">
        <f>_xlfn.XLOOKUP(C1409,Products!A1409:A1908,Products!B1409:B1908,"Product Missing",0)</f>
        <v>Product Missing</v>
      </c>
      <c r="H1409" s="7" t="str">
        <f>_xlfn.XLOOKUP(C1409,Products!A1409:A1908,Products!C1409:C1908,"Category Missing",0)</f>
        <v>Category Missing</v>
      </c>
      <c r="I1409" s="11" t="str">
        <f>_xlfn.XLOOKUP(Orders!C1409,Products!A1409:A1908,Products!D1409:D1908,"Price Missing",0)</f>
        <v>Price Missing</v>
      </c>
      <c r="J1409" s="19">
        <f t="shared" si="21"/>
        <v>0</v>
      </c>
    </row>
    <row r="1410" spans="1:10" x14ac:dyDescent="0.35">
      <c r="A1410" s="4" t="s">
        <v>5430</v>
      </c>
      <c r="B1410" s="7" t="s">
        <v>185</v>
      </c>
      <c r="C1410" s="7" t="s">
        <v>3464</v>
      </c>
      <c r="D1410" s="5">
        <v>2</v>
      </c>
      <c r="E1410" s="7" t="str">
        <f>_xlfn.XLOOKUP(B1410,Customers!A1410:A2409,Customers!B1410:B2409,"Customer Not Found",0)</f>
        <v>Customer Not Found</v>
      </c>
      <c r="F1410" s="7" t="str">
        <f>_xlfn.XLOOKUP(Orders!B1410,Customers!A1410:A2409,Customers!C1410:C2409,"Country not Found",0)</f>
        <v>Country not Found</v>
      </c>
      <c r="G1410" s="7" t="str">
        <f>_xlfn.XLOOKUP(C1410,Products!A1410:A1909,Products!B1410:B1909,"Product Missing",0)</f>
        <v>Product Missing</v>
      </c>
      <c r="H1410" s="7" t="str">
        <f>_xlfn.XLOOKUP(C1410,Products!A1410:A1909,Products!C1410:C1909,"Category Missing",0)</f>
        <v>Category Missing</v>
      </c>
      <c r="I1410" s="11" t="str">
        <f>_xlfn.XLOOKUP(Orders!C1410,Products!A1410:A1909,Products!D1410:D1909,"Price Missing",0)</f>
        <v>Price Missing</v>
      </c>
      <c r="J1410" s="19">
        <f t="shared" si="21"/>
        <v>0</v>
      </c>
    </row>
    <row r="1411" spans="1:10" x14ac:dyDescent="0.35">
      <c r="A1411" s="4" t="s">
        <v>5431</v>
      </c>
      <c r="B1411" s="7" t="s">
        <v>488</v>
      </c>
      <c r="C1411" s="7" t="s">
        <v>3960</v>
      </c>
      <c r="D1411" s="5">
        <v>6</v>
      </c>
      <c r="E1411" s="7" t="str">
        <f>_xlfn.XLOOKUP(B1411,Customers!A1411:A2410,Customers!B1411:B2410,"Customer Not Found",0)</f>
        <v>Customer Not Found</v>
      </c>
      <c r="F1411" s="7" t="str">
        <f>_xlfn.XLOOKUP(Orders!B1411,Customers!A1411:A2410,Customers!C1411:C2410,"Country not Found",0)</f>
        <v>Country not Found</v>
      </c>
      <c r="G1411" s="7" t="str">
        <f>_xlfn.XLOOKUP(C1411,Products!A1411:A1910,Products!B1411:B1910,"Product Missing",0)</f>
        <v>Product Missing</v>
      </c>
      <c r="H1411" s="7" t="str">
        <f>_xlfn.XLOOKUP(C1411,Products!A1411:A1910,Products!C1411:C1910,"Category Missing",0)</f>
        <v>Category Missing</v>
      </c>
      <c r="I1411" s="11" t="str">
        <f>_xlfn.XLOOKUP(Orders!C1411,Products!A1411:A1910,Products!D1411:D1910,"Price Missing",0)</f>
        <v>Price Missing</v>
      </c>
      <c r="J1411" s="19">
        <f t="shared" ref="J1411:J1474" si="22">IFERROR(I1411*D1411,0)</f>
        <v>0</v>
      </c>
    </row>
    <row r="1412" spans="1:10" x14ac:dyDescent="0.35">
      <c r="A1412" s="4" t="s">
        <v>5432</v>
      </c>
      <c r="B1412" s="7" t="s">
        <v>1913</v>
      </c>
      <c r="C1412" s="7" t="s">
        <v>3018</v>
      </c>
      <c r="D1412" s="5">
        <v>8</v>
      </c>
      <c r="E1412" s="7" t="str">
        <f>_xlfn.XLOOKUP(B1412,Customers!A1412:A2411,Customers!B1412:B2411,"Customer Not Found",0)</f>
        <v>Customer Not Found</v>
      </c>
      <c r="F1412" s="7" t="str">
        <f>_xlfn.XLOOKUP(Orders!B1412,Customers!A1412:A2411,Customers!C1412:C2411,"Country not Found",0)</f>
        <v>Country not Found</v>
      </c>
      <c r="G1412" s="7" t="str">
        <f>_xlfn.XLOOKUP(C1412,Products!A1412:A1911,Products!B1412:B1911,"Product Missing",0)</f>
        <v>Product Missing</v>
      </c>
      <c r="H1412" s="7" t="str">
        <f>_xlfn.XLOOKUP(C1412,Products!A1412:A1911,Products!C1412:C1911,"Category Missing",0)</f>
        <v>Category Missing</v>
      </c>
      <c r="I1412" s="11" t="str">
        <f>_xlfn.XLOOKUP(Orders!C1412,Products!A1412:A1911,Products!D1412:D1911,"Price Missing",0)</f>
        <v>Price Missing</v>
      </c>
      <c r="J1412" s="19">
        <f t="shared" si="22"/>
        <v>0</v>
      </c>
    </row>
    <row r="1413" spans="1:10" x14ac:dyDescent="0.35">
      <c r="A1413" s="4" t="s">
        <v>5433</v>
      </c>
      <c r="B1413" s="7" t="s">
        <v>2588</v>
      </c>
      <c r="C1413" s="7" t="s">
        <v>3448</v>
      </c>
      <c r="D1413" s="5">
        <v>10</v>
      </c>
      <c r="E1413" s="7" t="str">
        <f>_xlfn.XLOOKUP(B1413,Customers!A1413:A2412,Customers!B1413:B2412,"Customer Not Found",0)</f>
        <v>Customer Not Found</v>
      </c>
      <c r="F1413" s="7" t="str">
        <f>_xlfn.XLOOKUP(Orders!B1413,Customers!A1413:A2412,Customers!C1413:C2412,"Country not Found",0)</f>
        <v>Country not Found</v>
      </c>
      <c r="G1413" s="7" t="str">
        <f>_xlfn.XLOOKUP(C1413,Products!A1413:A1912,Products!B1413:B1912,"Product Missing",0)</f>
        <v>Product Missing</v>
      </c>
      <c r="H1413" s="7" t="str">
        <f>_xlfn.XLOOKUP(C1413,Products!A1413:A1912,Products!C1413:C1912,"Category Missing",0)</f>
        <v>Category Missing</v>
      </c>
      <c r="I1413" s="11" t="str">
        <f>_xlfn.XLOOKUP(Orders!C1413,Products!A1413:A1912,Products!D1413:D1912,"Price Missing",0)</f>
        <v>Price Missing</v>
      </c>
      <c r="J1413" s="19">
        <f t="shared" si="22"/>
        <v>0</v>
      </c>
    </row>
    <row r="1414" spans="1:10" x14ac:dyDescent="0.35">
      <c r="A1414" s="4" t="s">
        <v>5434</v>
      </c>
      <c r="B1414" s="7" t="s">
        <v>2432</v>
      </c>
      <c r="C1414" s="7" t="s">
        <v>3844</v>
      </c>
      <c r="D1414" s="5">
        <v>8</v>
      </c>
      <c r="E1414" s="7" t="str">
        <f>_xlfn.XLOOKUP(B1414,Customers!A1414:A2413,Customers!B1414:B2413,"Customer Not Found",0)</f>
        <v>Customer Not Found</v>
      </c>
      <c r="F1414" s="7" t="str">
        <f>_xlfn.XLOOKUP(Orders!B1414,Customers!A1414:A2413,Customers!C1414:C2413,"Country not Found",0)</f>
        <v>Country not Found</v>
      </c>
      <c r="G1414" s="7" t="str">
        <f>_xlfn.XLOOKUP(C1414,Products!A1414:A1913,Products!B1414:B1913,"Product Missing",0)</f>
        <v>Product Missing</v>
      </c>
      <c r="H1414" s="7" t="str">
        <f>_xlfn.XLOOKUP(C1414,Products!A1414:A1913,Products!C1414:C1913,"Category Missing",0)</f>
        <v>Category Missing</v>
      </c>
      <c r="I1414" s="11" t="str">
        <f>_xlfn.XLOOKUP(Orders!C1414,Products!A1414:A1913,Products!D1414:D1913,"Price Missing",0)</f>
        <v>Price Missing</v>
      </c>
      <c r="J1414" s="19">
        <f t="shared" si="22"/>
        <v>0</v>
      </c>
    </row>
    <row r="1415" spans="1:10" x14ac:dyDescent="0.35">
      <c r="A1415" s="4" t="s">
        <v>5435</v>
      </c>
      <c r="B1415" s="7" t="s">
        <v>2399</v>
      </c>
      <c r="C1415" s="7" t="s">
        <v>3340</v>
      </c>
      <c r="D1415" s="5">
        <v>5</v>
      </c>
      <c r="E1415" s="7" t="str">
        <f>_xlfn.XLOOKUP(B1415,Customers!A1415:A2414,Customers!B1415:B2414,"Customer Not Found",0)</f>
        <v>Customer Not Found</v>
      </c>
      <c r="F1415" s="7" t="str">
        <f>_xlfn.XLOOKUP(Orders!B1415,Customers!A1415:A2414,Customers!C1415:C2414,"Country not Found",0)</f>
        <v>Country not Found</v>
      </c>
      <c r="G1415" s="7" t="str">
        <f>_xlfn.XLOOKUP(C1415,Products!A1415:A1914,Products!B1415:B1914,"Product Missing",0)</f>
        <v>Product Missing</v>
      </c>
      <c r="H1415" s="7" t="str">
        <f>_xlfn.XLOOKUP(C1415,Products!A1415:A1914,Products!C1415:C1914,"Category Missing",0)</f>
        <v>Category Missing</v>
      </c>
      <c r="I1415" s="11" t="str">
        <f>_xlfn.XLOOKUP(Orders!C1415,Products!A1415:A1914,Products!D1415:D1914,"Price Missing",0)</f>
        <v>Price Missing</v>
      </c>
      <c r="J1415" s="19">
        <f t="shared" si="22"/>
        <v>0</v>
      </c>
    </row>
    <row r="1416" spans="1:10" x14ac:dyDescent="0.35">
      <c r="A1416" s="4" t="s">
        <v>5436</v>
      </c>
      <c r="B1416" s="7" t="s">
        <v>2051</v>
      </c>
      <c r="C1416" s="7" t="s">
        <v>3342</v>
      </c>
      <c r="D1416" s="5">
        <v>3</v>
      </c>
      <c r="E1416" s="7" t="str">
        <f>_xlfn.XLOOKUP(B1416,Customers!A1416:A2415,Customers!B1416:B2415,"Customer Not Found",0)</f>
        <v>Customer Not Found</v>
      </c>
      <c r="F1416" s="7" t="str">
        <f>_xlfn.XLOOKUP(Orders!B1416,Customers!A1416:A2415,Customers!C1416:C2415,"Country not Found",0)</f>
        <v>Country not Found</v>
      </c>
      <c r="G1416" s="7" t="str">
        <f>_xlfn.XLOOKUP(C1416,Products!A1416:A1915,Products!B1416:B1915,"Product Missing",0)</f>
        <v>Product Missing</v>
      </c>
      <c r="H1416" s="7" t="str">
        <f>_xlfn.XLOOKUP(C1416,Products!A1416:A1915,Products!C1416:C1915,"Category Missing",0)</f>
        <v>Category Missing</v>
      </c>
      <c r="I1416" s="11" t="str">
        <f>_xlfn.XLOOKUP(Orders!C1416,Products!A1416:A1915,Products!D1416:D1915,"Price Missing",0)</f>
        <v>Price Missing</v>
      </c>
      <c r="J1416" s="19">
        <f t="shared" si="22"/>
        <v>0</v>
      </c>
    </row>
    <row r="1417" spans="1:10" x14ac:dyDescent="0.35">
      <c r="A1417" s="4" t="s">
        <v>5437</v>
      </c>
      <c r="B1417" s="7" t="s">
        <v>1211</v>
      </c>
      <c r="C1417" s="7" t="s">
        <v>3644</v>
      </c>
      <c r="D1417" s="5">
        <v>5</v>
      </c>
      <c r="E1417" s="7" t="str">
        <f>_xlfn.XLOOKUP(B1417,Customers!A1417:A2416,Customers!B1417:B2416,"Customer Not Found",0)</f>
        <v>Customer Not Found</v>
      </c>
      <c r="F1417" s="7" t="str">
        <f>_xlfn.XLOOKUP(Orders!B1417,Customers!A1417:A2416,Customers!C1417:C2416,"Country not Found",0)</f>
        <v>Country not Found</v>
      </c>
      <c r="G1417" s="7" t="str">
        <f>_xlfn.XLOOKUP(C1417,Products!A1417:A1916,Products!B1417:B1916,"Product Missing",0)</f>
        <v>Product Missing</v>
      </c>
      <c r="H1417" s="7" t="str">
        <f>_xlfn.XLOOKUP(C1417,Products!A1417:A1916,Products!C1417:C1916,"Category Missing",0)</f>
        <v>Category Missing</v>
      </c>
      <c r="I1417" s="11" t="str">
        <f>_xlfn.XLOOKUP(Orders!C1417,Products!A1417:A1916,Products!D1417:D1916,"Price Missing",0)</f>
        <v>Price Missing</v>
      </c>
      <c r="J1417" s="19">
        <f t="shared" si="22"/>
        <v>0</v>
      </c>
    </row>
    <row r="1418" spans="1:10" x14ac:dyDescent="0.35">
      <c r="A1418" s="4" t="s">
        <v>5438</v>
      </c>
      <c r="B1418" s="7" t="s">
        <v>2924</v>
      </c>
      <c r="C1418" s="7" t="s">
        <v>3196</v>
      </c>
      <c r="D1418" s="5">
        <v>3</v>
      </c>
      <c r="E1418" s="7" t="str">
        <f>_xlfn.XLOOKUP(B1418,Customers!A1418:A2417,Customers!B1418:B2417,"Customer Not Found",0)</f>
        <v>Customer Not Found</v>
      </c>
      <c r="F1418" s="7" t="str">
        <f>_xlfn.XLOOKUP(Orders!B1418,Customers!A1418:A2417,Customers!C1418:C2417,"Country not Found",0)</f>
        <v>Country not Found</v>
      </c>
      <c r="G1418" s="7" t="str">
        <f>_xlfn.XLOOKUP(C1418,Products!A1418:A1917,Products!B1418:B1917,"Product Missing",0)</f>
        <v>Product Missing</v>
      </c>
      <c r="H1418" s="7" t="str">
        <f>_xlfn.XLOOKUP(C1418,Products!A1418:A1917,Products!C1418:C1917,"Category Missing",0)</f>
        <v>Category Missing</v>
      </c>
      <c r="I1418" s="11" t="str">
        <f>_xlfn.XLOOKUP(Orders!C1418,Products!A1418:A1917,Products!D1418:D1917,"Price Missing",0)</f>
        <v>Price Missing</v>
      </c>
      <c r="J1418" s="19">
        <f t="shared" si="22"/>
        <v>0</v>
      </c>
    </row>
    <row r="1419" spans="1:10" x14ac:dyDescent="0.35">
      <c r="A1419" s="4" t="s">
        <v>5439</v>
      </c>
      <c r="B1419" s="7" t="s">
        <v>764</v>
      </c>
      <c r="C1419" s="7" t="s">
        <v>3192</v>
      </c>
      <c r="D1419" s="5">
        <v>4</v>
      </c>
      <c r="E1419" s="7" t="str">
        <f>_xlfn.XLOOKUP(B1419,Customers!A1419:A2418,Customers!B1419:B2418,"Customer Not Found",0)</f>
        <v>Customer Not Found</v>
      </c>
      <c r="F1419" s="7" t="str">
        <f>_xlfn.XLOOKUP(Orders!B1419,Customers!A1419:A2418,Customers!C1419:C2418,"Country not Found",0)</f>
        <v>Country not Found</v>
      </c>
      <c r="G1419" s="7" t="str">
        <f>_xlfn.XLOOKUP(C1419,Products!A1419:A1918,Products!B1419:B1918,"Product Missing",0)</f>
        <v>Product Missing</v>
      </c>
      <c r="H1419" s="7" t="str">
        <f>_xlfn.XLOOKUP(C1419,Products!A1419:A1918,Products!C1419:C1918,"Category Missing",0)</f>
        <v>Category Missing</v>
      </c>
      <c r="I1419" s="11" t="str">
        <f>_xlfn.XLOOKUP(Orders!C1419,Products!A1419:A1918,Products!D1419:D1918,"Price Missing",0)</f>
        <v>Price Missing</v>
      </c>
      <c r="J1419" s="19">
        <f t="shared" si="22"/>
        <v>0</v>
      </c>
    </row>
    <row r="1420" spans="1:10" x14ac:dyDescent="0.35">
      <c r="A1420" s="4" t="s">
        <v>5440</v>
      </c>
      <c r="B1420" s="7" t="s">
        <v>1994</v>
      </c>
      <c r="C1420" s="7" t="s">
        <v>3390</v>
      </c>
      <c r="D1420" s="5">
        <v>6</v>
      </c>
      <c r="E1420" s="7" t="str">
        <f>_xlfn.XLOOKUP(B1420,Customers!A1420:A2419,Customers!B1420:B2419,"Customer Not Found",0)</f>
        <v>Customer Not Found</v>
      </c>
      <c r="F1420" s="7" t="str">
        <f>_xlfn.XLOOKUP(Orders!B1420,Customers!A1420:A2419,Customers!C1420:C2419,"Country not Found",0)</f>
        <v>Country not Found</v>
      </c>
      <c r="G1420" s="7" t="str">
        <f>_xlfn.XLOOKUP(C1420,Products!A1420:A1919,Products!B1420:B1919,"Product Missing",0)</f>
        <v>Product Missing</v>
      </c>
      <c r="H1420" s="7" t="str">
        <f>_xlfn.XLOOKUP(C1420,Products!A1420:A1919,Products!C1420:C1919,"Category Missing",0)</f>
        <v>Category Missing</v>
      </c>
      <c r="I1420" s="11" t="str">
        <f>_xlfn.XLOOKUP(Orders!C1420,Products!A1420:A1919,Products!D1420:D1919,"Price Missing",0)</f>
        <v>Price Missing</v>
      </c>
      <c r="J1420" s="19">
        <f t="shared" si="22"/>
        <v>0</v>
      </c>
    </row>
    <row r="1421" spans="1:10" x14ac:dyDescent="0.35">
      <c r="A1421" s="4" t="s">
        <v>5441</v>
      </c>
      <c r="B1421" s="7" t="s">
        <v>2585</v>
      </c>
      <c r="C1421" s="7" t="s">
        <v>3172</v>
      </c>
      <c r="D1421" s="5">
        <v>6</v>
      </c>
      <c r="E1421" s="7" t="str">
        <f>_xlfn.XLOOKUP(B1421,Customers!A1421:A2420,Customers!B1421:B2420,"Customer Not Found",0)</f>
        <v>Customer Not Found</v>
      </c>
      <c r="F1421" s="7" t="str">
        <f>_xlfn.XLOOKUP(Orders!B1421,Customers!A1421:A2420,Customers!C1421:C2420,"Country not Found",0)</f>
        <v>Country not Found</v>
      </c>
      <c r="G1421" s="7" t="str">
        <f>_xlfn.XLOOKUP(C1421,Products!A1421:A1920,Products!B1421:B1920,"Product Missing",0)</f>
        <v>Product Missing</v>
      </c>
      <c r="H1421" s="7" t="str">
        <f>_xlfn.XLOOKUP(C1421,Products!A1421:A1920,Products!C1421:C1920,"Category Missing",0)</f>
        <v>Category Missing</v>
      </c>
      <c r="I1421" s="11" t="str">
        <f>_xlfn.XLOOKUP(Orders!C1421,Products!A1421:A1920,Products!D1421:D1920,"Price Missing",0)</f>
        <v>Price Missing</v>
      </c>
      <c r="J1421" s="19">
        <f t="shared" si="22"/>
        <v>0</v>
      </c>
    </row>
    <row r="1422" spans="1:10" x14ac:dyDescent="0.35">
      <c r="A1422" s="4" t="s">
        <v>5442</v>
      </c>
      <c r="B1422" s="7" t="s">
        <v>1628</v>
      </c>
      <c r="C1422" s="7" t="s">
        <v>3530</v>
      </c>
      <c r="D1422" s="5">
        <v>5</v>
      </c>
      <c r="E1422" s="7" t="str">
        <f>_xlfn.XLOOKUP(B1422,Customers!A1422:A2421,Customers!B1422:B2421,"Customer Not Found",0)</f>
        <v>Customer Not Found</v>
      </c>
      <c r="F1422" s="7" t="str">
        <f>_xlfn.XLOOKUP(Orders!B1422,Customers!A1422:A2421,Customers!C1422:C2421,"Country not Found",0)</f>
        <v>Country not Found</v>
      </c>
      <c r="G1422" s="7" t="str">
        <f>_xlfn.XLOOKUP(C1422,Products!A1422:A1921,Products!B1422:B1921,"Product Missing",0)</f>
        <v>Product Missing</v>
      </c>
      <c r="H1422" s="7" t="str">
        <f>_xlfn.XLOOKUP(C1422,Products!A1422:A1921,Products!C1422:C1921,"Category Missing",0)</f>
        <v>Category Missing</v>
      </c>
      <c r="I1422" s="11" t="str">
        <f>_xlfn.XLOOKUP(Orders!C1422,Products!A1422:A1921,Products!D1422:D1921,"Price Missing",0)</f>
        <v>Price Missing</v>
      </c>
      <c r="J1422" s="19">
        <f t="shared" si="22"/>
        <v>0</v>
      </c>
    </row>
    <row r="1423" spans="1:10" x14ac:dyDescent="0.35">
      <c r="A1423" s="4" t="s">
        <v>5443</v>
      </c>
      <c r="B1423" s="7" t="s">
        <v>95</v>
      </c>
      <c r="C1423" s="7" t="s">
        <v>3076</v>
      </c>
      <c r="D1423" s="5">
        <v>8</v>
      </c>
      <c r="E1423" s="7" t="str">
        <f>_xlfn.XLOOKUP(B1423,Customers!A1423:A2422,Customers!B1423:B2422,"Customer Not Found",0)</f>
        <v>Customer Not Found</v>
      </c>
      <c r="F1423" s="7" t="str">
        <f>_xlfn.XLOOKUP(Orders!B1423,Customers!A1423:A2422,Customers!C1423:C2422,"Country not Found",0)</f>
        <v>Country not Found</v>
      </c>
      <c r="G1423" s="7" t="str">
        <f>_xlfn.XLOOKUP(C1423,Products!A1423:A1922,Products!B1423:B1922,"Product Missing",0)</f>
        <v>Product Missing</v>
      </c>
      <c r="H1423" s="7" t="str">
        <f>_xlfn.XLOOKUP(C1423,Products!A1423:A1922,Products!C1423:C1922,"Category Missing",0)</f>
        <v>Category Missing</v>
      </c>
      <c r="I1423" s="11" t="str">
        <f>_xlfn.XLOOKUP(Orders!C1423,Products!A1423:A1922,Products!D1423:D1922,"Price Missing",0)</f>
        <v>Price Missing</v>
      </c>
      <c r="J1423" s="19">
        <f t="shared" si="22"/>
        <v>0</v>
      </c>
    </row>
    <row r="1424" spans="1:10" x14ac:dyDescent="0.35">
      <c r="A1424" s="4" t="s">
        <v>5444</v>
      </c>
      <c r="B1424" s="7" t="s">
        <v>2639</v>
      </c>
      <c r="C1424" s="7" t="s">
        <v>3546</v>
      </c>
      <c r="D1424" s="5">
        <v>6</v>
      </c>
      <c r="E1424" s="7" t="str">
        <f>_xlfn.XLOOKUP(B1424,Customers!A1424:A2423,Customers!B1424:B2423,"Customer Not Found",0)</f>
        <v>Customer Not Found</v>
      </c>
      <c r="F1424" s="7" t="str">
        <f>_xlfn.XLOOKUP(Orders!B1424,Customers!A1424:A2423,Customers!C1424:C2423,"Country not Found",0)</f>
        <v>Country not Found</v>
      </c>
      <c r="G1424" s="7" t="str">
        <f>_xlfn.XLOOKUP(C1424,Products!A1424:A1923,Products!B1424:B1923,"Product Missing",0)</f>
        <v>Product Missing</v>
      </c>
      <c r="H1424" s="7" t="str">
        <f>_xlfn.XLOOKUP(C1424,Products!A1424:A1923,Products!C1424:C1923,"Category Missing",0)</f>
        <v>Category Missing</v>
      </c>
      <c r="I1424" s="11" t="str">
        <f>_xlfn.XLOOKUP(Orders!C1424,Products!A1424:A1923,Products!D1424:D1923,"Price Missing",0)</f>
        <v>Price Missing</v>
      </c>
      <c r="J1424" s="19">
        <f t="shared" si="22"/>
        <v>0</v>
      </c>
    </row>
    <row r="1425" spans="1:10" x14ac:dyDescent="0.35">
      <c r="A1425" s="4" t="s">
        <v>5445</v>
      </c>
      <c r="B1425" s="7" t="s">
        <v>821</v>
      </c>
      <c r="C1425" s="7" t="s">
        <v>3154</v>
      </c>
      <c r="D1425" s="5">
        <v>4</v>
      </c>
      <c r="E1425" s="7" t="str">
        <f>_xlfn.XLOOKUP(B1425,Customers!A1425:A2424,Customers!B1425:B2424,"Customer Not Found",0)</f>
        <v>Customer Not Found</v>
      </c>
      <c r="F1425" s="7" t="str">
        <f>_xlfn.XLOOKUP(Orders!B1425,Customers!A1425:A2424,Customers!C1425:C2424,"Country not Found",0)</f>
        <v>Country not Found</v>
      </c>
      <c r="G1425" s="7" t="str">
        <f>_xlfn.XLOOKUP(C1425,Products!A1425:A1924,Products!B1425:B1924,"Product Missing",0)</f>
        <v>Product Missing</v>
      </c>
      <c r="H1425" s="7" t="str">
        <f>_xlfn.XLOOKUP(C1425,Products!A1425:A1924,Products!C1425:C1924,"Category Missing",0)</f>
        <v>Category Missing</v>
      </c>
      <c r="I1425" s="11" t="str">
        <f>_xlfn.XLOOKUP(Orders!C1425,Products!A1425:A1924,Products!D1425:D1924,"Price Missing",0)</f>
        <v>Price Missing</v>
      </c>
      <c r="J1425" s="19">
        <f t="shared" si="22"/>
        <v>0</v>
      </c>
    </row>
    <row r="1426" spans="1:10" x14ac:dyDescent="0.35">
      <c r="A1426" s="4" t="s">
        <v>5446</v>
      </c>
      <c r="B1426" s="7" t="s">
        <v>1928</v>
      </c>
      <c r="C1426" s="7" t="s">
        <v>3856</v>
      </c>
      <c r="D1426" s="5">
        <v>9</v>
      </c>
      <c r="E1426" s="7" t="str">
        <f>_xlfn.XLOOKUP(B1426,Customers!A1426:A2425,Customers!B1426:B2425,"Customer Not Found",0)</f>
        <v>Customer Not Found</v>
      </c>
      <c r="F1426" s="7" t="str">
        <f>_xlfn.XLOOKUP(Orders!B1426,Customers!A1426:A2425,Customers!C1426:C2425,"Country not Found",0)</f>
        <v>Country not Found</v>
      </c>
      <c r="G1426" s="7" t="str">
        <f>_xlfn.XLOOKUP(C1426,Products!A1426:A1925,Products!B1426:B1925,"Product Missing",0)</f>
        <v>Product Missing</v>
      </c>
      <c r="H1426" s="7" t="str">
        <f>_xlfn.XLOOKUP(C1426,Products!A1426:A1925,Products!C1426:C1925,"Category Missing",0)</f>
        <v>Category Missing</v>
      </c>
      <c r="I1426" s="11" t="str">
        <f>_xlfn.XLOOKUP(Orders!C1426,Products!A1426:A1925,Products!D1426:D1925,"Price Missing",0)</f>
        <v>Price Missing</v>
      </c>
      <c r="J1426" s="19">
        <f t="shared" si="22"/>
        <v>0</v>
      </c>
    </row>
    <row r="1427" spans="1:10" x14ac:dyDescent="0.35">
      <c r="A1427" s="4" t="s">
        <v>5447</v>
      </c>
      <c r="B1427" s="7" t="s">
        <v>1811</v>
      </c>
      <c r="C1427" s="7" t="s">
        <v>3660</v>
      </c>
      <c r="D1427" s="5">
        <v>5</v>
      </c>
      <c r="E1427" s="7" t="str">
        <f>_xlfn.XLOOKUP(B1427,Customers!A1427:A2426,Customers!B1427:B2426,"Customer Not Found",0)</f>
        <v>Customer Not Found</v>
      </c>
      <c r="F1427" s="7" t="str">
        <f>_xlfn.XLOOKUP(Orders!B1427,Customers!A1427:A2426,Customers!C1427:C2426,"Country not Found",0)</f>
        <v>Country not Found</v>
      </c>
      <c r="G1427" s="7" t="str">
        <f>_xlfn.XLOOKUP(C1427,Products!A1427:A1926,Products!B1427:B1926,"Product Missing",0)</f>
        <v>Product Missing</v>
      </c>
      <c r="H1427" s="7" t="str">
        <f>_xlfn.XLOOKUP(C1427,Products!A1427:A1926,Products!C1427:C1926,"Category Missing",0)</f>
        <v>Category Missing</v>
      </c>
      <c r="I1427" s="11" t="str">
        <f>_xlfn.XLOOKUP(Orders!C1427,Products!A1427:A1926,Products!D1427:D1926,"Price Missing",0)</f>
        <v>Price Missing</v>
      </c>
      <c r="J1427" s="19">
        <f t="shared" si="22"/>
        <v>0</v>
      </c>
    </row>
    <row r="1428" spans="1:10" x14ac:dyDescent="0.35">
      <c r="A1428" s="4" t="s">
        <v>5448</v>
      </c>
      <c r="B1428" s="7" t="s">
        <v>572</v>
      </c>
      <c r="C1428" s="7" t="s">
        <v>3966</v>
      </c>
      <c r="D1428" s="5">
        <v>2</v>
      </c>
      <c r="E1428" s="7" t="str">
        <f>_xlfn.XLOOKUP(B1428,Customers!A1428:A2427,Customers!B1428:B2427,"Customer Not Found",0)</f>
        <v>Customer Not Found</v>
      </c>
      <c r="F1428" s="7" t="str">
        <f>_xlfn.XLOOKUP(Orders!B1428,Customers!A1428:A2427,Customers!C1428:C2427,"Country not Found",0)</f>
        <v>Country not Found</v>
      </c>
      <c r="G1428" s="7" t="str">
        <f>_xlfn.XLOOKUP(C1428,Products!A1428:A1927,Products!B1428:B1927,"Product Missing",0)</f>
        <v>Product Missing</v>
      </c>
      <c r="H1428" s="7" t="str">
        <f>_xlfn.XLOOKUP(C1428,Products!A1428:A1927,Products!C1428:C1927,"Category Missing",0)</f>
        <v>Category Missing</v>
      </c>
      <c r="I1428" s="11" t="str">
        <f>_xlfn.XLOOKUP(Orders!C1428,Products!A1428:A1927,Products!D1428:D1927,"Price Missing",0)</f>
        <v>Price Missing</v>
      </c>
      <c r="J1428" s="19">
        <f t="shared" si="22"/>
        <v>0</v>
      </c>
    </row>
    <row r="1429" spans="1:10" x14ac:dyDescent="0.35">
      <c r="A1429" s="4" t="s">
        <v>5449</v>
      </c>
      <c r="B1429" s="7" t="s">
        <v>2135</v>
      </c>
      <c r="C1429" s="7" t="s">
        <v>3530</v>
      </c>
      <c r="D1429" s="5">
        <v>8</v>
      </c>
      <c r="E1429" s="7" t="str">
        <f>_xlfn.XLOOKUP(B1429,Customers!A1429:A2428,Customers!B1429:B2428,"Customer Not Found",0)</f>
        <v>Customer Not Found</v>
      </c>
      <c r="F1429" s="7" t="str">
        <f>_xlfn.XLOOKUP(Orders!B1429,Customers!A1429:A2428,Customers!C1429:C2428,"Country not Found",0)</f>
        <v>Country not Found</v>
      </c>
      <c r="G1429" s="7" t="str">
        <f>_xlfn.XLOOKUP(C1429,Products!A1429:A1928,Products!B1429:B1928,"Product Missing",0)</f>
        <v>Product Missing</v>
      </c>
      <c r="H1429" s="7" t="str">
        <f>_xlfn.XLOOKUP(C1429,Products!A1429:A1928,Products!C1429:C1928,"Category Missing",0)</f>
        <v>Category Missing</v>
      </c>
      <c r="I1429" s="11" t="str">
        <f>_xlfn.XLOOKUP(Orders!C1429,Products!A1429:A1928,Products!D1429:D1928,"Price Missing",0)</f>
        <v>Price Missing</v>
      </c>
      <c r="J1429" s="19">
        <f t="shared" si="22"/>
        <v>0</v>
      </c>
    </row>
    <row r="1430" spans="1:10" x14ac:dyDescent="0.35">
      <c r="A1430" s="4" t="s">
        <v>5450</v>
      </c>
      <c r="B1430" s="7" t="s">
        <v>332</v>
      </c>
      <c r="C1430" s="7" t="s">
        <v>3440</v>
      </c>
      <c r="D1430" s="5">
        <v>3</v>
      </c>
      <c r="E1430" s="7" t="str">
        <f>_xlfn.XLOOKUP(B1430,Customers!A1430:A2429,Customers!B1430:B2429,"Customer Not Found",0)</f>
        <v>Customer Not Found</v>
      </c>
      <c r="F1430" s="7" t="str">
        <f>_xlfn.XLOOKUP(Orders!B1430,Customers!A1430:A2429,Customers!C1430:C2429,"Country not Found",0)</f>
        <v>Country not Found</v>
      </c>
      <c r="G1430" s="7" t="str">
        <f>_xlfn.XLOOKUP(C1430,Products!A1430:A1929,Products!B1430:B1929,"Product Missing",0)</f>
        <v>Product Missing</v>
      </c>
      <c r="H1430" s="7" t="str">
        <f>_xlfn.XLOOKUP(C1430,Products!A1430:A1929,Products!C1430:C1929,"Category Missing",0)</f>
        <v>Category Missing</v>
      </c>
      <c r="I1430" s="11" t="str">
        <f>_xlfn.XLOOKUP(Orders!C1430,Products!A1430:A1929,Products!D1430:D1929,"Price Missing",0)</f>
        <v>Price Missing</v>
      </c>
      <c r="J1430" s="19">
        <f t="shared" si="22"/>
        <v>0</v>
      </c>
    </row>
    <row r="1431" spans="1:10" x14ac:dyDescent="0.35">
      <c r="A1431" s="4" t="s">
        <v>5451</v>
      </c>
      <c r="B1431" s="7" t="s">
        <v>1796</v>
      </c>
      <c r="C1431" s="7" t="s">
        <v>3824</v>
      </c>
      <c r="D1431" s="5">
        <v>5</v>
      </c>
      <c r="E1431" s="7" t="str">
        <f>_xlfn.XLOOKUP(B1431,Customers!A1431:A2430,Customers!B1431:B2430,"Customer Not Found",0)</f>
        <v>Customer Not Found</v>
      </c>
      <c r="F1431" s="7" t="str">
        <f>_xlfn.XLOOKUP(Orders!B1431,Customers!A1431:A2430,Customers!C1431:C2430,"Country not Found",0)</f>
        <v>Country not Found</v>
      </c>
      <c r="G1431" s="7" t="str">
        <f>_xlfn.XLOOKUP(C1431,Products!A1431:A1930,Products!B1431:B1930,"Product Missing",0)</f>
        <v>Product Missing</v>
      </c>
      <c r="H1431" s="7" t="str">
        <f>_xlfn.XLOOKUP(C1431,Products!A1431:A1930,Products!C1431:C1930,"Category Missing",0)</f>
        <v>Category Missing</v>
      </c>
      <c r="I1431" s="11" t="str">
        <f>_xlfn.XLOOKUP(Orders!C1431,Products!A1431:A1930,Products!D1431:D1930,"Price Missing",0)</f>
        <v>Price Missing</v>
      </c>
      <c r="J1431" s="19">
        <f t="shared" si="22"/>
        <v>0</v>
      </c>
    </row>
    <row r="1432" spans="1:10" x14ac:dyDescent="0.35">
      <c r="A1432" s="4" t="s">
        <v>5452</v>
      </c>
      <c r="B1432" s="7" t="s">
        <v>1994</v>
      </c>
      <c r="C1432" s="7" t="s">
        <v>3582</v>
      </c>
      <c r="D1432" s="5">
        <v>3</v>
      </c>
      <c r="E1432" s="7" t="str">
        <f>_xlfn.XLOOKUP(B1432,Customers!A1432:A2431,Customers!B1432:B2431,"Customer Not Found",0)</f>
        <v>Customer Not Found</v>
      </c>
      <c r="F1432" s="7" t="str">
        <f>_xlfn.XLOOKUP(Orders!B1432,Customers!A1432:A2431,Customers!C1432:C2431,"Country not Found",0)</f>
        <v>Country not Found</v>
      </c>
      <c r="G1432" s="7" t="str">
        <f>_xlfn.XLOOKUP(C1432,Products!A1432:A1931,Products!B1432:B1931,"Product Missing",0)</f>
        <v>Product Missing</v>
      </c>
      <c r="H1432" s="7" t="str">
        <f>_xlfn.XLOOKUP(C1432,Products!A1432:A1931,Products!C1432:C1931,"Category Missing",0)</f>
        <v>Category Missing</v>
      </c>
      <c r="I1432" s="11" t="str">
        <f>_xlfn.XLOOKUP(Orders!C1432,Products!A1432:A1931,Products!D1432:D1931,"Price Missing",0)</f>
        <v>Price Missing</v>
      </c>
      <c r="J1432" s="19">
        <f t="shared" si="22"/>
        <v>0</v>
      </c>
    </row>
    <row r="1433" spans="1:10" x14ac:dyDescent="0.35">
      <c r="A1433" s="4" t="s">
        <v>5453</v>
      </c>
      <c r="B1433" s="7" t="s">
        <v>1991</v>
      </c>
      <c r="C1433" s="7" t="s">
        <v>3336</v>
      </c>
      <c r="D1433" s="5">
        <v>8</v>
      </c>
      <c r="E1433" s="7" t="str">
        <f>_xlfn.XLOOKUP(B1433,Customers!A1433:A2432,Customers!B1433:B2432,"Customer Not Found",0)</f>
        <v>Customer Not Found</v>
      </c>
      <c r="F1433" s="7" t="str">
        <f>_xlfn.XLOOKUP(Orders!B1433,Customers!A1433:A2432,Customers!C1433:C2432,"Country not Found",0)</f>
        <v>Country not Found</v>
      </c>
      <c r="G1433" s="7" t="str">
        <f>_xlfn.XLOOKUP(C1433,Products!A1433:A1932,Products!B1433:B1932,"Product Missing",0)</f>
        <v>Product Missing</v>
      </c>
      <c r="H1433" s="7" t="str">
        <f>_xlfn.XLOOKUP(C1433,Products!A1433:A1932,Products!C1433:C1932,"Category Missing",0)</f>
        <v>Category Missing</v>
      </c>
      <c r="I1433" s="11" t="str">
        <f>_xlfn.XLOOKUP(Orders!C1433,Products!A1433:A1932,Products!D1433:D1932,"Price Missing",0)</f>
        <v>Price Missing</v>
      </c>
      <c r="J1433" s="19">
        <f t="shared" si="22"/>
        <v>0</v>
      </c>
    </row>
    <row r="1434" spans="1:10" x14ac:dyDescent="0.35">
      <c r="A1434" s="4" t="s">
        <v>5454</v>
      </c>
      <c r="B1434" s="7" t="s">
        <v>2330</v>
      </c>
      <c r="C1434" s="7" t="s">
        <v>3832</v>
      </c>
      <c r="D1434" s="5">
        <v>3</v>
      </c>
      <c r="E1434" s="7" t="str">
        <f>_xlfn.XLOOKUP(B1434,Customers!A1434:A2433,Customers!B1434:B2433,"Customer Not Found",0)</f>
        <v>Customer Not Found</v>
      </c>
      <c r="F1434" s="7" t="str">
        <f>_xlfn.XLOOKUP(Orders!B1434,Customers!A1434:A2433,Customers!C1434:C2433,"Country not Found",0)</f>
        <v>Country not Found</v>
      </c>
      <c r="G1434" s="7" t="str">
        <f>_xlfn.XLOOKUP(C1434,Products!A1434:A1933,Products!B1434:B1933,"Product Missing",0)</f>
        <v>Product Missing</v>
      </c>
      <c r="H1434" s="7" t="str">
        <f>_xlfn.XLOOKUP(C1434,Products!A1434:A1933,Products!C1434:C1933,"Category Missing",0)</f>
        <v>Category Missing</v>
      </c>
      <c r="I1434" s="11" t="str">
        <f>_xlfn.XLOOKUP(Orders!C1434,Products!A1434:A1933,Products!D1434:D1933,"Price Missing",0)</f>
        <v>Price Missing</v>
      </c>
      <c r="J1434" s="19">
        <f t="shared" si="22"/>
        <v>0</v>
      </c>
    </row>
    <row r="1435" spans="1:10" x14ac:dyDescent="0.35">
      <c r="A1435" s="4" t="s">
        <v>5455</v>
      </c>
      <c r="B1435" s="7" t="s">
        <v>1568</v>
      </c>
      <c r="C1435" s="7" t="s">
        <v>3874</v>
      </c>
      <c r="D1435" s="5">
        <v>6</v>
      </c>
      <c r="E1435" s="7" t="str">
        <f>_xlfn.XLOOKUP(B1435,Customers!A1435:A2434,Customers!B1435:B2434,"Customer Not Found",0)</f>
        <v>Customer Not Found</v>
      </c>
      <c r="F1435" s="7" t="str">
        <f>_xlfn.XLOOKUP(Orders!B1435,Customers!A1435:A2434,Customers!C1435:C2434,"Country not Found",0)</f>
        <v>Country not Found</v>
      </c>
      <c r="G1435" s="7" t="str">
        <f>_xlfn.XLOOKUP(C1435,Products!A1435:A1934,Products!B1435:B1934,"Product Missing",0)</f>
        <v>Product Missing</v>
      </c>
      <c r="H1435" s="7" t="str">
        <f>_xlfn.XLOOKUP(C1435,Products!A1435:A1934,Products!C1435:C1934,"Category Missing",0)</f>
        <v>Category Missing</v>
      </c>
      <c r="I1435" s="11" t="str">
        <f>_xlfn.XLOOKUP(Orders!C1435,Products!A1435:A1934,Products!D1435:D1934,"Price Missing",0)</f>
        <v>Price Missing</v>
      </c>
      <c r="J1435" s="19">
        <f t="shared" si="22"/>
        <v>0</v>
      </c>
    </row>
    <row r="1436" spans="1:10" x14ac:dyDescent="0.35">
      <c r="A1436" s="4" t="s">
        <v>5456</v>
      </c>
      <c r="B1436" s="7" t="s">
        <v>1553</v>
      </c>
      <c r="C1436" s="7" t="s">
        <v>3472</v>
      </c>
      <c r="D1436" s="5">
        <v>4</v>
      </c>
      <c r="E1436" s="7" t="str">
        <f>_xlfn.XLOOKUP(B1436,Customers!A1436:A2435,Customers!B1436:B2435,"Customer Not Found",0)</f>
        <v>Customer Not Found</v>
      </c>
      <c r="F1436" s="7" t="str">
        <f>_xlfn.XLOOKUP(Orders!B1436,Customers!A1436:A2435,Customers!C1436:C2435,"Country not Found",0)</f>
        <v>Country not Found</v>
      </c>
      <c r="G1436" s="7" t="str">
        <f>_xlfn.XLOOKUP(C1436,Products!A1436:A1935,Products!B1436:B1935,"Product Missing",0)</f>
        <v>Product Missing</v>
      </c>
      <c r="H1436" s="7" t="str">
        <f>_xlfn.XLOOKUP(C1436,Products!A1436:A1935,Products!C1436:C1935,"Category Missing",0)</f>
        <v>Category Missing</v>
      </c>
      <c r="I1436" s="11" t="str">
        <f>_xlfn.XLOOKUP(Orders!C1436,Products!A1436:A1935,Products!D1436:D1935,"Price Missing",0)</f>
        <v>Price Missing</v>
      </c>
      <c r="J1436" s="19">
        <f t="shared" si="22"/>
        <v>0</v>
      </c>
    </row>
    <row r="1437" spans="1:10" x14ac:dyDescent="0.35">
      <c r="A1437" s="4" t="s">
        <v>5457</v>
      </c>
      <c r="B1437" s="7" t="s">
        <v>1544</v>
      </c>
      <c r="C1437" s="7" t="s">
        <v>3812</v>
      </c>
      <c r="D1437" s="5">
        <v>3</v>
      </c>
      <c r="E1437" s="7" t="str">
        <f>_xlfn.XLOOKUP(B1437,Customers!A1437:A2436,Customers!B1437:B2436,"Customer Not Found",0)</f>
        <v>Customer Not Found</v>
      </c>
      <c r="F1437" s="7" t="str">
        <f>_xlfn.XLOOKUP(Orders!B1437,Customers!A1437:A2436,Customers!C1437:C2436,"Country not Found",0)</f>
        <v>Country not Found</v>
      </c>
      <c r="G1437" s="7" t="str">
        <f>_xlfn.XLOOKUP(C1437,Products!A1437:A1936,Products!B1437:B1936,"Product Missing",0)</f>
        <v>Product Missing</v>
      </c>
      <c r="H1437" s="7" t="str">
        <f>_xlfn.XLOOKUP(C1437,Products!A1437:A1936,Products!C1437:C1936,"Category Missing",0)</f>
        <v>Category Missing</v>
      </c>
      <c r="I1437" s="11" t="str">
        <f>_xlfn.XLOOKUP(Orders!C1437,Products!A1437:A1936,Products!D1437:D1936,"Price Missing",0)</f>
        <v>Price Missing</v>
      </c>
      <c r="J1437" s="19">
        <f t="shared" si="22"/>
        <v>0</v>
      </c>
    </row>
    <row r="1438" spans="1:10" x14ac:dyDescent="0.35">
      <c r="A1438" s="4" t="s">
        <v>5458</v>
      </c>
      <c r="B1438" s="7" t="s">
        <v>2072</v>
      </c>
      <c r="C1438" s="7" t="s">
        <v>3680</v>
      </c>
      <c r="D1438" s="5">
        <v>2</v>
      </c>
      <c r="E1438" s="7" t="str">
        <f>_xlfn.XLOOKUP(B1438,Customers!A1438:A2437,Customers!B1438:B2437,"Customer Not Found",0)</f>
        <v>Customer Not Found</v>
      </c>
      <c r="F1438" s="7" t="str">
        <f>_xlfn.XLOOKUP(Orders!B1438,Customers!A1438:A2437,Customers!C1438:C2437,"Country not Found",0)</f>
        <v>Country not Found</v>
      </c>
      <c r="G1438" s="7" t="str">
        <f>_xlfn.XLOOKUP(C1438,Products!A1438:A1937,Products!B1438:B1937,"Product Missing",0)</f>
        <v>Product Missing</v>
      </c>
      <c r="H1438" s="7" t="str">
        <f>_xlfn.XLOOKUP(C1438,Products!A1438:A1937,Products!C1438:C1937,"Category Missing",0)</f>
        <v>Category Missing</v>
      </c>
      <c r="I1438" s="11" t="str">
        <f>_xlfn.XLOOKUP(Orders!C1438,Products!A1438:A1937,Products!D1438:D1937,"Price Missing",0)</f>
        <v>Price Missing</v>
      </c>
      <c r="J1438" s="19">
        <f t="shared" si="22"/>
        <v>0</v>
      </c>
    </row>
    <row r="1439" spans="1:10" x14ac:dyDescent="0.35">
      <c r="A1439" s="4" t="s">
        <v>5459</v>
      </c>
      <c r="B1439" s="7" t="s">
        <v>824</v>
      </c>
      <c r="C1439" s="7" t="s">
        <v>3820</v>
      </c>
      <c r="D1439" s="5">
        <v>4</v>
      </c>
      <c r="E1439" s="7" t="str">
        <f>_xlfn.XLOOKUP(B1439,Customers!A1439:A2438,Customers!B1439:B2438,"Customer Not Found",0)</f>
        <v>Customer Not Found</v>
      </c>
      <c r="F1439" s="7" t="str">
        <f>_xlfn.XLOOKUP(Orders!B1439,Customers!A1439:A2438,Customers!C1439:C2438,"Country not Found",0)</f>
        <v>Country not Found</v>
      </c>
      <c r="G1439" s="7" t="str">
        <f>_xlfn.XLOOKUP(C1439,Products!A1439:A1938,Products!B1439:B1938,"Product Missing",0)</f>
        <v>Product Missing</v>
      </c>
      <c r="H1439" s="7" t="str">
        <f>_xlfn.XLOOKUP(C1439,Products!A1439:A1938,Products!C1439:C1938,"Category Missing",0)</f>
        <v>Category Missing</v>
      </c>
      <c r="I1439" s="11" t="str">
        <f>_xlfn.XLOOKUP(Orders!C1439,Products!A1439:A1938,Products!D1439:D1938,"Price Missing",0)</f>
        <v>Price Missing</v>
      </c>
      <c r="J1439" s="19">
        <f t="shared" si="22"/>
        <v>0</v>
      </c>
    </row>
    <row r="1440" spans="1:10" x14ac:dyDescent="0.35">
      <c r="A1440" s="4" t="s">
        <v>5460</v>
      </c>
      <c r="B1440" s="7" t="s">
        <v>347</v>
      </c>
      <c r="C1440" s="7" t="s">
        <v>3156</v>
      </c>
      <c r="D1440" s="5">
        <v>7</v>
      </c>
      <c r="E1440" s="7" t="str">
        <f>_xlfn.XLOOKUP(B1440,Customers!A1440:A2439,Customers!B1440:B2439,"Customer Not Found",0)</f>
        <v>Customer Not Found</v>
      </c>
      <c r="F1440" s="7" t="str">
        <f>_xlfn.XLOOKUP(Orders!B1440,Customers!A1440:A2439,Customers!C1440:C2439,"Country not Found",0)</f>
        <v>Country not Found</v>
      </c>
      <c r="G1440" s="7" t="str">
        <f>_xlfn.XLOOKUP(C1440,Products!A1440:A1939,Products!B1440:B1939,"Product Missing",0)</f>
        <v>Product Missing</v>
      </c>
      <c r="H1440" s="7" t="str">
        <f>_xlfn.XLOOKUP(C1440,Products!A1440:A1939,Products!C1440:C1939,"Category Missing",0)</f>
        <v>Category Missing</v>
      </c>
      <c r="I1440" s="11" t="str">
        <f>_xlfn.XLOOKUP(Orders!C1440,Products!A1440:A1939,Products!D1440:D1939,"Price Missing",0)</f>
        <v>Price Missing</v>
      </c>
      <c r="J1440" s="19">
        <f t="shared" si="22"/>
        <v>0</v>
      </c>
    </row>
    <row r="1441" spans="1:10" x14ac:dyDescent="0.35">
      <c r="A1441" s="4" t="s">
        <v>5461</v>
      </c>
      <c r="B1441" s="7" t="s">
        <v>80</v>
      </c>
      <c r="C1441" s="7" t="s">
        <v>3496</v>
      </c>
      <c r="D1441" s="5">
        <v>4</v>
      </c>
      <c r="E1441" s="7" t="str">
        <f>_xlfn.XLOOKUP(B1441,Customers!A1441:A2440,Customers!B1441:B2440,"Customer Not Found",0)</f>
        <v>Customer Not Found</v>
      </c>
      <c r="F1441" s="7" t="str">
        <f>_xlfn.XLOOKUP(Orders!B1441,Customers!A1441:A2440,Customers!C1441:C2440,"Country not Found",0)</f>
        <v>Country not Found</v>
      </c>
      <c r="G1441" s="7" t="str">
        <f>_xlfn.XLOOKUP(C1441,Products!A1441:A1940,Products!B1441:B1940,"Product Missing",0)</f>
        <v>Product Missing</v>
      </c>
      <c r="H1441" s="7" t="str">
        <f>_xlfn.XLOOKUP(C1441,Products!A1441:A1940,Products!C1441:C1940,"Category Missing",0)</f>
        <v>Category Missing</v>
      </c>
      <c r="I1441" s="11" t="str">
        <f>_xlfn.XLOOKUP(Orders!C1441,Products!A1441:A1940,Products!D1441:D1940,"Price Missing",0)</f>
        <v>Price Missing</v>
      </c>
      <c r="J1441" s="19">
        <f t="shared" si="22"/>
        <v>0</v>
      </c>
    </row>
    <row r="1442" spans="1:10" x14ac:dyDescent="0.35">
      <c r="A1442" s="4" t="s">
        <v>5462</v>
      </c>
      <c r="B1442" s="7" t="s">
        <v>758</v>
      </c>
      <c r="C1442" s="7" t="s">
        <v>3858</v>
      </c>
      <c r="D1442" s="5">
        <v>7</v>
      </c>
      <c r="E1442" s="7" t="str">
        <f>_xlfn.XLOOKUP(B1442,Customers!A1442:A2441,Customers!B1442:B2441,"Customer Not Found",0)</f>
        <v>Customer Not Found</v>
      </c>
      <c r="F1442" s="7" t="str">
        <f>_xlfn.XLOOKUP(Orders!B1442,Customers!A1442:A2441,Customers!C1442:C2441,"Country not Found",0)</f>
        <v>Country not Found</v>
      </c>
      <c r="G1442" s="7" t="str">
        <f>_xlfn.XLOOKUP(C1442,Products!A1442:A1941,Products!B1442:B1941,"Product Missing",0)</f>
        <v>Product Missing</v>
      </c>
      <c r="H1442" s="7" t="str">
        <f>_xlfn.XLOOKUP(C1442,Products!A1442:A1941,Products!C1442:C1941,"Category Missing",0)</f>
        <v>Category Missing</v>
      </c>
      <c r="I1442" s="11" t="str">
        <f>_xlfn.XLOOKUP(Orders!C1442,Products!A1442:A1941,Products!D1442:D1941,"Price Missing",0)</f>
        <v>Price Missing</v>
      </c>
      <c r="J1442" s="19">
        <f t="shared" si="22"/>
        <v>0</v>
      </c>
    </row>
    <row r="1443" spans="1:10" x14ac:dyDescent="0.35">
      <c r="A1443" s="4" t="s">
        <v>5463</v>
      </c>
      <c r="B1443" s="7" t="s">
        <v>245</v>
      </c>
      <c r="C1443" s="7" t="s">
        <v>3418</v>
      </c>
      <c r="D1443" s="5">
        <v>10</v>
      </c>
      <c r="E1443" s="7" t="str">
        <f>_xlfn.XLOOKUP(B1443,Customers!A1443:A2442,Customers!B1443:B2442,"Customer Not Found",0)</f>
        <v>Customer Not Found</v>
      </c>
      <c r="F1443" s="7" t="str">
        <f>_xlfn.XLOOKUP(Orders!B1443,Customers!A1443:A2442,Customers!C1443:C2442,"Country not Found",0)</f>
        <v>Country not Found</v>
      </c>
      <c r="G1443" s="7" t="str">
        <f>_xlfn.XLOOKUP(C1443,Products!A1443:A1942,Products!B1443:B1942,"Product Missing",0)</f>
        <v>Product Missing</v>
      </c>
      <c r="H1443" s="7" t="str">
        <f>_xlfn.XLOOKUP(C1443,Products!A1443:A1942,Products!C1443:C1942,"Category Missing",0)</f>
        <v>Category Missing</v>
      </c>
      <c r="I1443" s="11" t="str">
        <f>_xlfn.XLOOKUP(Orders!C1443,Products!A1443:A1942,Products!D1443:D1942,"Price Missing",0)</f>
        <v>Price Missing</v>
      </c>
      <c r="J1443" s="19">
        <f t="shared" si="22"/>
        <v>0</v>
      </c>
    </row>
    <row r="1444" spans="1:10" x14ac:dyDescent="0.35">
      <c r="A1444" s="4" t="s">
        <v>5464</v>
      </c>
      <c r="B1444" s="7" t="s">
        <v>308</v>
      </c>
      <c r="C1444" s="7" t="s">
        <v>3200</v>
      </c>
      <c r="D1444" s="5">
        <v>7</v>
      </c>
      <c r="E1444" s="7" t="str">
        <f>_xlfn.XLOOKUP(B1444,Customers!A1444:A2443,Customers!B1444:B2443,"Customer Not Found",0)</f>
        <v>Customer Not Found</v>
      </c>
      <c r="F1444" s="7" t="str">
        <f>_xlfn.XLOOKUP(Orders!B1444,Customers!A1444:A2443,Customers!C1444:C2443,"Country not Found",0)</f>
        <v>Country not Found</v>
      </c>
      <c r="G1444" s="7" t="str">
        <f>_xlfn.XLOOKUP(C1444,Products!A1444:A1943,Products!B1444:B1943,"Product Missing",0)</f>
        <v>Product Missing</v>
      </c>
      <c r="H1444" s="7" t="str">
        <f>_xlfn.XLOOKUP(C1444,Products!A1444:A1943,Products!C1444:C1943,"Category Missing",0)</f>
        <v>Category Missing</v>
      </c>
      <c r="I1444" s="11" t="str">
        <f>_xlfn.XLOOKUP(Orders!C1444,Products!A1444:A1943,Products!D1444:D1943,"Price Missing",0)</f>
        <v>Price Missing</v>
      </c>
      <c r="J1444" s="19">
        <f t="shared" si="22"/>
        <v>0</v>
      </c>
    </row>
    <row r="1445" spans="1:10" x14ac:dyDescent="0.35">
      <c r="A1445" s="4" t="s">
        <v>5465</v>
      </c>
      <c r="B1445" s="7" t="s">
        <v>2621</v>
      </c>
      <c r="C1445" s="7" t="s">
        <v>3334</v>
      </c>
      <c r="D1445" s="5">
        <v>3</v>
      </c>
      <c r="E1445" s="7" t="str">
        <f>_xlfn.XLOOKUP(B1445,Customers!A1445:A2444,Customers!B1445:B2444,"Customer Not Found",0)</f>
        <v>Customer Not Found</v>
      </c>
      <c r="F1445" s="7" t="str">
        <f>_xlfn.XLOOKUP(Orders!B1445,Customers!A1445:A2444,Customers!C1445:C2444,"Country not Found",0)</f>
        <v>Country not Found</v>
      </c>
      <c r="G1445" s="7" t="str">
        <f>_xlfn.XLOOKUP(C1445,Products!A1445:A1944,Products!B1445:B1944,"Product Missing",0)</f>
        <v>Product Missing</v>
      </c>
      <c r="H1445" s="7" t="str">
        <f>_xlfn.XLOOKUP(C1445,Products!A1445:A1944,Products!C1445:C1944,"Category Missing",0)</f>
        <v>Category Missing</v>
      </c>
      <c r="I1445" s="11" t="str">
        <f>_xlfn.XLOOKUP(Orders!C1445,Products!A1445:A1944,Products!D1445:D1944,"Price Missing",0)</f>
        <v>Price Missing</v>
      </c>
      <c r="J1445" s="19">
        <f t="shared" si="22"/>
        <v>0</v>
      </c>
    </row>
    <row r="1446" spans="1:10" x14ac:dyDescent="0.35">
      <c r="A1446" s="4" t="s">
        <v>5466</v>
      </c>
      <c r="B1446" s="7" t="s">
        <v>2606</v>
      </c>
      <c r="C1446" s="7" t="s">
        <v>3386</v>
      </c>
      <c r="D1446" s="5">
        <v>4</v>
      </c>
      <c r="E1446" s="7" t="str">
        <f>_xlfn.XLOOKUP(B1446,Customers!A1446:A2445,Customers!B1446:B2445,"Customer Not Found",0)</f>
        <v>Customer Not Found</v>
      </c>
      <c r="F1446" s="7" t="str">
        <f>_xlfn.XLOOKUP(Orders!B1446,Customers!A1446:A2445,Customers!C1446:C2445,"Country not Found",0)</f>
        <v>Country not Found</v>
      </c>
      <c r="G1446" s="7" t="str">
        <f>_xlfn.XLOOKUP(C1446,Products!A1446:A1945,Products!B1446:B1945,"Product Missing",0)</f>
        <v>Product Missing</v>
      </c>
      <c r="H1446" s="7" t="str">
        <f>_xlfn.XLOOKUP(C1446,Products!A1446:A1945,Products!C1446:C1945,"Category Missing",0)</f>
        <v>Category Missing</v>
      </c>
      <c r="I1446" s="11" t="str">
        <f>_xlfn.XLOOKUP(Orders!C1446,Products!A1446:A1945,Products!D1446:D1945,"Price Missing",0)</f>
        <v>Price Missing</v>
      </c>
      <c r="J1446" s="19">
        <f t="shared" si="22"/>
        <v>0</v>
      </c>
    </row>
    <row r="1447" spans="1:10" x14ac:dyDescent="0.35">
      <c r="A1447" s="4" t="s">
        <v>5467</v>
      </c>
      <c r="B1447" s="7" t="s">
        <v>1874</v>
      </c>
      <c r="C1447" s="7" t="s">
        <v>3698</v>
      </c>
      <c r="D1447" s="5">
        <v>10</v>
      </c>
      <c r="E1447" s="7" t="str">
        <f>_xlfn.XLOOKUP(B1447,Customers!A1447:A2446,Customers!B1447:B2446,"Customer Not Found",0)</f>
        <v>Customer Not Found</v>
      </c>
      <c r="F1447" s="7" t="str">
        <f>_xlfn.XLOOKUP(Orders!B1447,Customers!A1447:A2446,Customers!C1447:C2446,"Country not Found",0)</f>
        <v>Country not Found</v>
      </c>
      <c r="G1447" s="7" t="str">
        <f>_xlfn.XLOOKUP(C1447,Products!A1447:A1946,Products!B1447:B1946,"Product Missing",0)</f>
        <v>Product Missing</v>
      </c>
      <c r="H1447" s="7" t="str">
        <f>_xlfn.XLOOKUP(C1447,Products!A1447:A1946,Products!C1447:C1946,"Category Missing",0)</f>
        <v>Category Missing</v>
      </c>
      <c r="I1447" s="11" t="str">
        <f>_xlfn.XLOOKUP(Orders!C1447,Products!A1447:A1946,Products!D1447:D1946,"Price Missing",0)</f>
        <v>Price Missing</v>
      </c>
      <c r="J1447" s="19">
        <f t="shared" si="22"/>
        <v>0</v>
      </c>
    </row>
    <row r="1448" spans="1:10" x14ac:dyDescent="0.35">
      <c r="A1448" s="4" t="s">
        <v>5468</v>
      </c>
      <c r="B1448" s="7" t="s">
        <v>332</v>
      </c>
      <c r="C1448" s="7" t="s">
        <v>3416</v>
      </c>
      <c r="D1448" s="5">
        <v>4</v>
      </c>
      <c r="E1448" s="7" t="str">
        <f>_xlfn.XLOOKUP(B1448,Customers!A1448:A2447,Customers!B1448:B2447,"Customer Not Found",0)</f>
        <v>Customer Not Found</v>
      </c>
      <c r="F1448" s="7" t="str">
        <f>_xlfn.XLOOKUP(Orders!B1448,Customers!A1448:A2447,Customers!C1448:C2447,"Country not Found",0)</f>
        <v>Country not Found</v>
      </c>
      <c r="G1448" s="7" t="str">
        <f>_xlfn.XLOOKUP(C1448,Products!A1448:A1947,Products!B1448:B1947,"Product Missing",0)</f>
        <v>Product Missing</v>
      </c>
      <c r="H1448" s="7" t="str">
        <f>_xlfn.XLOOKUP(C1448,Products!A1448:A1947,Products!C1448:C1947,"Category Missing",0)</f>
        <v>Category Missing</v>
      </c>
      <c r="I1448" s="11" t="str">
        <f>_xlfn.XLOOKUP(Orders!C1448,Products!A1448:A1947,Products!D1448:D1947,"Price Missing",0)</f>
        <v>Price Missing</v>
      </c>
      <c r="J1448" s="19">
        <f t="shared" si="22"/>
        <v>0</v>
      </c>
    </row>
    <row r="1449" spans="1:10" x14ac:dyDescent="0.35">
      <c r="A1449" s="4" t="s">
        <v>5469</v>
      </c>
      <c r="B1449" s="7" t="s">
        <v>2597</v>
      </c>
      <c r="C1449" s="7" t="s">
        <v>3294</v>
      </c>
      <c r="D1449" s="5">
        <v>2</v>
      </c>
      <c r="E1449" s="7" t="str">
        <f>_xlfn.XLOOKUP(B1449,Customers!A1449:A2448,Customers!B1449:B2448,"Customer Not Found",0)</f>
        <v>Customer Not Found</v>
      </c>
      <c r="F1449" s="7" t="str">
        <f>_xlfn.XLOOKUP(Orders!B1449,Customers!A1449:A2448,Customers!C1449:C2448,"Country not Found",0)</f>
        <v>Country not Found</v>
      </c>
      <c r="G1449" s="7" t="str">
        <f>_xlfn.XLOOKUP(C1449,Products!A1449:A1948,Products!B1449:B1948,"Product Missing",0)</f>
        <v>Product Missing</v>
      </c>
      <c r="H1449" s="7" t="str">
        <f>_xlfn.XLOOKUP(C1449,Products!A1449:A1948,Products!C1449:C1948,"Category Missing",0)</f>
        <v>Category Missing</v>
      </c>
      <c r="I1449" s="11" t="str">
        <f>_xlfn.XLOOKUP(Orders!C1449,Products!A1449:A1948,Products!D1449:D1948,"Price Missing",0)</f>
        <v>Price Missing</v>
      </c>
      <c r="J1449" s="19">
        <f t="shared" si="22"/>
        <v>0</v>
      </c>
    </row>
    <row r="1450" spans="1:10" x14ac:dyDescent="0.35">
      <c r="A1450" s="4" t="s">
        <v>5470</v>
      </c>
      <c r="B1450" s="7" t="s">
        <v>2954</v>
      </c>
      <c r="C1450" s="7" t="s">
        <v>3386</v>
      </c>
      <c r="D1450" s="5">
        <v>6</v>
      </c>
      <c r="E1450" s="7" t="str">
        <f>_xlfn.XLOOKUP(B1450,Customers!A1450:A2449,Customers!B1450:B2449,"Customer Not Found",0)</f>
        <v>Customer Not Found</v>
      </c>
      <c r="F1450" s="7" t="str">
        <f>_xlfn.XLOOKUP(Orders!B1450,Customers!A1450:A2449,Customers!C1450:C2449,"Country not Found",0)</f>
        <v>Country not Found</v>
      </c>
      <c r="G1450" s="7" t="str">
        <f>_xlfn.XLOOKUP(C1450,Products!A1450:A1949,Products!B1450:B1949,"Product Missing",0)</f>
        <v>Product Missing</v>
      </c>
      <c r="H1450" s="7" t="str">
        <f>_xlfn.XLOOKUP(C1450,Products!A1450:A1949,Products!C1450:C1949,"Category Missing",0)</f>
        <v>Category Missing</v>
      </c>
      <c r="I1450" s="11" t="str">
        <f>_xlfn.XLOOKUP(Orders!C1450,Products!A1450:A1949,Products!D1450:D1949,"Price Missing",0)</f>
        <v>Price Missing</v>
      </c>
      <c r="J1450" s="19">
        <f t="shared" si="22"/>
        <v>0</v>
      </c>
    </row>
    <row r="1451" spans="1:10" x14ac:dyDescent="0.35">
      <c r="A1451" s="4" t="s">
        <v>5471</v>
      </c>
      <c r="B1451" s="7" t="s">
        <v>158</v>
      </c>
      <c r="C1451" s="7" t="s">
        <v>3572</v>
      </c>
      <c r="D1451" s="5">
        <v>7</v>
      </c>
      <c r="E1451" s="7" t="str">
        <f>_xlfn.XLOOKUP(B1451,Customers!A1451:A2450,Customers!B1451:B2450,"Customer Not Found",0)</f>
        <v>Customer Not Found</v>
      </c>
      <c r="F1451" s="7" t="str">
        <f>_xlfn.XLOOKUP(Orders!B1451,Customers!A1451:A2450,Customers!C1451:C2450,"Country not Found",0)</f>
        <v>Country not Found</v>
      </c>
      <c r="G1451" s="7" t="str">
        <f>_xlfn.XLOOKUP(C1451,Products!A1451:A1950,Products!B1451:B1950,"Product Missing",0)</f>
        <v>Product Missing</v>
      </c>
      <c r="H1451" s="7" t="str">
        <f>_xlfn.XLOOKUP(C1451,Products!A1451:A1950,Products!C1451:C1950,"Category Missing",0)</f>
        <v>Category Missing</v>
      </c>
      <c r="I1451" s="11" t="str">
        <f>_xlfn.XLOOKUP(Orders!C1451,Products!A1451:A1950,Products!D1451:D1950,"Price Missing",0)</f>
        <v>Price Missing</v>
      </c>
      <c r="J1451" s="19">
        <f t="shared" si="22"/>
        <v>0</v>
      </c>
    </row>
    <row r="1452" spans="1:10" x14ac:dyDescent="0.35">
      <c r="A1452" s="4" t="s">
        <v>5472</v>
      </c>
      <c r="B1452" s="7" t="s">
        <v>3008</v>
      </c>
      <c r="C1452" s="7" t="s">
        <v>3670</v>
      </c>
      <c r="D1452" s="5">
        <v>5</v>
      </c>
      <c r="E1452" s="7" t="str">
        <f>_xlfn.XLOOKUP(B1452,Customers!A1452:A2451,Customers!B1452:B2451,"Customer Not Found",0)</f>
        <v>Customer Not Found</v>
      </c>
      <c r="F1452" s="7" t="str">
        <f>_xlfn.XLOOKUP(Orders!B1452,Customers!A1452:A2451,Customers!C1452:C2451,"Country not Found",0)</f>
        <v>Country not Found</v>
      </c>
      <c r="G1452" s="7" t="str">
        <f>_xlfn.XLOOKUP(C1452,Products!A1452:A1951,Products!B1452:B1951,"Product Missing",0)</f>
        <v>Product Missing</v>
      </c>
      <c r="H1452" s="7" t="str">
        <f>_xlfn.XLOOKUP(C1452,Products!A1452:A1951,Products!C1452:C1951,"Category Missing",0)</f>
        <v>Category Missing</v>
      </c>
      <c r="I1452" s="11" t="str">
        <f>_xlfn.XLOOKUP(Orders!C1452,Products!A1452:A1951,Products!D1452:D1951,"Price Missing",0)</f>
        <v>Price Missing</v>
      </c>
      <c r="J1452" s="19">
        <f t="shared" si="22"/>
        <v>0</v>
      </c>
    </row>
    <row r="1453" spans="1:10" x14ac:dyDescent="0.35">
      <c r="A1453" s="4" t="s">
        <v>5473</v>
      </c>
      <c r="B1453" s="7" t="s">
        <v>2366</v>
      </c>
      <c r="C1453" s="7" t="s">
        <v>3710</v>
      </c>
      <c r="D1453" s="5">
        <v>8</v>
      </c>
      <c r="E1453" s="7" t="str">
        <f>_xlfn.XLOOKUP(B1453,Customers!A1453:A2452,Customers!B1453:B2452,"Customer Not Found",0)</f>
        <v>Customer Not Found</v>
      </c>
      <c r="F1453" s="7" t="str">
        <f>_xlfn.XLOOKUP(Orders!B1453,Customers!A1453:A2452,Customers!C1453:C2452,"Country not Found",0)</f>
        <v>Country not Found</v>
      </c>
      <c r="G1453" s="7" t="str">
        <f>_xlfn.XLOOKUP(C1453,Products!A1453:A1952,Products!B1453:B1952,"Product Missing",0)</f>
        <v>Product Missing</v>
      </c>
      <c r="H1453" s="7" t="str">
        <f>_xlfn.XLOOKUP(C1453,Products!A1453:A1952,Products!C1453:C1952,"Category Missing",0)</f>
        <v>Category Missing</v>
      </c>
      <c r="I1453" s="11" t="str">
        <f>_xlfn.XLOOKUP(Orders!C1453,Products!A1453:A1952,Products!D1453:D1952,"Price Missing",0)</f>
        <v>Price Missing</v>
      </c>
      <c r="J1453" s="19">
        <f t="shared" si="22"/>
        <v>0</v>
      </c>
    </row>
    <row r="1454" spans="1:10" x14ac:dyDescent="0.35">
      <c r="A1454" s="4" t="s">
        <v>5474</v>
      </c>
      <c r="B1454" s="7" t="s">
        <v>2288</v>
      </c>
      <c r="C1454" s="7" t="s">
        <v>3628</v>
      </c>
      <c r="D1454" s="5">
        <v>9</v>
      </c>
      <c r="E1454" s="7" t="str">
        <f>_xlfn.XLOOKUP(B1454,Customers!A1454:A2453,Customers!B1454:B2453,"Customer Not Found",0)</f>
        <v>Customer Not Found</v>
      </c>
      <c r="F1454" s="7" t="str">
        <f>_xlfn.XLOOKUP(Orders!B1454,Customers!A1454:A2453,Customers!C1454:C2453,"Country not Found",0)</f>
        <v>Country not Found</v>
      </c>
      <c r="G1454" s="7" t="str">
        <f>_xlfn.XLOOKUP(C1454,Products!A1454:A1953,Products!B1454:B1953,"Product Missing",0)</f>
        <v>Product Missing</v>
      </c>
      <c r="H1454" s="7" t="str">
        <f>_xlfn.XLOOKUP(C1454,Products!A1454:A1953,Products!C1454:C1953,"Category Missing",0)</f>
        <v>Category Missing</v>
      </c>
      <c r="I1454" s="11" t="str">
        <f>_xlfn.XLOOKUP(Orders!C1454,Products!A1454:A1953,Products!D1454:D1953,"Price Missing",0)</f>
        <v>Price Missing</v>
      </c>
      <c r="J1454" s="19">
        <f t="shared" si="22"/>
        <v>0</v>
      </c>
    </row>
    <row r="1455" spans="1:10" x14ac:dyDescent="0.35">
      <c r="A1455" s="4" t="s">
        <v>5475</v>
      </c>
      <c r="B1455" s="7" t="s">
        <v>773</v>
      </c>
      <c r="C1455" s="7" t="s">
        <v>3974</v>
      </c>
      <c r="D1455" s="5">
        <v>5</v>
      </c>
      <c r="E1455" s="7" t="str">
        <f>_xlfn.XLOOKUP(B1455,Customers!A1455:A2454,Customers!B1455:B2454,"Customer Not Found",0)</f>
        <v>Customer Not Found</v>
      </c>
      <c r="F1455" s="7" t="str">
        <f>_xlfn.XLOOKUP(Orders!B1455,Customers!A1455:A2454,Customers!C1455:C2454,"Country not Found",0)</f>
        <v>Country not Found</v>
      </c>
      <c r="G1455" s="7" t="str">
        <f>_xlfn.XLOOKUP(C1455,Products!A1455:A1954,Products!B1455:B1954,"Product Missing",0)</f>
        <v>Product Missing</v>
      </c>
      <c r="H1455" s="7" t="str">
        <f>_xlfn.XLOOKUP(C1455,Products!A1455:A1954,Products!C1455:C1954,"Category Missing",0)</f>
        <v>Category Missing</v>
      </c>
      <c r="I1455" s="11" t="str">
        <f>_xlfn.XLOOKUP(Orders!C1455,Products!A1455:A1954,Products!D1455:D1954,"Price Missing",0)</f>
        <v>Price Missing</v>
      </c>
      <c r="J1455" s="19">
        <f t="shared" si="22"/>
        <v>0</v>
      </c>
    </row>
    <row r="1456" spans="1:10" x14ac:dyDescent="0.35">
      <c r="A1456" s="4" t="s">
        <v>5476</v>
      </c>
      <c r="B1456" s="7" t="s">
        <v>1352</v>
      </c>
      <c r="C1456" s="7" t="s">
        <v>3640</v>
      </c>
      <c r="D1456" s="5">
        <v>9</v>
      </c>
      <c r="E1456" s="7" t="str">
        <f>_xlfn.XLOOKUP(B1456,Customers!A1456:A2455,Customers!B1456:B2455,"Customer Not Found",0)</f>
        <v>Customer Not Found</v>
      </c>
      <c r="F1456" s="7" t="str">
        <f>_xlfn.XLOOKUP(Orders!B1456,Customers!A1456:A2455,Customers!C1456:C2455,"Country not Found",0)</f>
        <v>Country not Found</v>
      </c>
      <c r="G1456" s="7" t="str">
        <f>_xlfn.XLOOKUP(C1456,Products!A1456:A1955,Products!B1456:B1955,"Product Missing",0)</f>
        <v>Product Missing</v>
      </c>
      <c r="H1456" s="7" t="str">
        <f>_xlfn.XLOOKUP(C1456,Products!A1456:A1955,Products!C1456:C1955,"Category Missing",0)</f>
        <v>Category Missing</v>
      </c>
      <c r="I1456" s="11" t="str">
        <f>_xlfn.XLOOKUP(Orders!C1456,Products!A1456:A1955,Products!D1456:D1955,"Price Missing",0)</f>
        <v>Price Missing</v>
      </c>
      <c r="J1456" s="19">
        <f t="shared" si="22"/>
        <v>0</v>
      </c>
    </row>
    <row r="1457" spans="1:10" x14ac:dyDescent="0.35">
      <c r="A1457" s="4" t="s">
        <v>5477</v>
      </c>
      <c r="B1457" s="7" t="s">
        <v>2489</v>
      </c>
      <c r="C1457" s="7" t="s">
        <v>3082</v>
      </c>
      <c r="D1457" s="5">
        <v>6</v>
      </c>
      <c r="E1457" s="7" t="str">
        <f>_xlfn.XLOOKUP(B1457,Customers!A1457:A2456,Customers!B1457:B2456,"Customer Not Found",0)</f>
        <v>Customer Not Found</v>
      </c>
      <c r="F1457" s="7" t="str">
        <f>_xlfn.XLOOKUP(Orders!B1457,Customers!A1457:A2456,Customers!C1457:C2456,"Country not Found",0)</f>
        <v>Country not Found</v>
      </c>
      <c r="G1457" s="7" t="str">
        <f>_xlfn.XLOOKUP(C1457,Products!A1457:A1956,Products!B1457:B1956,"Product Missing",0)</f>
        <v>Product Missing</v>
      </c>
      <c r="H1457" s="7" t="str">
        <f>_xlfn.XLOOKUP(C1457,Products!A1457:A1956,Products!C1457:C1956,"Category Missing",0)</f>
        <v>Category Missing</v>
      </c>
      <c r="I1457" s="11" t="str">
        <f>_xlfn.XLOOKUP(Orders!C1457,Products!A1457:A1956,Products!D1457:D1956,"Price Missing",0)</f>
        <v>Price Missing</v>
      </c>
      <c r="J1457" s="19">
        <f t="shared" si="22"/>
        <v>0</v>
      </c>
    </row>
    <row r="1458" spans="1:10" x14ac:dyDescent="0.35">
      <c r="A1458" s="4" t="s">
        <v>5478</v>
      </c>
      <c r="B1458" s="7" t="s">
        <v>2774</v>
      </c>
      <c r="C1458" s="7" t="s">
        <v>3092</v>
      </c>
      <c r="D1458" s="5">
        <v>1</v>
      </c>
      <c r="E1458" s="7" t="str">
        <f>_xlfn.XLOOKUP(B1458,Customers!A1458:A2457,Customers!B1458:B2457,"Customer Not Found",0)</f>
        <v>Customer Not Found</v>
      </c>
      <c r="F1458" s="7" t="str">
        <f>_xlfn.XLOOKUP(Orders!B1458,Customers!A1458:A2457,Customers!C1458:C2457,"Country not Found",0)</f>
        <v>Country not Found</v>
      </c>
      <c r="G1458" s="7" t="str">
        <f>_xlfn.XLOOKUP(C1458,Products!A1458:A1957,Products!B1458:B1957,"Product Missing",0)</f>
        <v>Product Missing</v>
      </c>
      <c r="H1458" s="7" t="str">
        <f>_xlfn.XLOOKUP(C1458,Products!A1458:A1957,Products!C1458:C1957,"Category Missing",0)</f>
        <v>Category Missing</v>
      </c>
      <c r="I1458" s="11" t="str">
        <f>_xlfn.XLOOKUP(Orders!C1458,Products!A1458:A1957,Products!D1458:D1957,"Price Missing",0)</f>
        <v>Price Missing</v>
      </c>
      <c r="J1458" s="19">
        <f t="shared" si="22"/>
        <v>0</v>
      </c>
    </row>
    <row r="1459" spans="1:10" x14ac:dyDescent="0.35">
      <c r="A1459" s="4" t="s">
        <v>5479</v>
      </c>
      <c r="B1459" s="7" t="s">
        <v>2183</v>
      </c>
      <c r="C1459" s="7" t="s">
        <v>3844</v>
      </c>
      <c r="D1459" s="5">
        <v>8</v>
      </c>
      <c r="E1459" s="7" t="str">
        <f>_xlfn.XLOOKUP(B1459,Customers!A1459:A2458,Customers!B1459:B2458,"Customer Not Found",0)</f>
        <v>Customer Not Found</v>
      </c>
      <c r="F1459" s="7" t="str">
        <f>_xlfn.XLOOKUP(Orders!B1459,Customers!A1459:A2458,Customers!C1459:C2458,"Country not Found",0)</f>
        <v>Country not Found</v>
      </c>
      <c r="G1459" s="7" t="str">
        <f>_xlfn.XLOOKUP(C1459,Products!A1459:A1958,Products!B1459:B1958,"Product Missing",0)</f>
        <v>Product Missing</v>
      </c>
      <c r="H1459" s="7" t="str">
        <f>_xlfn.XLOOKUP(C1459,Products!A1459:A1958,Products!C1459:C1958,"Category Missing",0)</f>
        <v>Category Missing</v>
      </c>
      <c r="I1459" s="11" t="str">
        <f>_xlfn.XLOOKUP(Orders!C1459,Products!A1459:A1958,Products!D1459:D1958,"Price Missing",0)</f>
        <v>Price Missing</v>
      </c>
      <c r="J1459" s="19">
        <f t="shared" si="22"/>
        <v>0</v>
      </c>
    </row>
    <row r="1460" spans="1:10" x14ac:dyDescent="0.35">
      <c r="A1460" s="4" t="s">
        <v>5480</v>
      </c>
      <c r="B1460" s="7" t="s">
        <v>740</v>
      </c>
      <c r="C1460" s="7" t="s">
        <v>3376</v>
      </c>
      <c r="D1460" s="5">
        <v>7</v>
      </c>
      <c r="E1460" s="7" t="str">
        <f>_xlfn.XLOOKUP(B1460,Customers!A1460:A2459,Customers!B1460:B2459,"Customer Not Found",0)</f>
        <v>Customer Not Found</v>
      </c>
      <c r="F1460" s="7" t="str">
        <f>_xlfn.XLOOKUP(Orders!B1460,Customers!A1460:A2459,Customers!C1460:C2459,"Country not Found",0)</f>
        <v>Country not Found</v>
      </c>
      <c r="G1460" s="7" t="str">
        <f>_xlfn.XLOOKUP(C1460,Products!A1460:A1959,Products!B1460:B1959,"Product Missing",0)</f>
        <v>Product Missing</v>
      </c>
      <c r="H1460" s="7" t="str">
        <f>_xlfn.XLOOKUP(C1460,Products!A1460:A1959,Products!C1460:C1959,"Category Missing",0)</f>
        <v>Category Missing</v>
      </c>
      <c r="I1460" s="11" t="str">
        <f>_xlfn.XLOOKUP(Orders!C1460,Products!A1460:A1959,Products!D1460:D1959,"Price Missing",0)</f>
        <v>Price Missing</v>
      </c>
      <c r="J1460" s="19">
        <f t="shared" si="22"/>
        <v>0</v>
      </c>
    </row>
    <row r="1461" spans="1:10" x14ac:dyDescent="0.35">
      <c r="A1461" s="4" t="s">
        <v>5481</v>
      </c>
      <c r="B1461" s="7" t="s">
        <v>1091</v>
      </c>
      <c r="C1461" s="7" t="s">
        <v>3492</v>
      </c>
      <c r="D1461" s="5">
        <v>3</v>
      </c>
      <c r="E1461" s="7" t="str">
        <f>_xlfn.XLOOKUP(B1461,Customers!A1461:A2460,Customers!B1461:B2460,"Customer Not Found",0)</f>
        <v>Customer Not Found</v>
      </c>
      <c r="F1461" s="7" t="str">
        <f>_xlfn.XLOOKUP(Orders!B1461,Customers!A1461:A2460,Customers!C1461:C2460,"Country not Found",0)</f>
        <v>Country not Found</v>
      </c>
      <c r="G1461" s="7" t="str">
        <f>_xlfn.XLOOKUP(C1461,Products!A1461:A1960,Products!B1461:B1960,"Product Missing",0)</f>
        <v>Product Missing</v>
      </c>
      <c r="H1461" s="7" t="str">
        <f>_xlfn.XLOOKUP(C1461,Products!A1461:A1960,Products!C1461:C1960,"Category Missing",0)</f>
        <v>Category Missing</v>
      </c>
      <c r="I1461" s="11" t="str">
        <f>_xlfn.XLOOKUP(Orders!C1461,Products!A1461:A1960,Products!D1461:D1960,"Price Missing",0)</f>
        <v>Price Missing</v>
      </c>
      <c r="J1461" s="19">
        <f t="shared" si="22"/>
        <v>0</v>
      </c>
    </row>
    <row r="1462" spans="1:10" x14ac:dyDescent="0.35">
      <c r="A1462" s="4" t="s">
        <v>5482</v>
      </c>
      <c r="B1462" s="7" t="s">
        <v>494</v>
      </c>
      <c r="C1462" s="7" t="s">
        <v>3320</v>
      </c>
      <c r="D1462" s="5">
        <v>9</v>
      </c>
      <c r="E1462" s="7" t="str">
        <f>_xlfn.XLOOKUP(B1462,Customers!A1462:A2461,Customers!B1462:B2461,"Customer Not Found",0)</f>
        <v>Customer Not Found</v>
      </c>
      <c r="F1462" s="7" t="str">
        <f>_xlfn.XLOOKUP(Orders!B1462,Customers!A1462:A2461,Customers!C1462:C2461,"Country not Found",0)</f>
        <v>Country not Found</v>
      </c>
      <c r="G1462" s="7" t="str">
        <f>_xlfn.XLOOKUP(C1462,Products!A1462:A1961,Products!B1462:B1961,"Product Missing",0)</f>
        <v>Product Missing</v>
      </c>
      <c r="H1462" s="7" t="str">
        <f>_xlfn.XLOOKUP(C1462,Products!A1462:A1961,Products!C1462:C1961,"Category Missing",0)</f>
        <v>Category Missing</v>
      </c>
      <c r="I1462" s="11" t="str">
        <f>_xlfn.XLOOKUP(Orders!C1462,Products!A1462:A1961,Products!D1462:D1961,"Price Missing",0)</f>
        <v>Price Missing</v>
      </c>
      <c r="J1462" s="19">
        <f t="shared" si="22"/>
        <v>0</v>
      </c>
    </row>
    <row r="1463" spans="1:10" x14ac:dyDescent="0.35">
      <c r="A1463" s="4" t="s">
        <v>5483</v>
      </c>
      <c r="B1463" s="7" t="s">
        <v>2672</v>
      </c>
      <c r="C1463" s="7" t="s">
        <v>3598</v>
      </c>
      <c r="D1463" s="5">
        <v>6</v>
      </c>
      <c r="E1463" s="7" t="str">
        <f>_xlfn.XLOOKUP(B1463,Customers!A1463:A2462,Customers!B1463:B2462,"Customer Not Found",0)</f>
        <v>Customer Not Found</v>
      </c>
      <c r="F1463" s="7" t="str">
        <f>_xlfn.XLOOKUP(Orders!B1463,Customers!A1463:A2462,Customers!C1463:C2462,"Country not Found",0)</f>
        <v>Country not Found</v>
      </c>
      <c r="G1463" s="7" t="str">
        <f>_xlfn.XLOOKUP(C1463,Products!A1463:A1962,Products!B1463:B1962,"Product Missing",0)</f>
        <v>Product Missing</v>
      </c>
      <c r="H1463" s="7" t="str">
        <f>_xlfn.XLOOKUP(C1463,Products!A1463:A1962,Products!C1463:C1962,"Category Missing",0)</f>
        <v>Category Missing</v>
      </c>
      <c r="I1463" s="11" t="str">
        <f>_xlfn.XLOOKUP(Orders!C1463,Products!A1463:A1962,Products!D1463:D1962,"Price Missing",0)</f>
        <v>Price Missing</v>
      </c>
      <c r="J1463" s="19">
        <f t="shared" si="22"/>
        <v>0</v>
      </c>
    </row>
    <row r="1464" spans="1:10" x14ac:dyDescent="0.35">
      <c r="A1464" s="4" t="s">
        <v>5484</v>
      </c>
      <c r="B1464" s="7" t="s">
        <v>1151</v>
      </c>
      <c r="C1464" s="7" t="s">
        <v>3992</v>
      </c>
      <c r="D1464" s="5">
        <v>1</v>
      </c>
      <c r="E1464" s="7" t="str">
        <f>_xlfn.XLOOKUP(B1464,Customers!A1464:A2463,Customers!B1464:B2463,"Customer Not Found",0)</f>
        <v>Customer Not Found</v>
      </c>
      <c r="F1464" s="7" t="str">
        <f>_xlfn.XLOOKUP(Orders!B1464,Customers!A1464:A2463,Customers!C1464:C2463,"Country not Found",0)</f>
        <v>Country not Found</v>
      </c>
      <c r="G1464" s="7" t="str">
        <f>_xlfn.XLOOKUP(C1464,Products!A1464:A1963,Products!B1464:B1963,"Product Missing",0)</f>
        <v>Product Missing</v>
      </c>
      <c r="H1464" s="7" t="str">
        <f>_xlfn.XLOOKUP(C1464,Products!A1464:A1963,Products!C1464:C1963,"Category Missing",0)</f>
        <v>Category Missing</v>
      </c>
      <c r="I1464" s="11" t="str">
        <f>_xlfn.XLOOKUP(Orders!C1464,Products!A1464:A1963,Products!D1464:D1963,"Price Missing",0)</f>
        <v>Price Missing</v>
      </c>
      <c r="J1464" s="19">
        <f t="shared" si="22"/>
        <v>0</v>
      </c>
    </row>
    <row r="1465" spans="1:10" x14ac:dyDescent="0.35">
      <c r="A1465" s="4" t="s">
        <v>5485</v>
      </c>
      <c r="B1465" s="7" t="s">
        <v>2339</v>
      </c>
      <c r="C1465" s="7" t="s">
        <v>3700</v>
      </c>
      <c r="D1465" s="5">
        <v>7</v>
      </c>
      <c r="E1465" s="7" t="str">
        <f>_xlfn.XLOOKUP(B1465,Customers!A1465:A2464,Customers!B1465:B2464,"Customer Not Found",0)</f>
        <v>Customer Not Found</v>
      </c>
      <c r="F1465" s="7" t="str">
        <f>_xlfn.XLOOKUP(Orders!B1465,Customers!A1465:A2464,Customers!C1465:C2464,"Country not Found",0)</f>
        <v>Country not Found</v>
      </c>
      <c r="G1465" s="7" t="str">
        <f>_xlfn.XLOOKUP(C1465,Products!A1465:A1964,Products!B1465:B1964,"Product Missing",0)</f>
        <v>Product Missing</v>
      </c>
      <c r="H1465" s="7" t="str">
        <f>_xlfn.XLOOKUP(C1465,Products!A1465:A1964,Products!C1465:C1964,"Category Missing",0)</f>
        <v>Category Missing</v>
      </c>
      <c r="I1465" s="11" t="str">
        <f>_xlfn.XLOOKUP(Orders!C1465,Products!A1465:A1964,Products!D1465:D1964,"Price Missing",0)</f>
        <v>Price Missing</v>
      </c>
      <c r="J1465" s="19">
        <f t="shared" si="22"/>
        <v>0</v>
      </c>
    </row>
    <row r="1466" spans="1:10" x14ac:dyDescent="0.35">
      <c r="A1466" s="4" t="s">
        <v>5486</v>
      </c>
      <c r="B1466" s="7" t="s">
        <v>1607</v>
      </c>
      <c r="C1466" s="7" t="s">
        <v>3994</v>
      </c>
      <c r="D1466" s="5">
        <v>8</v>
      </c>
      <c r="E1466" s="7" t="str">
        <f>_xlfn.XLOOKUP(B1466,Customers!A1466:A2465,Customers!B1466:B2465,"Customer Not Found",0)</f>
        <v>Customer Not Found</v>
      </c>
      <c r="F1466" s="7" t="str">
        <f>_xlfn.XLOOKUP(Orders!B1466,Customers!A1466:A2465,Customers!C1466:C2465,"Country not Found",0)</f>
        <v>Country not Found</v>
      </c>
      <c r="G1466" s="7" t="str">
        <f>_xlfn.XLOOKUP(C1466,Products!A1466:A1965,Products!B1466:B1965,"Product Missing",0)</f>
        <v>Product Missing</v>
      </c>
      <c r="H1466" s="7" t="str">
        <f>_xlfn.XLOOKUP(C1466,Products!A1466:A1965,Products!C1466:C1965,"Category Missing",0)</f>
        <v>Category Missing</v>
      </c>
      <c r="I1466" s="11" t="str">
        <f>_xlfn.XLOOKUP(Orders!C1466,Products!A1466:A1965,Products!D1466:D1965,"Price Missing",0)</f>
        <v>Price Missing</v>
      </c>
      <c r="J1466" s="19">
        <f t="shared" si="22"/>
        <v>0</v>
      </c>
    </row>
    <row r="1467" spans="1:10" x14ac:dyDescent="0.35">
      <c r="A1467" s="4" t="s">
        <v>5487</v>
      </c>
      <c r="B1467" s="7" t="s">
        <v>557</v>
      </c>
      <c r="C1467" s="7" t="s">
        <v>3170</v>
      </c>
      <c r="D1467" s="5">
        <v>5</v>
      </c>
      <c r="E1467" s="7" t="str">
        <f>_xlfn.XLOOKUP(B1467,Customers!A1467:A2466,Customers!B1467:B2466,"Customer Not Found",0)</f>
        <v>Customer Not Found</v>
      </c>
      <c r="F1467" s="7" t="str">
        <f>_xlfn.XLOOKUP(Orders!B1467,Customers!A1467:A2466,Customers!C1467:C2466,"Country not Found",0)</f>
        <v>Country not Found</v>
      </c>
      <c r="G1467" s="7" t="str">
        <f>_xlfn.XLOOKUP(C1467,Products!A1467:A1966,Products!B1467:B1966,"Product Missing",0)</f>
        <v>Product Missing</v>
      </c>
      <c r="H1467" s="7" t="str">
        <f>_xlfn.XLOOKUP(C1467,Products!A1467:A1966,Products!C1467:C1966,"Category Missing",0)</f>
        <v>Category Missing</v>
      </c>
      <c r="I1467" s="11" t="str">
        <f>_xlfn.XLOOKUP(Orders!C1467,Products!A1467:A1966,Products!D1467:D1966,"Price Missing",0)</f>
        <v>Price Missing</v>
      </c>
      <c r="J1467" s="19">
        <f t="shared" si="22"/>
        <v>0</v>
      </c>
    </row>
    <row r="1468" spans="1:10" x14ac:dyDescent="0.35">
      <c r="A1468" s="4" t="s">
        <v>5488</v>
      </c>
      <c r="B1468" s="7" t="s">
        <v>269</v>
      </c>
      <c r="C1468" s="7" t="s">
        <v>3216</v>
      </c>
      <c r="D1468" s="5">
        <v>8</v>
      </c>
      <c r="E1468" s="7" t="str">
        <f>_xlfn.XLOOKUP(B1468,Customers!A1468:A2467,Customers!B1468:B2467,"Customer Not Found",0)</f>
        <v>Customer Not Found</v>
      </c>
      <c r="F1468" s="7" t="str">
        <f>_xlfn.XLOOKUP(Orders!B1468,Customers!A1468:A2467,Customers!C1468:C2467,"Country not Found",0)</f>
        <v>Country not Found</v>
      </c>
      <c r="G1468" s="7" t="str">
        <f>_xlfn.XLOOKUP(C1468,Products!A1468:A1967,Products!B1468:B1967,"Product Missing",0)</f>
        <v>Product Missing</v>
      </c>
      <c r="H1468" s="7" t="str">
        <f>_xlfn.XLOOKUP(C1468,Products!A1468:A1967,Products!C1468:C1967,"Category Missing",0)</f>
        <v>Category Missing</v>
      </c>
      <c r="I1468" s="11" t="str">
        <f>_xlfn.XLOOKUP(Orders!C1468,Products!A1468:A1967,Products!D1468:D1967,"Price Missing",0)</f>
        <v>Price Missing</v>
      </c>
      <c r="J1468" s="19">
        <f t="shared" si="22"/>
        <v>0</v>
      </c>
    </row>
    <row r="1469" spans="1:10" x14ac:dyDescent="0.35">
      <c r="A1469" s="4" t="s">
        <v>5489</v>
      </c>
      <c r="B1469" s="7" t="s">
        <v>1385</v>
      </c>
      <c r="C1469" s="7" t="s">
        <v>3538</v>
      </c>
      <c r="D1469" s="5">
        <v>6</v>
      </c>
      <c r="E1469" s="7" t="str">
        <f>_xlfn.XLOOKUP(B1469,Customers!A1469:A2468,Customers!B1469:B2468,"Customer Not Found",0)</f>
        <v>Customer Not Found</v>
      </c>
      <c r="F1469" s="7" t="str">
        <f>_xlfn.XLOOKUP(Orders!B1469,Customers!A1469:A2468,Customers!C1469:C2468,"Country not Found",0)</f>
        <v>Country not Found</v>
      </c>
      <c r="G1469" s="7" t="str">
        <f>_xlfn.XLOOKUP(C1469,Products!A1469:A1968,Products!B1469:B1968,"Product Missing",0)</f>
        <v>Product Missing</v>
      </c>
      <c r="H1469" s="7" t="str">
        <f>_xlfn.XLOOKUP(C1469,Products!A1469:A1968,Products!C1469:C1968,"Category Missing",0)</f>
        <v>Category Missing</v>
      </c>
      <c r="I1469" s="11" t="str">
        <f>_xlfn.XLOOKUP(Orders!C1469,Products!A1469:A1968,Products!D1469:D1968,"Price Missing",0)</f>
        <v>Price Missing</v>
      </c>
      <c r="J1469" s="19">
        <f t="shared" si="22"/>
        <v>0</v>
      </c>
    </row>
    <row r="1470" spans="1:10" x14ac:dyDescent="0.35">
      <c r="A1470" s="4" t="s">
        <v>5490</v>
      </c>
      <c r="B1470" s="7" t="s">
        <v>2258</v>
      </c>
      <c r="C1470" s="7" t="s">
        <v>3850</v>
      </c>
      <c r="D1470" s="5">
        <v>10</v>
      </c>
      <c r="E1470" s="7" t="str">
        <f>_xlfn.XLOOKUP(B1470,Customers!A1470:A2469,Customers!B1470:B2469,"Customer Not Found",0)</f>
        <v>Customer Not Found</v>
      </c>
      <c r="F1470" s="7" t="str">
        <f>_xlfn.XLOOKUP(Orders!B1470,Customers!A1470:A2469,Customers!C1470:C2469,"Country not Found",0)</f>
        <v>Country not Found</v>
      </c>
      <c r="G1470" s="7" t="str">
        <f>_xlfn.XLOOKUP(C1470,Products!A1470:A1969,Products!B1470:B1969,"Product Missing",0)</f>
        <v>Product Missing</v>
      </c>
      <c r="H1470" s="7" t="str">
        <f>_xlfn.XLOOKUP(C1470,Products!A1470:A1969,Products!C1470:C1969,"Category Missing",0)</f>
        <v>Category Missing</v>
      </c>
      <c r="I1470" s="11" t="str">
        <f>_xlfn.XLOOKUP(Orders!C1470,Products!A1470:A1969,Products!D1470:D1969,"Price Missing",0)</f>
        <v>Price Missing</v>
      </c>
      <c r="J1470" s="19">
        <f t="shared" si="22"/>
        <v>0</v>
      </c>
    </row>
    <row r="1471" spans="1:10" x14ac:dyDescent="0.35">
      <c r="A1471" s="4" t="s">
        <v>5491</v>
      </c>
      <c r="B1471" s="7" t="s">
        <v>1166</v>
      </c>
      <c r="C1471" s="7" t="s">
        <v>3070</v>
      </c>
      <c r="D1471" s="5">
        <v>3</v>
      </c>
      <c r="E1471" s="7" t="str">
        <f>_xlfn.XLOOKUP(B1471,Customers!A1471:A2470,Customers!B1471:B2470,"Customer Not Found",0)</f>
        <v>Customer Not Found</v>
      </c>
      <c r="F1471" s="7" t="str">
        <f>_xlfn.XLOOKUP(Orders!B1471,Customers!A1471:A2470,Customers!C1471:C2470,"Country not Found",0)</f>
        <v>Country not Found</v>
      </c>
      <c r="G1471" s="7" t="str">
        <f>_xlfn.XLOOKUP(C1471,Products!A1471:A1970,Products!B1471:B1970,"Product Missing",0)</f>
        <v>Product Missing</v>
      </c>
      <c r="H1471" s="7" t="str">
        <f>_xlfn.XLOOKUP(C1471,Products!A1471:A1970,Products!C1471:C1970,"Category Missing",0)</f>
        <v>Category Missing</v>
      </c>
      <c r="I1471" s="11" t="str">
        <f>_xlfn.XLOOKUP(Orders!C1471,Products!A1471:A1970,Products!D1471:D1970,"Price Missing",0)</f>
        <v>Price Missing</v>
      </c>
      <c r="J1471" s="19">
        <f t="shared" si="22"/>
        <v>0</v>
      </c>
    </row>
    <row r="1472" spans="1:10" x14ac:dyDescent="0.35">
      <c r="A1472" s="4" t="s">
        <v>5492</v>
      </c>
      <c r="B1472" s="7" t="s">
        <v>1964</v>
      </c>
      <c r="C1472" s="7" t="s">
        <v>3892</v>
      </c>
      <c r="D1472" s="5">
        <v>7</v>
      </c>
      <c r="E1472" s="7" t="str">
        <f>_xlfn.XLOOKUP(B1472,Customers!A1472:A2471,Customers!B1472:B2471,"Customer Not Found",0)</f>
        <v>Customer Not Found</v>
      </c>
      <c r="F1472" s="7" t="str">
        <f>_xlfn.XLOOKUP(Orders!B1472,Customers!A1472:A2471,Customers!C1472:C2471,"Country not Found",0)</f>
        <v>Country not Found</v>
      </c>
      <c r="G1472" s="7" t="str">
        <f>_xlfn.XLOOKUP(C1472,Products!A1472:A1971,Products!B1472:B1971,"Product Missing",0)</f>
        <v>Product Missing</v>
      </c>
      <c r="H1472" s="7" t="str">
        <f>_xlfn.XLOOKUP(C1472,Products!A1472:A1971,Products!C1472:C1971,"Category Missing",0)</f>
        <v>Category Missing</v>
      </c>
      <c r="I1472" s="11" t="str">
        <f>_xlfn.XLOOKUP(Orders!C1472,Products!A1472:A1971,Products!D1472:D1971,"Price Missing",0)</f>
        <v>Price Missing</v>
      </c>
      <c r="J1472" s="19">
        <f t="shared" si="22"/>
        <v>0</v>
      </c>
    </row>
    <row r="1473" spans="1:10" x14ac:dyDescent="0.35">
      <c r="A1473" s="4" t="s">
        <v>5493</v>
      </c>
      <c r="B1473" s="7" t="s">
        <v>1565</v>
      </c>
      <c r="C1473" s="7" t="s">
        <v>3440</v>
      </c>
      <c r="D1473" s="5">
        <v>4</v>
      </c>
      <c r="E1473" s="7" t="str">
        <f>_xlfn.XLOOKUP(B1473,Customers!A1473:A2472,Customers!B1473:B2472,"Customer Not Found",0)</f>
        <v>Customer Not Found</v>
      </c>
      <c r="F1473" s="7" t="str">
        <f>_xlfn.XLOOKUP(Orders!B1473,Customers!A1473:A2472,Customers!C1473:C2472,"Country not Found",0)</f>
        <v>Country not Found</v>
      </c>
      <c r="G1473" s="7" t="str">
        <f>_xlfn.XLOOKUP(C1473,Products!A1473:A1972,Products!B1473:B1972,"Product Missing",0)</f>
        <v>Product Missing</v>
      </c>
      <c r="H1473" s="7" t="str">
        <f>_xlfn.XLOOKUP(C1473,Products!A1473:A1972,Products!C1473:C1972,"Category Missing",0)</f>
        <v>Category Missing</v>
      </c>
      <c r="I1473" s="11" t="str">
        <f>_xlfn.XLOOKUP(Orders!C1473,Products!A1473:A1972,Products!D1473:D1972,"Price Missing",0)</f>
        <v>Price Missing</v>
      </c>
      <c r="J1473" s="19">
        <f t="shared" si="22"/>
        <v>0</v>
      </c>
    </row>
    <row r="1474" spans="1:10" x14ac:dyDescent="0.35">
      <c r="A1474" s="4" t="s">
        <v>5494</v>
      </c>
      <c r="B1474" s="7" t="s">
        <v>2321</v>
      </c>
      <c r="C1474" s="7" t="s">
        <v>3650</v>
      </c>
      <c r="D1474" s="5">
        <v>1</v>
      </c>
      <c r="E1474" s="7" t="str">
        <f>_xlfn.XLOOKUP(B1474,Customers!A1474:A2473,Customers!B1474:B2473,"Customer Not Found",0)</f>
        <v>Customer Not Found</v>
      </c>
      <c r="F1474" s="7" t="str">
        <f>_xlfn.XLOOKUP(Orders!B1474,Customers!A1474:A2473,Customers!C1474:C2473,"Country not Found",0)</f>
        <v>Country not Found</v>
      </c>
      <c r="G1474" s="7" t="str">
        <f>_xlfn.XLOOKUP(C1474,Products!A1474:A1973,Products!B1474:B1973,"Product Missing",0)</f>
        <v>Product Missing</v>
      </c>
      <c r="H1474" s="7" t="str">
        <f>_xlfn.XLOOKUP(C1474,Products!A1474:A1973,Products!C1474:C1973,"Category Missing",0)</f>
        <v>Category Missing</v>
      </c>
      <c r="I1474" s="11" t="str">
        <f>_xlfn.XLOOKUP(Orders!C1474,Products!A1474:A1973,Products!D1474:D1973,"Price Missing",0)</f>
        <v>Price Missing</v>
      </c>
      <c r="J1474" s="19">
        <f t="shared" si="22"/>
        <v>0</v>
      </c>
    </row>
    <row r="1475" spans="1:10" x14ac:dyDescent="0.35">
      <c r="A1475" s="4" t="s">
        <v>5495</v>
      </c>
      <c r="B1475" s="7" t="s">
        <v>392</v>
      </c>
      <c r="C1475" s="7" t="s">
        <v>3726</v>
      </c>
      <c r="D1475" s="5">
        <v>1</v>
      </c>
      <c r="E1475" s="7" t="str">
        <f>_xlfn.XLOOKUP(B1475,Customers!A1475:A2474,Customers!B1475:B2474,"Customer Not Found",0)</f>
        <v>Customer Not Found</v>
      </c>
      <c r="F1475" s="7" t="str">
        <f>_xlfn.XLOOKUP(Orders!B1475,Customers!A1475:A2474,Customers!C1475:C2474,"Country not Found",0)</f>
        <v>Country not Found</v>
      </c>
      <c r="G1475" s="7" t="str">
        <f>_xlfn.XLOOKUP(C1475,Products!A1475:A1974,Products!B1475:B1974,"Product Missing",0)</f>
        <v>Product Missing</v>
      </c>
      <c r="H1475" s="7" t="str">
        <f>_xlfn.XLOOKUP(C1475,Products!A1475:A1974,Products!C1475:C1974,"Category Missing",0)</f>
        <v>Category Missing</v>
      </c>
      <c r="I1475" s="11" t="str">
        <f>_xlfn.XLOOKUP(Orders!C1475,Products!A1475:A1974,Products!D1475:D1974,"Price Missing",0)</f>
        <v>Price Missing</v>
      </c>
      <c r="J1475" s="19">
        <f t="shared" ref="J1475:J1538" si="23">IFERROR(I1475*D1475,0)</f>
        <v>0</v>
      </c>
    </row>
    <row r="1476" spans="1:10" x14ac:dyDescent="0.35">
      <c r="A1476" s="4" t="s">
        <v>5496</v>
      </c>
      <c r="B1476" s="7" t="s">
        <v>1319</v>
      </c>
      <c r="C1476" s="7" t="s">
        <v>3554</v>
      </c>
      <c r="D1476" s="5">
        <v>7</v>
      </c>
      <c r="E1476" s="7" t="str">
        <f>_xlfn.XLOOKUP(B1476,Customers!A1476:A2475,Customers!B1476:B2475,"Customer Not Found",0)</f>
        <v>Customer Not Found</v>
      </c>
      <c r="F1476" s="7" t="str">
        <f>_xlfn.XLOOKUP(Orders!B1476,Customers!A1476:A2475,Customers!C1476:C2475,"Country not Found",0)</f>
        <v>Country not Found</v>
      </c>
      <c r="G1476" s="7" t="str">
        <f>_xlfn.XLOOKUP(C1476,Products!A1476:A1975,Products!B1476:B1975,"Product Missing",0)</f>
        <v>Product Missing</v>
      </c>
      <c r="H1476" s="7" t="str">
        <f>_xlfn.XLOOKUP(C1476,Products!A1476:A1975,Products!C1476:C1975,"Category Missing",0)</f>
        <v>Category Missing</v>
      </c>
      <c r="I1476" s="11" t="str">
        <f>_xlfn.XLOOKUP(Orders!C1476,Products!A1476:A1975,Products!D1476:D1975,"Price Missing",0)</f>
        <v>Price Missing</v>
      </c>
      <c r="J1476" s="19">
        <f t="shared" si="23"/>
        <v>0</v>
      </c>
    </row>
    <row r="1477" spans="1:10" x14ac:dyDescent="0.35">
      <c r="A1477" s="4" t="s">
        <v>5497</v>
      </c>
      <c r="B1477" s="7" t="s">
        <v>218</v>
      </c>
      <c r="C1477" s="7" t="s">
        <v>3152</v>
      </c>
      <c r="D1477" s="5">
        <v>2</v>
      </c>
      <c r="E1477" s="7" t="str">
        <f>_xlfn.XLOOKUP(B1477,Customers!A1477:A2476,Customers!B1477:B2476,"Customer Not Found",0)</f>
        <v>Customer Not Found</v>
      </c>
      <c r="F1477" s="7" t="str">
        <f>_xlfn.XLOOKUP(Orders!B1477,Customers!A1477:A2476,Customers!C1477:C2476,"Country not Found",0)</f>
        <v>Country not Found</v>
      </c>
      <c r="G1477" s="7" t="str">
        <f>_xlfn.XLOOKUP(C1477,Products!A1477:A1976,Products!B1477:B1976,"Product Missing",0)</f>
        <v>Product Missing</v>
      </c>
      <c r="H1477" s="7" t="str">
        <f>_xlfn.XLOOKUP(C1477,Products!A1477:A1976,Products!C1477:C1976,"Category Missing",0)</f>
        <v>Category Missing</v>
      </c>
      <c r="I1477" s="11" t="str">
        <f>_xlfn.XLOOKUP(Orders!C1477,Products!A1477:A1976,Products!D1477:D1976,"Price Missing",0)</f>
        <v>Price Missing</v>
      </c>
      <c r="J1477" s="19">
        <f t="shared" si="23"/>
        <v>0</v>
      </c>
    </row>
    <row r="1478" spans="1:10" x14ac:dyDescent="0.35">
      <c r="A1478" s="4" t="s">
        <v>5498</v>
      </c>
      <c r="B1478" s="7" t="s">
        <v>4</v>
      </c>
      <c r="C1478" s="7" t="s">
        <v>3690</v>
      </c>
      <c r="D1478" s="5">
        <v>4</v>
      </c>
      <c r="E1478" s="7" t="str">
        <f>_xlfn.XLOOKUP(B1478,Customers!A1478:A2477,Customers!B1478:B2477,"Customer Not Found",0)</f>
        <v>Customer Not Found</v>
      </c>
      <c r="F1478" s="7" t="str">
        <f>_xlfn.XLOOKUP(Orders!B1478,Customers!A1478:A2477,Customers!C1478:C2477,"Country not Found",0)</f>
        <v>Country not Found</v>
      </c>
      <c r="G1478" s="7" t="str">
        <f>_xlfn.XLOOKUP(C1478,Products!A1478:A1977,Products!B1478:B1977,"Product Missing",0)</f>
        <v>Product Missing</v>
      </c>
      <c r="H1478" s="7" t="str">
        <f>_xlfn.XLOOKUP(C1478,Products!A1478:A1977,Products!C1478:C1977,"Category Missing",0)</f>
        <v>Category Missing</v>
      </c>
      <c r="I1478" s="11" t="str">
        <f>_xlfn.XLOOKUP(Orders!C1478,Products!A1478:A1977,Products!D1478:D1977,"Price Missing",0)</f>
        <v>Price Missing</v>
      </c>
      <c r="J1478" s="19">
        <f t="shared" si="23"/>
        <v>0</v>
      </c>
    </row>
    <row r="1479" spans="1:10" x14ac:dyDescent="0.35">
      <c r="A1479" s="4" t="s">
        <v>5499</v>
      </c>
      <c r="B1479" s="7" t="s">
        <v>1964</v>
      </c>
      <c r="C1479" s="7" t="s">
        <v>3390</v>
      </c>
      <c r="D1479" s="5">
        <v>4</v>
      </c>
      <c r="E1479" s="7" t="str">
        <f>_xlfn.XLOOKUP(B1479,Customers!A1479:A2478,Customers!B1479:B2478,"Customer Not Found",0)</f>
        <v>Customer Not Found</v>
      </c>
      <c r="F1479" s="7" t="str">
        <f>_xlfn.XLOOKUP(Orders!B1479,Customers!A1479:A2478,Customers!C1479:C2478,"Country not Found",0)</f>
        <v>Country not Found</v>
      </c>
      <c r="G1479" s="7" t="str">
        <f>_xlfn.XLOOKUP(C1479,Products!A1479:A1978,Products!B1479:B1978,"Product Missing",0)</f>
        <v>Product Missing</v>
      </c>
      <c r="H1479" s="7" t="str">
        <f>_xlfn.XLOOKUP(C1479,Products!A1479:A1978,Products!C1479:C1978,"Category Missing",0)</f>
        <v>Category Missing</v>
      </c>
      <c r="I1479" s="11" t="str">
        <f>_xlfn.XLOOKUP(Orders!C1479,Products!A1479:A1978,Products!D1479:D1978,"Price Missing",0)</f>
        <v>Price Missing</v>
      </c>
      <c r="J1479" s="19">
        <f t="shared" si="23"/>
        <v>0</v>
      </c>
    </row>
    <row r="1480" spans="1:10" x14ac:dyDescent="0.35">
      <c r="A1480" s="4" t="s">
        <v>5500</v>
      </c>
      <c r="B1480" s="7" t="s">
        <v>1529</v>
      </c>
      <c r="C1480" s="7" t="s">
        <v>3996</v>
      </c>
      <c r="D1480" s="5">
        <v>8</v>
      </c>
      <c r="E1480" s="7" t="str">
        <f>_xlfn.XLOOKUP(B1480,Customers!A1480:A2479,Customers!B1480:B2479,"Customer Not Found",0)</f>
        <v>Customer Not Found</v>
      </c>
      <c r="F1480" s="7" t="str">
        <f>_xlfn.XLOOKUP(Orders!B1480,Customers!A1480:A2479,Customers!C1480:C2479,"Country not Found",0)</f>
        <v>Country not Found</v>
      </c>
      <c r="G1480" s="7" t="str">
        <f>_xlfn.XLOOKUP(C1480,Products!A1480:A1979,Products!B1480:B1979,"Product Missing",0)</f>
        <v>Product Missing</v>
      </c>
      <c r="H1480" s="7" t="str">
        <f>_xlfn.XLOOKUP(C1480,Products!A1480:A1979,Products!C1480:C1979,"Category Missing",0)</f>
        <v>Category Missing</v>
      </c>
      <c r="I1480" s="11" t="str">
        <f>_xlfn.XLOOKUP(Orders!C1480,Products!A1480:A1979,Products!D1480:D1979,"Price Missing",0)</f>
        <v>Price Missing</v>
      </c>
      <c r="J1480" s="19">
        <f t="shared" si="23"/>
        <v>0</v>
      </c>
    </row>
    <row r="1481" spans="1:10" x14ac:dyDescent="0.35">
      <c r="A1481" s="4" t="s">
        <v>5501</v>
      </c>
      <c r="B1481" s="7" t="s">
        <v>2729</v>
      </c>
      <c r="C1481" s="7" t="s">
        <v>3778</v>
      </c>
      <c r="D1481" s="5">
        <v>8</v>
      </c>
      <c r="E1481" s="7" t="str">
        <f>_xlfn.XLOOKUP(B1481,Customers!A1481:A2480,Customers!B1481:B2480,"Customer Not Found",0)</f>
        <v>Customer Not Found</v>
      </c>
      <c r="F1481" s="7" t="str">
        <f>_xlfn.XLOOKUP(Orders!B1481,Customers!A1481:A2480,Customers!C1481:C2480,"Country not Found",0)</f>
        <v>Country not Found</v>
      </c>
      <c r="G1481" s="7" t="str">
        <f>_xlfn.XLOOKUP(C1481,Products!A1481:A1980,Products!B1481:B1980,"Product Missing",0)</f>
        <v>Product Missing</v>
      </c>
      <c r="H1481" s="7" t="str">
        <f>_xlfn.XLOOKUP(C1481,Products!A1481:A1980,Products!C1481:C1980,"Category Missing",0)</f>
        <v>Category Missing</v>
      </c>
      <c r="I1481" s="11" t="str">
        <f>_xlfn.XLOOKUP(Orders!C1481,Products!A1481:A1980,Products!D1481:D1980,"Price Missing",0)</f>
        <v>Price Missing</v>
      </c>
      <c r="J1481" s="19">
        <f t="shared" si="23"/>
        <v>0</v>
      </c>
    </row>
    <row r="1482" spans="1:10" x14ac:dyDescent="0.35">
      <c r="A1482" s="4" t="s">
        <v>5502</v>
      </c>
      <c r="B1482" s="7" t="s">
        <v>2225</v>
      </c>
      <c r="C1482" s="7" t="s">
        <v>3600</v>
      </c>
      <c r="D1482" s="5">
        <v>9</v>
      </c>
      <c r="E1482" s="7" t="str">
        <f>_xlfn.XLOOKUP(B1482,Customers!A1482:A2481,Customers!B1482:B2481,"Customer Not Found",0)</f>
        <v>Customer Not Found</v>
      </c>
      <c r="F1482" s="7" t="str">
        <f>_xlfn.XLOOKUP(Orders!B1482,Customers!A1482:A2481,Customers!C1482:C2481,"Country not Found",0)</f>
        <v>Country not Found</v>
      </c>
      <c r="G1482" s="7" t="str">
        <f>_xlfn.XLOOKUP(C1482,Products!A1482:A1981,Products!B1482:B1981,"Product Missing",0)</f>
        <v>Product Missing</v>
      </c>
      <c r="H1482" s="7" t="str">
        <f>_xlfn.XLOOKUP(C1482,Products!A1482:A1981,Products!C1482:C1981,"Category Missing",0)</f>
        <v>Category Missing</v>
      </c>
      <c r="I1482" s="11" t="str">
        <f>_xlfn.XLOOKUP(Orders!C1482,Products!A1482:A1981,Products!D1482:D1981,"Price Missing",0)</f>
        <v>Price Missing</v>
      </c>
      <c r="J1482" s="19">
        <f t="shared" si="23"/>
        <v>0</v>
      </c>
    </row>
    <row r="1483" spans="1:10" x14ac:dyDescent="0.35">
      <c r="A1483" s="4" t="s">
        <v>5503</v>
      </c>
      <c r="B1483" s="7" t="s">
        <v>2147</v>
      </c>
      <c r="C1483" s="7" t="s">
        <v>3070</v>
      </c>
      <c r="D1483" s="5">
        <v>1</v>
      </c>
      <c r="E1483" s="7" t="str">
        <f>_xlfn.XLOOKUP(B1483,Customers!A1483:A2482,Customers!B1483:B2482,"Customer Not Found",0)</f>
        <v>Customer Not Found</v>
      </c>
      <c r="F1483" s="7" t="str">
        <f>_xlfn.XLOOKUP(Orders!B1483,Customers!A1483:A2482,Customers!C1483:C2482,"Country not Found",0)</f>
        <v>Country not Found</v>
      </c>
      <c r="G1483" s="7" t="str">
        <f>_xlfn.XLOOKUP(C1483,Products!A1483:A1982,Products!B1483:B1982,"Product Missing",0)</f>
        <v>Product Missing</v>
      </c>
      <c r="H1483" s="7" t="str">
        <f>_xlfn.XLOOKUP(C1483,Products!A1483:A1982,Products!C1483:C1982,"Category Missing",0)</f>
        <v>Category Missing</v>
      </c>
      <c r="I1483" s="11" t="str">
        <f>_xlfn.XLOOKUP(Orders!C1483,Products!A1483:A1982,Products!D1483:D1982,"Price Missing",0)</f>
        <v>Price Missing</v>
      </c>
      <c r="J1483" s="19">
        <f t="shared" si="23"/>
        <v>0</v>
      </c>
    </row>
    <row r="1484" spans="1:10" x14ac:dyDescent="0.35">
      <c r="A1484" s="4" t="s">
        <v>5504</v>
      </c>
      <c r="B1484" s="7" t="s">
        <v>1652</v>
      </c>
      <c r="C1484" s="7" t="s">
        <v>3726</v>
      </c>
      <c r="D1484" s="5">
        <v>8</v>
      </c>
      <c r="E1484" s="7" t="str">
        <f>_xlfn.XLOOKUP(B1484,Customers!A1484:A2483,Customers!B1484:B2483,"Customer Not Found",0)</f>
        <v>Customer Not Found</v>
      </c>
      <c r="F1484" s="7" t="str">
        <f>_xlfn.XLOOKUP(Orders!B1484,Customers!A1484:A2483,Customers!C1484:C2483,"Country not Found",0)</f>
        <v>Country not Found</v>
      </c>
      <c r="G1484" s="7" t="str">
        <f>_xlfn.XLOOKUP(C1484,Products!A1484:A1983,Products!B1484:B1983,"Product Missing",0)</f>
        <v>Product Missing</v>
      </c>
      <c r="H1484" s="7" t="str">
        <f>_xlfn.XLOOKUP(C1484,Products!A1484:A1983,Products!C1484:C1983,"Category Missing",0)</f>
        <v>Category Missing</v>
      </c>
      <c r="I1484" s="11" t="str">
        <f>_xlfn.XLOOKUP(Orders!C1484,Products!A1484:A1983,Products!D1484:D1983,"Price Missing",0)</f>
        <v>Price Missing</v>
      </c>
      <c r="J1484" s="19">
        <f t="shared" si="23"/>
        <v>0</v>
      </c>
    </row>
    <row r="1485" spans="1:10" x14ac:dyDescent="0.35">
      <c r="A1485" s="4" t="s">
        <v>5505</v>
      </c>
      <c r="B1485" s="7" t="s">
        <v>995</v>
      </c>
      <c r="C1485" s="7" t="s">
        <v>3078</v>
      </c>
      <c r="D1485" s="5">
        <v>7</v>
      </c>
      <c r="E1485" s="7" t="str">
        <f>_xlfn.XLOOKUP(B1485,Customers!A1485:A2484,Customers!B1485:B2484,"Customer Not Found",0)</f>
        <v>Customer Not Found</v>
      </c>
      <c r="F1485" s="7" t="str">
        <f>_xlfn.XLOOKUP(Orders!B1485,Customers!A1485:A2484,Customers!C1485:C2484,"Country not Found",0)</f>
        <v>Country not Found</v>
      </c>
      <c r="G1485" s="7" t="str">
        <f>_xlfn.XLOOKUP(C1485,Products!A1485:A1984,Products!B1485:B1984,"Product Missing",0)</f>
        <v>Product Missing</v>
      </c>
      <c r="H1485" s="7" t="str">
        <f>_xlfn.XLOOKUP(C1485,Products!A1485:A1984,Products!C1485:C1984,"Category Missing",0)</f>
        <v>Category Missing</v>
      </c>
      <c r="I1485" s="11" t="str">
        <f>_xlfn.XLOOKUP(Orders!C1485,Products!A1485:A1984,Products!D1485:D1984,"Price Missing",0)</f>
        <v>Price Missing</v>
      </c>
      <c r="J1485" s="19">
        <f t="shared" si="23"/>
        <v>0</v>
      </c>
    </row>
    <row r="1486" spans="1:10" x14ac:dyDescent="0.35">
      <c r="A1486" s="4" t="s">
        <v>5506</v>
      </c>
      <c r="B1486" s="7" t="s">
        <v>1265</v>
      </c>
      <c r="C1486" s="7" t="s">
        <v>3578</v>
      </c>
      <c r="D1486" s="5">
        <v>9</v>
      </c>
      <c r="E1486" s="7" t="str">
        <f>_xlfn.XLOOKUP(B1486,Customers!A1486:A2485,Customers!B1486:B2485,"Customer Not Found",0)</f>
        <v>Customer Not Found</v>
      </c>
      <c r="F1486" s="7" t="str">
        <f>_xlfn.XLOOKUP(Orders!B1486,Customers!A1486:A2485,Customers!C1486:C2485,"Country not Found",0)</f>
        <v>Country not Found</v>
      </c>
      <c r="G1486" s="7" t="str">
        <f>_xlfn.XLOOKUP(C1486,Products!A1486:A1985,Products!B1486:B1985,"Product Missing",0)</f>
        <v>Product Missing</v>
      </c>
      <c r="H1486" s="7" t="str">
        <f>_xlfn.XLOOKUP(C1486,Products!A1486:A1985,Products!C1486:C1985,"Category Missing",0)</f>
        <v>Category Missing</v>
      </c>
      <c r="I1486" s="11" t="str">
        <f>_xlfn.XLOOKUP(Orders!C1486,Products!A1486:A1985,Products!D1486:D1985,"Price Missing",0)</f>
        <v>Price Missing</v>
      </c>
      <c r="J1486" s="19">
        <f t="shared" si="23"/>
        <v>0</v>
      </c>
    </row>
    <row r="1487" spans="1:10" x14ac:dyDescent="0.35">
      <c r="A1487" s="4" t="s">
        <v>5507</v>
      </c>
      <c r="B1487" s="7" t="s">
        <v>2180</v>
      </c>
      <c r="C1487" s="7" t="s">
        <v>3970</v>
      </c>
      <c r="D1487" s="5">
        <v>3</v>
      </c>
      <c r="E1487" s="7" t="str">
        <f>_xlfn.XLOOKUP(B1487,Customers!A1487:A2486,Customers!B1487:B2486,"Customer Not Found",0)</f>
        <v>Customer Not Found</v>
      </c>
      <c r="F1487" s="7" t="str">
        <f>_xlfn.XLOOKUP(Orders!B1487,Customers!A1487:A2486,Customers!C1487:C2486,"Country not Found",0)</f>
        <v>Country not Found</v>
      </c>
      <c r="G1487" s="7" t="str">
        <f>_xlfn.XLOOKUP(C1487,Products!A1487:A1986,Products!B1487:B1986,"Product Missing",0)</f>
        <v>Product Missing</v>
      </c>
      <c r="H1487" s="7" t="str">
        <f>_xlfn.XLOOKUP(C1487,Products!A1487:A1986,Products!C1487:C1986,"Category Missing",0)</f>
        <v>Category Missing</v>
      </c>
      <c r="I1487" s="11" t="str">
        <f>_xlfn.XLOOKUP(Orders!C1487,Products!A1487:A1986,Products!D1487:D1986,"Price Missing",0)</f>
        <v>Price Missing</v>
      </c>
      <c r="J1487" s="19">
        <f t="shared" si="23"/>
        <v>0</v>
      </c>
    </row>
    <row r="1488" spans="1:10" x14ac:dyDescent="0.35">
      <c r="A1488" s="4" t="s">
        <v>5508</v>
      </c>
      <c r="B1488" s="7" t="s">
        <v>2588</v>
      </c>
      <c r="C1488" s="7" t="s">
        <v>3904</v>
      </c>
      <c r="D1488" s="5">
        <v>9</v>
      </c>
      <c r="E1488" s="7" t="str">
        <f>_xlfn.XLOOKUP(B1488,Customers!A1488:A2487,Customers!B1488:B2487,"Customer Not Found",0)</f>
        <v>Customer Not Found</v>
      </c>
      <c r="F1488" s="7" t="str">
        <f>_xlfn.XLOOKUP(Orders!B1488,Customers!A1488:A2487,Customers!C1488:C2487,"Country not Found",0)</f>
        <v>Country not Found</v>
      </c>
      <c r="G1488" s="7" t="str">
        <f>_xlfn.XLOOKUP(C1488,Products!A1488:A1987,Products!B1488:B1987,"Product Missing",0)</f>
        <v>Product Missing</v>
      </c>
      <c r="H1488" s="7" t="str">
        <f>_xlfn.XLOOKUP(C1488,Products!A1488:A1987,Products!C1488:C1987,"Category Missing",0)</f>
        <v>Category Missing</v>
      </c>
      <c r="I1488" s="11" t="str">
        <f>_xlfn.XLOOKUP(Orders!C1488,Products!A1488:A1987,Products!D1488:D1987,"Price Missing",0)</f>
        <v>Price Missing</v>
      </c>
      <c r="J1488" s="19">
        <f t="shared" si="23"/>
        <v>0</v>
      </c>
    </row>
    <row r="1489" spans="1:10" x14ac:dyDescent="0.35">
      <c r="A1489" s="4" t="s">
        <v>5509</v>
      </c>
      <c r="B1489" s="7" t="s">
        <v>551</v>
      </c>
      <c r="C1489" s="7" t="s">
        <v>3208</v>
      </c>
      <c r="D1489" s="5">
        <v>1</v>
      </c>
      <c r="E1489" s="7" t="str">
        <f>_xlfn.XLOOKUP(B1489,Customers!A1489:A2488,Customers!B1489:B2488,"Customer Not Found",0)</f>
        <v>Customer Not Found</v>
      </c>
      <c r="F1489" s="7" t="str">
        <f>_xlfn.XLOOKUP(Orders!B1489,Customers!A1489:A2488,Customers!C1489:C2488,"Country not Found",0)</f>
        <v>Country not Found</v>
      </c>
      <c r="G1489" s="7" t="str">
        <f>_xlfn.XLOOKUP(C1489,Products!A1489:A1988,Products!B1489:B1988,"Product Missing",0)</f>
        <v>Product Missing</v>
      </c>
      <c r="H1489" s="7" t="str">
        <f>_xlfn.XLOOKUP(C1489,Products!A1489:A1988,Products!C1489:C1988,"Category Missing",0)</f>
        <v>Category Missing</v>
      </c>
      <c r="I1489" s="11" t="str">
        <f>_xlfn.XLOOKUP(Orders!C1489,Products!A1489:A1988,Products!D1489:D1988,"Price Missing",0)</f>
        <v>Price Missing</v>
      </c>
      <c r="J1489" s="19">
        <f t="shared" si="23"/>
        <v>0</v>
      </c>
    </row>
    <row r="1490" spans="1:10" x14ac:dyDescent="0.35">
      <c r="A1490" s="4" t="s">
        <v>5510</v>
      </c>
      <c r="B1490" s="7" t="s">
        <v>1241</v>
      </c>
      <c r="C1490" s="7" t="s">
        <v>3244</v>
      </c>
      <c r="D1490" s="5">
        <v>5</v>
      </c>
      <c r="E1490" s="7" t="str">
        <f>_xlfn.XLOOKUP(B1490,Customers!A1490:A2489,Customers!B1490:B2489,"Customer Not Found",0)</f>
        <v>Customer Not Found</v>
      </c>
      <c r="F1490" s="7" t="str">
        <f>_xlfn.XLOOKUP(Orders!B1490,Customers!A1490:A2489,Customers!C1490:C2489,"Country not Found",0)</f>
        <v>Country not Found</v>
      </c>
      <c r="G1490" s="7" t="str">
        <f>_xlfn.XLOOKUP(C1490,Products!A1490:A1989,Products!B1490:B1989,"Product Missing",0)</f>
        <v>Product Missing</v>
      </c>
      <c r="H1490" s="7" t="str">
        <f>_xlfn.XLOOKUP(C1490,Products!A1490:A1989,Products!C1490:C1989,"Category Missing",0)</f>
        <v>Category Missing</v>
      </c>
      <c r="I1490" s="11" t="str">
        <f>_xlfn.XLOOKUP(Orders!C1490,Products!A1490:A1989,Products!D1490:D1989,"Price Missing",0)</f>
        <v>Price Missing</v>
      </c>
      <c r="J1490" s="19">
        <f t="shared" si="23"/>
        <v>0</v>
      </c>
    </row>
    <row r="1491" spans="1:10" x14ac:dyDescent="0.35">
      <c r="A1491" s="4" t="s">
        <v>5511</v>
      </c>
      <c r="B1491" s="7" t="s">
        <v>1904</v>
      </c>
      <c r="C1491" s="7" t="s">
        <v>3576</v>
      </c>
      <c r="D1491" s="5">
        <v>1</v>
      </c>
      <c r="E1491" s="7" t="str">
        <f>_xlfn.XLOOKUP(B1491,Customers!A1491:A2490,Customers!B1491:B2490,"Customer Not Found",0)</f>
        <v>Customer Not Found</v>
      </c>
      <c r="F1491" s="7" t="str">
        <f>_xlfn.XLOOKUP(Orders!B1491,Customers!A1491:A2490,Customers!C1491:C2490,"Country not Found",0)</f>
        <v>Country not Found</v>
      </c>
      <c r="G1491" s="7" t="str">
        <f>_xlfn.XLOOKUP(C1491,Products!A1491:A1990,Products!B1491:B1990,"Product Missing",0)</f>
        <v>Product Missing</v>
      </c>
      <c r="H1491" s="7" t="str">
        <f>_xlfn.XLOOKUP(C1491,Products!A1491:A1990,Products!C1491:C1990,"Category Missing",0)</f>
        <v>Category Missing</v>
      </c>
      <c r="I1491" s="11" t="str">
        <f>_xlfn.XLOOKUP(Orders!C1491,Products!A1491:A1990,Products!D1491:D1990,"Price Missing",0)</f>
        <v>Price Missing</v>
      </c>
      <c r="J1491" s="19">
        <f t="shared" si="23"/>
        <v>0</v>
      </c>
    </row>
    <row r="1492" spans="1:10" x14ac:dyDescent="0.35">
      <c r="A1492" s="4" t="s">
        <v>5512</v>
      </c>
      <c r="B1492" s="7" t="s">
        <v>878</v>
      </c>
      <c r="C1492" s="7" t="s">
        <v>3754</v>
      </c>
      <c r="D1492" s="5">
        <v>7</v>
      </c>
      <c r="E1492" s="7" t="str">
        <f>_xlfn.XLOOKUP(B1492,Customers!A1492:A2491,Customers!B1492:B2491,"Customer Not Found",0)</f>
        <v>Customer Not Found</v>
      </c>
      <c r="F1492" s="7" t="str">
        <f>_xlfn.XLOOKUP(Orders!B1492,Customers!A1492:A2491,Customers!C1492:C2491,"Country not Found",0)</f>
        <v>Country not Found</v>
      </c>
      <c r="G1492" s="7" t="str">
        <f>_xlfn.XLOOKUP(C1492,Products!A1492:A1991,Products!B1492:B1991,"Product Missing",0)</f>
        <v>Product Missing</v>
      </c>
      <c r="H1492" s="7" t="str">
        <f>_xlfn.XLOOKUP(C1492,Products!A1492:A1991,Products!C1492:C1991,"Category Missing",0)</f>
        <v>Category Missing</v>
      </c>
      <c r="I1492" s="11" t="str">
        <f>_xlfn.XLOOKUP(Orders!C1492,Products!A1492:A1991,Products!D1492:D1991,"Price Missing",0)</f>
        <v>Price Missing</v>
      </c>
      <c r="J1492" s="19">
        <f t="shared" si="23"/>
        <v>0</v>
      </c>
    </row>
    <row r="1493" spans="1:10" x14ac:dyDescent="0.35">
      <c r="A1493" s="4" t="s">
        <v>5513</v>
      </c>
      <c r="B1493" s="7" t="s">
        <v>167</v>
      </c>
      <c r="C1493" s="7" t="s">
        <v>3152</v>
      </c>
      <c r="D1493" s="5">
        <v>3</v>
      </c>
      <c r="E1493" s="7" t="str">
        <f>_xlfn.XLOOKUP(B1493,Customers!A1493:A2492,Customers!B1493:B2492,"Customer Not Found",0)</f>
        <v>Customer Not Found</v>
      </c>
      <c r="F1493" s="7" t="str">
        <f>_xlfn.XLOOKUP(Orders!B1493,Customers!A1493:A2492,Customers!C1493:C2492,"Country not Found",0)</f>
        <v>Country not Found</v>
      </c>
      <c r="G1493" s="7" t="str">
        <f>_xlfn.XLOOKUP(C1493,Products!A1493:A1992,Products!B1493:B1992,"Product Missing",0)</f>
        <v>Product Missing</v>
      </c>
      <c r="H1493" s="7" t="str">
        <f>_xlfn.XLOOKUP(C1493,Products!A1493:A1992,Products!C1493:C1992,"Category Missing",0)</f>
        <v>Category Missing</v>
      </c>
      <c r="I1493" s="11" t="str">
        <f>_xlfn.XLOOKUP(Orders!C1493,Products!A1493:A1992,Products!D1493:D1992,"Price Missing",0)</f>
        <v>Price Missing</v>
      </c>
      <c r="J1493" s="19">
        <f t="shared" si="23"/>
        <v>0</v>
      </c>
    </row>
    <row r="1494" spans="1:10" x14ac:dyDescent="0.35">
      <c r="A1494" s="4" t="s">
        <v>5514</v>
      </c>
      <c r="B1494" s="7" t="s">
        <v>1802</v>
      </c>
      <c r="C1494" s="7" t="s">
        <v>3532</v>
      </c>
      <c r="D1494" s="5">
        <v>8</v>
      </c>
      <c r="E1494" s="7" t="str">
        <f>_xlfn.XLOOKUP(B1494,Customers!A1494:A2493,Customers!B1494:B2493,"Customer Not Found",0)</f>
        <v>Customer Not Found</v>
      </c>
      <c r="F1494" s="7" t="str">
        <f>_xlfn.XLOOKUP(Orders!B1494,Customers!A1494:A2493,Customers!C1494:C2493,"Country not Found",0)</f>
        <v>Country not Found</v>
      </c>
      <c r="G1494" s="7" t="str">
        <f>_xlfn.XLOOKUP(C1494,Products!A1494:A1993,Products!B1494:B1993,"Product Missing",0)</f>
        <v>Product Missing</v>
      </c>
      <c r="H1494" s="7" t="str">
        <f>_xlfn.XLOOKUP(C1494,Products!A1494:A1993,Products!C1494:C1993,"Category Missing",0)</f>
        <v>Category Missing</v>
      </c>
      <c r="I1494" s="11" t="str">
        <f>_xlfn.XLOOKUP(Orders!C1494,Products!A1494:A1993,Products!D1494:D1993,"Price Missing",0)</f>
        <v>Price Missing</v>
      </c>
      <c r="J1494" s="19">
        <f t="shared" si="23"/>
        <v>0</v>
      </c>
    </row>
    <row r="1495" spans="1:10" x14ac:dyDescent="0.35">
      <c r="A1495" s="4" t="s">
        <v>5515</v>
      </c>
      <c r="B1495" s="7" t="s">
        <v>644</v>
      </c>
      <c r="C1495" s="7" t="s">
        <v>3964</v>
      </c>
      <c r="D1495" s="5">
        <v>5</v>
      </c>
      <c r="E1495" s="7" t="str">
        <f>_xlfn.XLOOKUP(B1495,Customers!A1495:A2494,Customers!B1495:B2494,"Customer Not Found",0)</f>
        <v>Customer Not Found</v>
      </c>
      <c r="F1495" s="7" t="str">
        <f>_xlfn.XLOOKUP(Orders!B1495,Customers!A1495:A2494,Customers!C1495:C2494,"Country not Found",0)</f>
        <v>Country not Found</v>
      </c>
      <c r="G1495" s="7" t="str">
        <f>_xlfn.XLOOKUP(C1495,Products!A1495:A1994,Products!B1495:B1994,"Product Missing",0)</f>
        <v>Product Missing</v>
      </c>
      <c r="H1495" s="7" t="str">
        <f>_xlfn.XLOOKUP(C1495,Products!A1495:A1994,Products!C1495:C1994,"Category Missing",0)</f>
        <v>Category Missing</v>
      </c>
      <c r="I1495" s="11" t="str">
        <f>_xlfn.XLOOKUP(Orders!C1495,Products!A1495:A1994,Products!D1495:D1994,"Price Missing",0)</f>
        <v>Price Missing</v>
      </c>
      <c r="J1495" s="19">
        <f t="shared" si="23"/>
        <v>0</v>
      </c>
    </row>
    <row r="1496" spans="1:10" x14ac:dyDescent="0.35">
      <c r="A1496" s="4" t="s">
        <v>5516</v>
      </c>
      <c r="B1496" s="7" t="s">
        <v>122</v>
      </c>
      <c r="C1496" s="7" t="s">
        <v>3838</v>
      </c>
      <c r="D1496" s="5">
        <v>4</v>
      </c>
      <c r="E1496" s="7" t="str">
        <f>_xlfn.XLOOKUP(B1496,Customers!A1496:A2495,Customers!B1496:B2495,"Customer Not Found",0)</f>
        <v>Customer Not Found</v>
      </c>
      <c r="F1496" s="7" t="str">
        <f>_xlfn.XLOOKUP(Orders!B1496,Customers!A1496:A2495,Customers!C1496:C2495,"Country not Found",0)</f>
        <v>Country not Found</v>
      </c>
      <c r="G1496" s="7" t="str">
        <f>_xlfn.XLOOKUP(C1496,Products!A1496:A1995,Products!B1496:B1995,"Product Missing",0)</f>
        <v>Product Missing</v>
      </c>
      <c r="H1496" s="7" t="str">
        <f>_xlfn.XLOOKUP(C1496,Products!A1496:A1995,Products!C1496:C1995,"Category Missing",0)</f>
        <v>Category Missing</v>
      </c>
      <c r="I1496" s="11" t="str">
        <f>_xlfn.XLOOKUP(Orders!C1496,Products!A1496:A1995,Products!D1496:D1995,"Price Missing",0)</f>
        <v>Price Missing</v>
      </c>
      <c r="J1496" s="19">
        <f t="shared" si="23"/>
        <v>0</v>
      </c>
    </row>
    <row r="1497" spans="1:10" x14ac:dyDescent="0.35">
      <c r="A1497" s="4" t="s">
        <v>5517</v>
      </c>
      <c r="B1497" s="7" t="s">
        <v>2966</v>
      </c>
      <c r="C1497" s="7" t="s">
        <v>3436</v>
      </c>
      <c r="D1497" s="5">
        <v>4</v>
      </c>
      <c r="E1497" s="7" t="str">
        <f>_xlfn.XLOOKUP(B1497,Customers!A1497:A2496,Customers!B1497:B2496,"Customer Not Found",0)</f>
        <v>Customer Not Found</v>
      </c>
      <c r="F1497" s="7" t="str">
        <f>_xlfn.XLOOKUP(Orders!B1497,Customers!A1497:A2496,Customers!C1497:C2496,"Country not Found",0)</f>
        <v>Country not Found</v>
      </c>
      <c r="G1497" s="7" t="str">
        <f>_xlfn.XLOOKUP(C1497,Products!A1497:A1996,Products!B1497:B1996,"Product Missing",0)</f>
        <v>Product Missing</v>
      </c>
      <c r="H1497" s="7" t="str">
        <f>_xlfn.XLOOKUP(C1497,Products!A1497:A1996,Products!C1497:C1996,"Category Missing",0)</f>
        <v>Category Missing</v>
      </c>
      <c r="I1497" s="11" t="str">
        <f>_xlfn.XLOOKUP(Orders!C1497,Products!A1497:A1996,Products!D1497:D1996,"Price Missing",0)</f>
        <v>Price Missing</v>
      </c>
      <c r="J1497" s="19">
        <f t="shared" si="23"/>
        <v>0</v>
      </c>
    </row>
    <row r="1498" spans="1:10" x14ac:dyDescent="0.35">
      <c r="A1498" s="4" t="s">
        <v>5518</v>
      </c>
      <c r="B1498" s="7" t="s">
        <v>377</v>
      </c>
      <c r="C1498" s="7" t="s">
        <v>3052</v>
      </c>
      <c r="D1498" s="5">
        <v>9</v>
      </c>
      <c r="E1498" s="7" t="str">
        <f>_xlfn.XLOOKUP(B1498,Customers!A1498:A2497,Customers!B1498:B2497,"Customer Not Found",0)</f>
        <v>Customer Not Found</v>
      </c>
      <c r="F1498" s="7" t="str">
        <f>_xlfn.XLOOKUP(Orders!B1498,Customers!A1498:A2497,Customers!C1498:C2497,"Country not Found",0)</f>
        <v>Country not Found</v>
      </c>
      <c r="G1498" s="7" t="str">
        <f>_xlfn.XLOOKUP(C1498,Products!A1498:A1997,Products!B1498:B1997,"Product Missing",0)</f>
        <v>Product Missing</v>
      </c>
      <c r="H1498" s="7" t="str">
        <f>_xlfn.XLOOKUP(C1498,Products!A1498:A1997,Products!C1498:C1997,"Category Missing",0)</f>
        <v>Category Missing</v>
      </c>
      <c r="I1498" s="11" t="str">
        <f>_xlfn.XLOOKUP(Orders!C1498,Products!A1498:A1997,Products!D1498:D1997,"Price Missing",0)</f>
        <v>Price Missing</v>
      </c>
      <c r="J1498" s="19">
        <f t="shared" si="23"/>
        <v>0</v>
      </c>
    </row>
    <row r="1499" spans="1:10" x14ac:dyDescent="0.35">
      <c r="A1499" s="4" t="s">
        <v>5519</v>
      </c>
      <c r="B1499" s="7" t="s">
        <v>491</v>
      </c>
      <c r="C1499" s="7" t="s">
        <v>3442</v>
      </c>
      <c r="D1499" s="5">
        <v>4</v>
      </c>
      <c r="E1499" s="7" t="str">
        <f>_xlfn.XLOOKUP(B1499,Customers!A1499:A2498,Customers!B1499:B2498,"Customer Not Found",0)</f>
        <v>Customer Not Found</v>
      </c>
      <c r="F1499" s="7" t="str">
        <f>_xlfn.XLOOKUP(Orders!B1499,Customers!A1499:A2498,Customers!C1499:C2498,"Country not Found",0)</f>
        <v>Country not Found</v>
      </c>
      <c r="G1499" s="7" t="str">
        <f>_xlfn.XLOOKUP(C1499,Products!A1499:A1998,Products!B1499:B1998,"Product Missing",0)</f>
        <v>Product Missing</v>
      </c>
      <c r="H1499" s="7" t="str">
        <f>_xlfn.XLOOKUP(C1499,Products!A1499:A1998,Products!C1499:C1998,"Category Missing",0)</f>
        <v>Category Missing</v>
      </c>
      <c r="I1499" s="11" t="str">
        <f>_xlfn.XLOOKUP(Orders!C1499,Products!A1499:A1998,Products!D1499:D1998,"Price Missing",0)</f>
        <v>Price Missing</v>
      </c>
      <c r="J1499" s="19">
        <f t="shared" si="23"/>
        <v>0</v>
      </c>
    </row>
    <row r="1500" spans="1:10" x14ac:dyDescent="0.35">
      <c r="A1500" s="4" t="s">
        <v>5520</v>
      </c>
      <c r="B1500" s="7" t="s">
        <v>1007</v>
      </c>
      <c r="C1500" s="7" t="s">
        <v>3222</v>
      </c>
      <c r="D1500" s="5">
        <v>5</v>
      </c>
      <c r="E1500" s="7" t="str">
        <f>_xlfn.XLOOKUP(B1500,Customers!A1500:A2499,Customers!B1500:B2499,"Customer Not Found",0)</f>
        <v>Customer Not Found</v>
      </c>
      <c r="F1500" s="7" t="str">
        <f>_xlfn.XLOOKUP(Orders!B1500,Customers!A1500:A2499,Customers!C1500:C2499,"Country not Found",0)</f>
        <v>Country not Found</v>
      </c>
      <c r="G1500" s="7" t="str">
        <f>_xlfn.XLOOKUP(C1500,Products!A1500:A1999,Products!B1500:B1999,"Product Missing",0)</f>
        <v>Product Missing</v>
      </c>
      <c r="H1500" s="7" t="str">
        <f>_xlfn.XLOOKUP(C1500,Products!A1500:A1999,Products!C1500:C1999,"Category Missing",0)</f>
        <v>Category Missing</v>
      </c>
      <c r="I1500" s="11" t="str">
        <f>_xlfn.XLOOKUP(Orders!C1500,Products!A1500:A1999,Products!D1500:D1999,"Price Missing",0)</f>
        <v>Price Missing</v>
      </c>
      <c r="J1500" s="19">
        <f t="shared" si="23"/>
        <v>0</v>
      </c>
    </row>
    <row r="1501" spans="1:10" x14ac:dyDescent="0.35">
      <c r="A1501" s="4" t="s">
        <v>5521</v>
      </c>
      <c r="B1501" s="7" t="s">
        <v>1337</v>
      </c>
      <c r="C1501" s="7" t="s">
        <v>3936</v>
      </c>
      <c r="D1501" s="5">
        <v>3</v>
      </c>
      <c r="E1501" s="7" t="str">
        <f>_xlfn.XLOOKUP(B1501,Customers!A1501:A2500,Customers!B1501:B2500,"Customer Not Found",0)</f>
        <v>Customer Not Found</v>
      </c>
      <c r="F1501" s="7" t="str">
        <f>_xlfn.XLOOKUP(Orders!B1501,Customers!A1501:A2500,Customers!C1501:C2500,"Country not Found",0)</f>
        <v>Country not Found</v>
      </c>
      <c r="G1501" s="7" t="str">
        <f>_xlfn.XLOOKUP(C1501,Products!A1501:A2000,Products!B1501:B2000,"Product Missing",0)</f>
        <v>Product Missing</v>
      </c>
      <c r="H1501" s="7" t="str">
        <f>_xlfn.XLOOKUP(C1501,Products!A1501:A2000,Products!C1501:C2000,"Category Missing",0)</f>
        <v>Category Missing</v>
      </c>
      <c r="I1501" s="11" t="str">
        <f>_xlfn.XLOOKUP(Orders!C1501,Products!A1501:A2000,Products!D1501:D2000,"Price Missing",0)</f>
        <v>Price Missing</v>
      </c>
      <c r="J1501" s="19">
        <f t="shared" si="23"/>
        <v>0</v>
      </c>
    </row>
    <row r="1502" spans="1:10" x14ac:dyDescent="0.35">
      <c r="A1502" s="4" t="s">
        <v>5522</v>
      </c>
      <c r="B1502" s="7" t="s">
        <v>2822</v>
      </c>
      <c r="C1502" s="7" t="s">
        <v>3784</v>
      </c>
      <c r="D1502" s="5">
        <v>8</v>
      </c>
      <c r="E1502" s="7" t="str">
        <f>_xlfn.XLOOKUP(B1502,Customers!A1502:A2501,Customers!B1502:B2501,"Customer Not Found",0)</f>
        <v>Customer Not Found</v>
      </c>
      <c r="F1502" s="7" t="str">
        <f>_xlfn.XLOOKUP(Orders!B1502,Customers!A1502:A2501,Customers!C1502:C2501,"Country not Found",0)</f>
        <v>Country not Found</v>
      </c>
      <c r="G1502" s="7" t="str">
        <f>_xlfn.XLOOKUP(C1502,Products!A1502:A2001,Products!B1502:B2001,"Product Missing",0)</f>
        <v>Product Missing</v>
      </c>
      <c r="H1502" s="7" t="str">
        <f>_xlfn.XLOOKUP(C1502,Products!A1502:A2001,Products!C1502:C2001,"Category Missing",0)</f>
        <v>Category Missing</v>
      </c>
      <c r="I1502" s="11" t="str">
        <f>_xlfn.XLOOKUP(Orders!C1502,Products!A1502:A2001,Products!D1502:D2001,"Price Missing",0)</f>
        <v>Price Missing</v>
      </c>
      <c r="J1502" s="19">
        <f t="shared" si="23"/>
        <v>0</v>
      </c>
    </row>
    <row r="1503" spans="1:10" x14ac:dyDescent="0.35">
      <c r="A1503" s="4" t="s">
        <v>5523</v>
      </c>
      <c r="B1503" s="7" t="s">
        <v>968</v>
      </c>
      <c r="C1503" s="7" t="s">
        <v>3772</v>
      </c>
      <c r="D1503" s="5">
        <v>4</v>
      </c>
      <c r="E1503" s="7" t="str">
        <f>_xlfn.XLOOKUP(B1503,Customers!A1503:A2502,Customers!B1503:B2502,"Customer Not Found",0)</f>
        <v>Customer Not Found</v>
      </c>
      <c r="F1503" s="7" t="str">
        <f>_xlfn.XLOOKUP(Orders!B1503,Customers!A1503:A2502,Customers!C1503:C2502,"Country not Found",0)</f>
        <v>Country not Found</v>
      </c>
      <c r="G1503" s="7" t="str">
        <f>_xlfn.XLOOKUP(C1503,Products!A1503:A2002,Products!B1503:B2002,"Product Missing",0)</f>
        <v>Product Missing</v>
      </c>
      <c r="H1503" s="7" t="str">
        <f>_xlfn.XLOOKUP(C1503,Products!A1503:A2002,Products!C1503:C2002,"Category Missing",0)</f>
        <v>Category Missing</v>
      </c>
      <c r="I1503" s="11" t="str">
        <f>_xlfn.XLOOKUP(Orders!C1503,Products!A1503:A2002,Products!D1503:D2002,"Price Missing",0)</f>
        <v>Price Missing</v>
      </c>
      <c r="J1503" s="19">
        <f t="shared" si="23"/>
        <v>0</v>
      </c>
    </row>
    <row r="1504" spans="1:10" x14ac:dyDescent="0.35">
      <c r="A1504" s="4" t="s">
        <v>5524</v>
      </c>
      <c r="B1504" s="7" t="s">
        <v>1367</v>
      </c>
      <c r="C1504" s="7" t="s">
        <v>3544</v>
      </c>
      <c r="D1504" s="5">
        <v>1</v>
      </c>
      <c r="E1504" s="7" t="str">
        <f>_xlfn.XLOOKUP(B1504,Customers!A1504:A2503,Customers!B1504:B2503,"Customer Not Found",0)</f>
        <v>Customer Not Found</v>
      </c>
      <c r="F1504" s="7" t="str">
        <f>_xlfn.XLOOKUP(Orders!B1504,Customers!A1504:A2503,Customers!C1504:C2503,"Country not Found",0)</f>
        <v>Country not Found</v>
      </c>
      <c r="G1504" s="7" t="str">
        <f>_xlfn.XLOOKUP(C1504,Products!A1504:A2003,Products!B1504:B2003,"Product Missing",0)</f>
        <v>Product Missing</v>
      </c>
      <c r="H1504" s="7" t="str">
        <f>_xlfn.XLOOKUP(C1504,Products!A1504:A2003,Products!C1504:C2003,"Category Missing",0)</f>
        <v>Category Missing</v>
      </c>
      <c r="I1504" s="11" t="str">
        <f>_xlfn.XLOOKUP(Orders!C1504,Products!A1504:A2003,Products!D1504:D2003,"Price Missing",0)</f>
        <v>Price Missing</v>
      </c>
      <c r="J1504" s="19">
        <f t="shared" si="23"/>
        <v>0</v>
      </c>
    </row>
    <row r="1505" spans="1:10" x14ac:dyDescent="0.35">
      <c r="A1505" s="4" t="s">
        <v>5525</v>
      </c>
      <c r="B1505" s="7" t="s">
        <v>76</v>
      </c>
      <c r="C1505" s="7" t="s">
        <v>3128</v>
      </c>
      <c r="D1505" s="5">
        <v>3</v>
      </c>
      <c r="E1505" s="7" t="str">
        <f>_xlfn.XLOOKUP(B1505,Customers!A1505:A2504,Customers!B1505:B2504,"Customer Not Found",0)</f>
        <v>Customer Not Found</v>
      </c>
      <c r="F1505" s="7" t="str">
        <f>_xlfn.XLOOKUP(Orders!B1505,Customers!A1505:A2504,Customers!C1505:C2504,"Country not Found",0)</f>
        <v>Country not Found</v>
      </c>
      <c r="G1505" s="7" t="str">
        <f>_xlfn.XLOOKUP(C1505,Products!A1505:A2004,Products!B1505:B2004,"Product Missing",0)</f>
        <v>Product Missing</v>
      </c>
      <c r="H1505" s="7" t="str">
        <f>_xlfn.XLOOKUP(C1505,Products!A1505:A2004,Products!C1505:C2004,"Category Missing",0)</f>
        <v>Category Missing</v>
      </c>
      <c r="I1505" s="11" t="str">
        <f>_xlfn.XLOOKUP(Orders!C1505,Products!A1505:A2004,Products!D1505:D2004,"Price Missing",0)</f>
        <v>Price Missing</v>
      </c>
      <c r="J1505" s="19">
        <f t="shared" si="23"/>
        <v>0</v>
      </c>
    </row>
    <row r="1506" spans="1:10" x14ac:dyDescent="0.35">
      <c r="A1506" s="4" t="s">
        <v>5526</v>
      </c>
      <c r="B1506" s="7" t="s">
        <v>2705</v>
      </c>
      <c r="C1506" s="7" t="s">
        <v>3490</v>
      </c>
      <c r="D1506" s="5">
        <v>1</v>
      </c>
      <c r="E1506" s="7" t="str">
        <f>_xlfn.XLOOKUP(B1506,Customers!A1506:A2505,Customers!B1506:B2505,"Customer Not Found",0)</f>
        <v>Customer Not Found</v>
      </c>
      <c r="F1506" s="7" t="str">
        <f>_xlfn.XLOOKUP(Orders!B1506,Customers!A1506:A2505,Customers!C1506:C2505,"Country not Found",0)</f>
        <v>Country not Found</v>
      </c>
      <c r="G1506" s="7" t="str">
        <f>_xlfn.XLOOKUP(C1506,Products!A1506:A2005,Products!B1506:B2005,"Product Missing",0)</f>
        <v>Product Missing</v>
      </c>
      <c r="H1506" s="7" t="str">
        <f>_xlfn.XLOOKUP(C1506,Products!A1506:A2005,Products!C1506:C2005,"Category Missing",0)</f>
        <v>Category Missing</v>
      </c>
      <c r="I1506" s="11" t="str">
        <f>_xlfn.XLOOKUP(Orders!C1506,Products!A1506:A2005,Products!D1506:D2005,"Price Missing",0)</f>
        <v>Price Missing</v>
      </c>
      <c r="J1506" s="19">
        <f t="shared" si="23"/>
        <v>0</v>
      </c>
    </row>
    <row r="1507" spans="1:10" x14ac:dyDescent="0.35">
      <c r="A1507" s="4" t="s">
        <v>5527</v>
      </c>
      <c r="B1507" s="7" t="s">
        <v>55</v>
      </c>
      <c r="C1507" s="7" t="s">
        <v>3718</v>
      </c>
      <c r="D1507" s="5">
        <v>6</v>
      </c>
      <c r="E1507" s="7" t="str">
        <f>_xlfn.XLOOKUP(B1507,Customers!A1507:A2506,Customers!B1507:B2506,"Customer Not Found",0)</f>
        <v>Customer Not Found</v>
      </c>
      <c r="F1507" s="7" t="str">
        <f>_xlfn.XLOOKUP(Orders!B1507,Customers!A1507:A2506,Customers!C1507:C2506,"Country not Found",0)</f>
        <v>Country not Found</v>
      </c>
      <c r="G1507" s="7" t="str">
        <f>_xlfn.XLOOKUP(C1507,Products!A1507:A2006,Products!B1507:B2006,"Product Missing",0)</f>
        <v>Product Missing</v>
      </c>
      <c r="H1507" s="7" t="str">
        <f>_xlfn.XLOOKUP(C1507,Products!A1507:A2006,Products!C1507:C2006,"Category Missing",0)</f>
        <v>Category Missing</v>
      </c>
      <c r="I1507" s="11" t="str">
        <f>_xlfn.XLOOKUP(Orders!C1507,Products!A1507:A2006,Products!D1507:D2006,"Price Missing",0)</f>
        <v>Price Missing</v>
      </c>
      <c r="J1507" s="19">
        <f t="shared" si="23"/>
        <v>0</v>
      </c>
    </row>
    <row r="1508" spans="1:10" x14ac:dyDescent="0.35">
      <c r="A1508" s="4" t="s">
        <v>5528</v>
      </c>
      <c r="B1508" s="7" t="s">
        <v>2417</v>
      </c>
      <c r="C1508" s="7" t="s">
        <v>3692</v>
      </c>
      <c r="D1508" s="5">
        <v>8</v>
      </c>
      <c r="E1508" s="7" t="str">
        <f>_xlfn.XLOOKUP(B1508,Customers!A1508:A2507,Customers!B1508:B2507,"Customer Not Found",0)</f>
        <v>Customer Not Found</v>
      </c>
      <c r="F1508" s="7" t="str">
        <f>_xlfn.XLOOKUP(Orders!B1508,Customers!A1508:A2507,Customers!C1508:C2507,"Country not Found",0)</f>
        <v>Country not Found</v>
      </c>
      <c r="G1508" s="7" t="str">
        <f>_xlfn.XLOOKUP(C1508,Products!A1508:A2007,Products!B1508:B2007,"Product Missing",0)</f>
        <v>Product Missing</v>
      </c>
      <c r="H1508" s="7" t="str">
        <f>_xlfn.XLOOKUP(C1508,Products!A1508:A2007,Products!C1508:C2007,"Category Missing",0)</f>
        <v>Category Missing</v>
      </c>
      <c r="I1508" s="11" t="str">
        <f>_xlfn.XLOOKUP(Orders!C1508,Products!A1508:A2007,Products!D1508:D2007,"Price Missing",0)</f>
        <v>Price Missing</v>
      </c>
      <c r="J1508" s="19">
        <f t="shared" si="23"/>
        <v>0</v>
      </c>
    </row>
    <row r="1509" spans="1:10" x14ac:dyDescent="0.35">
      <c r="A1509" s="4" t="s">
        <v>5529</v>
      </c>
      <c r="B1509" s="7" t="s">
        <v>1553</v>
      </c>
      <c r="C1509" s="7" t="s">
        <v>3638</v>
      </c>
      <c r="D1509" s="5">
        <v>9</v>
      </c>
      <c r="E1509" s="7" t="str">
        <f>_xlfn.XLOOKUP(B1509,Customers!A1509:A2508,Customers!B1509:B2508,"Customer Not Found",0)</f>
        <v>Customer Not Found</v>
      </c>
      <c r="F1509" s="7" t="str">
        <f>_xlfn.XLOOKUP(Orders!B1509,Customers!A1509:A2508,Customers!C1509:C2508,"Country not Found",0)</f>
        <v>Country not Found</v>
      </c>
      <c r="G1509" s="7" t="str">
        <f>_xlfn.XLOOKUP(C1509,Products!A1509:A2008,Products!B1509:B2008,"Product Missing",0)</f>
        <v>Product Missing</v>
      </c>
      <c r="H1509" s="7" t="str">
        <f>_xlfn.XLOOKUP(C1509,Products!A1509:A2008,Products!C1509:C2008,"Category Missing",0)</f>
        <v>Category Missing</v>
      </c>
      <c r="I1509" s="11" t="str">
        <f>_xlfn.XLOOKUP(Orders!C1509,Products!A1509:A2008,Products!D1509:D2008,"Price Missing",0)</f>
        <v>Price Missing</v>
      </c>
      <c r="J1509" s="19">
        <f t="shared" si="23"/>
        <v>0</v>
      </c>
    </row>
    <row r="1510" spans="1:10" x14ac:dyDescent="0.35">
      <c r="A1510" s="4" t="s">
        <v>5530</v>
      </c>
      <c r="B1510" s="7" t="s">
        <v>395</v>
      </c>
      <c r="C1510" s="7" t="s">
        <v>3544</v>
      </c>
      <c r="D1510" s="5">
        <v>7</v>
      </c>
      <c r="E1510" s="7" t="str">
        <f>_xlfn.XLOOKUP(B1510,Customers!A1510:A2509,Customers!B1510:B2509,"Customer Not Found",0)</f>
        <v>Customer Not Found</v>
      </c>
      <c r="F1510" s="7" t="str">
        <f>_xlfn.XLOOKUP(Orders!B1510,Customers!A1510:A2509,Customers!C1510:C2509,"Country not Found",0)</f>
        <v>Country not Found</v>
      </c>
      <c r="G1510" s="7" t="str">
        <f>_xlfn.XLOOKUP(C1510,Products!A1510:A2009,Products!B1510:B2009,"Product Missing",0)</f>
        <v>Product Missing</v>
      </c>
      <c r="H1510" s="7" t="str">
        <f>_xlfn.XLOOKUP(C1510,Products!A1510:A2009,Products!C1510:C2009,"Category Missing",0)</f>
        <v>Category Missing</v>
      </c>
      <c r="I1510" s="11" t="str">
        <f>_xlfn.XLOOKUP(Orders!C1510,Products!A1510:A2009,Products!D1510:D2009,"Price Missing",0)</f>
        <v>Price Missing</v>
      </c>
      <c r="J1510" s="19">
        <f t="shared" si="23"/>
        <v>0</v>
      </c>
    </row>
    <row r="1511" spans="1:10" x14ac:dyDescent="0.35">
      <c r="A1511" s="4" t="s">
        <v>5531</v>
      </c>
      <c r="B1511" s="7" t="s">
        <v>1961</v>
      </c>
      <c r="C1511" s="7" t="s">
        <v>3968</v>
      </c>
      <c r="D1511" s="5">
        <v>3</v>
      </c>
      <c r="E1511" s="7" t="str">
        <f>_xlfn.XLOOKUP(B1511,Customers!A1511:A2510,Customers!B1511:B2510,"Customer Not Found",0)</f>
        <v>Customer Not Found</v>
      </c>
      <c r="F1511" s="7" t="str">
        <f>_xlfn.XLOOKUP(Orders!B1511,Customers!A1511:A2510,Customers!C1511:C2510,"Country not Found",0)</f>
        <v>Country not Found</v>
      </c>
      <c r="G1511" s="7" t="str">
        <f>_xlfn.XLOOKUP(C1511,Products!A1511:A2010,Products!B1511:B2010,"Product Missing",0)</f>
        <v>Product Missing</v>
      </c>
      <c r="H1511" s="7" t="str">
        <f>_xlfn.XLOOKUP(C1511,Products!A1511:A2010,Products!C1511:C2010,"Category Missing",0)</f>
        <v>Category Missing</v>
      </c>
      <c r="I1511" s="11" t="str">
        <f>_xlfn.XLOOKUP(Orders!C1511,Products!A1511:A2010,Products!D1511:D2010,"Price Missing",0)</f>
        <v>Price Missing</v>
      </c>
      <c r="J1511" s="19">
        <f t="shared" si="23"/>
        <v>0</v>
      </c>
    </row>
    <row r="1512" spans="1:10" x14ac:dyDescent="0.35">
      <c r="A1512" s="4" t="s">
        <v>5532</v>
      </c>
      <c r="B1512" s="7" t="s">
        <v>2123</v>
      </c>
      <c r="C1512" s="7" t="s">
        <v>3636</v>
      </c>
      <c r="D1512" s="5">
        <v>6</v>
      </c>
      <c r="E1512" s="7" t="str">
        <f>_xlfn.XLOOKUP(B1512,Customers!A1512:A2511,Customers!B1512:B2511,"Customer Not Found",0)</f>
        <v>Customer Not Found</v>
      </c>
      <c r="F1512" s="7" t="str">
        <f>_xlfn.XLOOKUP(Orders!B1512,Customers!A1512:A2511,Customers!C1512:C2511,"Country not Found",0)</f>
        <v>Country not Found</v>
      </c>
      <c r="G1512" s="7" t="str">
        <f>_xlfn.XLOOKUP(C1512,Products!A1512:A2011,Products!B1512:B2011,"Product Missing",0)</f>
        <v>Product Missing</v>
      </c>
      <c r="H1512" s="7" t="str">
        <f>_xlfn.XLOOKUP(C1512,Products!A1512:A2011,Products!C1512:C2011,"Category Missing",0)</f>
        <v>Category Missing</v>
      </c>
      <c r="I1512" s="11" t="str">
        <f>_xlfn.XLOOKUP(Orders!C1512,Products!A1512:A2011,Products!D1512:D2011,"Price Missing",0)</f>
        <v>Price Missing</v>
      </c>
      <c r="J1512" s="19">
        <f t="shared" si="23"/>
        <v>0</v>
      </c>
    </row>
    <row r="1513" spans="1:10" x14ac:dyDescent="0.35">
      <c r="A1513" s="4" t="s">
        <v>5533</v>
      </c>
      <c r="B1513" s="7" t="s">
        <v>2192</v>
      </c>
      <c r="C1513" s="7" t="s">
        <v>3060</v>
      </c>
      <c r="D1513" s="5">
        <v>3</v>
      </c>
      <c r="E1513" s="7" t="str">
        <f>_xlfn.XLOOKUP(B1513,Customers!A1513:A2512,Customers!B1513:B2512,"Customer Not Found",0)</f>
        <v>Customer Not Found</v>
      </c>
      <c r="F1513" s="7" t="str">
        <f>_xlfn.XLOOKUP(Orders!B1513,Customers!A1513:A2512,Customers!C1513:C2512,"Country not Found",0)</f>
        <v>Country not Found</v>
      </c>
      <c r="G1513" s="7" t="str">
        <f>_xlfn.XLOOKUP(C1513,Products!A1513:A2012,Products!B1513:B2012,"Product Missing",0)</f>
        <v>Product Missing</v>
      </c>
      <c r="H1513" s="7" t="str">
        <f>_xlfn.XLOOKUP(C1513,Products!A1513:A2012,Products!C1513:C2012,"Category Missing",0)</f>
        <v>Category Missing</v>
      </c>
      <c r="I1513" s="11" t="str">
        <f>_xlfn.XLOOKUP(Orders!C1513,Products!A1513:A2012,Products!D1513:D2012,"Price Missing",0)</f>
        <v>Price Missing</v>
      </c>
      <c r="J1513" s="19">
        <f t="shared" si="23"/>
        <v>0</v>
      </c>
    </row>
    <row r="1514" spans="1:10" x14ac:dyDescent="0.35">
      <c r="A1514" s="4" t="s">
        <v>5534</v>
      </c>
      <c r="B1514" s="7" t="s">
        <v>1751</v>
      </c>
      <c r="C1514" s="7" t="s">
        <v>3276</v>
      </c>
      <c r="D1514" s="5">
        <v>4</v>
      </c>
      <c r="E1514" s="7" t="str">
        <f>_xlfn.XLOOKUP(B1514,Customers!A1514:A2513,Customers!B1514:B2513,"Customer Not Found",0)</f>
        <v>Customer Not Found</v>
      </c>
      <c r="F1514" s="7" t="str">
        <f>_xlfn.XLOOKUP(Orders!B1514,Customers!A1514:A2513,Customers!C1514:C2513,"Country not Found",0)</f>
        <v>Country not Found</v>
      </c>
      <c r="G1514" s="7" t="str">
        <f>_xlfn.XLOOKUP(C1514,Products!A1514:A2013,Products!B1514:B2013,"Product Missing",0)</f>
        <v>Product Missing</v>
      </c>
      <c r="H1514" s="7" t="str">
        <f>_xlfn.XLOOKUP(C1514,Products!A1514:A2013,Products!C1514:C2013,"Category Missing",0)</f>
        <v>Category Missing</v>
      </c>
      <c r="I1514" s="11" t="str">
        <f>_xlfn.XLOOKUP(Orders!C1514,Products!A1514:A2013,Products!D1514:D2013,"Price Missing",0)</f>
        <v>Price Missing</v>
      </c>
      <c r="J1514" s="19">
        <f t="shared" si="23"/>
        <v>0</v>
      </c>
    </row>
    <row r="1515" spans="1:10" x14ac:dyDescent="0.35">
      <c r="A1515" s="4" t="s">
        <v>5535</v>
      </c>
      <c r="B1515" s="7" t="s">
        <v>701</v>
      </c>
      <c r="C1515" s="7" t="s">
        <v>3636</v>
      </c>
      <c r="D1515" s="5">
        <v>1</v>
      </c>
      <c r="E1515" s="7" t="str">
        <f>_xlfn.XLOOKUP(B1515,Customers!A1515:A2514,Customers!B1515:B2514,"Customer Not Found",0)</f>
        <v>Customer Not Found</v>
      </c>
      <c r="F1515" s="7" t="str">
        <f>_xlfn.XLOOKUP(Orders!B1515,Customers!A1515:A2514,Customers!C1515:C2514,"Country not Found",0)</f>
        <v>Country not Found</v>
      </c>
      <c r="G1515" s="7" t="str">
        <f>_xlfn.XLOOKUP(C1515,Products!A1515:A2014,Products!B1515:B2014,"Product Missing",0)</f>
        <v>Product Missing</v>
      </c>
      <c r="H1515" s="7" t="str">
        <f>_xlfn.XLOOKUP(C1515,Products!A1515:A2014,Products!C1515:C2014,"Category Missing",0)</f>
        <v>Category Missing</v>
      </c>
      <c r="I1515" s="11" t="str">
        <f>_xlfn.XLOOKUP(Orders!C1515,Products!A1515:A2014,Products!D1515:D2014,"Price Missing",0)</f>
        <v>Price Missing</v>
      </c>
      <c r="J1515" s="19">
        <f t="shared" si="23"/>
        <v>0</v>
      </c>
    </row>
    <row r="1516" spans="1:10" x14ac:dyDescent="0.35">
      <c r="A1516" s="4" t="s">
        <v>5536</v>
      </c>
      <c r="B1516" s="7" t="s">
        <v>2774</v>
      </c>
      <c r="C1516" s="7" t="s">
        <v>3210</v>
      </c>
      <c r="D1516" s="5">
        <v>10</v>
      </c>
      <c r="E1516" s="7" t="str">
        <f>_xlfn.XLOOKUP(B1516,Customers!A1516:A2515,Customers!B1516:B2515,"Customer Not Found",0)</f>
        <v>Customer Not Found</v>
      </c>
      <c r="F1516" s="7" t="str">
        <f>_xlfn.XLOOKUP(Orders!B1516,Customers!A1516:A2515,Customers!C1516:C2515,"Country not Found",0)</f>
        <v>Country not Found</v>
      </c>
      <c r="G1516" s="7" t="str">
        <f>_xlfn.XLOOKUP(C1516,Products!A1516:A2015,Products!B1516:B2015,"Product Missing",0)</f>
        <v>Product Missing</v>
      </c>
      <c r="H1516" s="7" t="str">
        <f>_xlfn.XLOOKUP(C1516,Products!A1516:A2015,Products!C1516:C2015,"Category Missing",0)</f>
        <v>Category Missing</v>
      </c>
      <c r="I1516" s="11" t="str">
        <f>_xlfn.XLOOKUP(Orders!C1516,Products!A1516:A2015,Products!D1516:D2015,"Price Missing",0)</f>
        <v>Price Missing</v>
      </c>
      <c r="J1516" s="19">
        <f t="shared" si="23"/>
        <v>0</v>
      </c>
    </row>
    <row r="1517" spans="1:10" x14ac:dyDescent="0.35">
      <c r="A1517" s="4" t="s">
        <v>5537</v>
      </c>
      <c r="B1517" s="7" t="s">
        <v>2345</v>
      </c>
      <c r="C1517" s="7" t="s">
        <v>3808</v>
      </c>
      <c r="D1517" s="5">
        <v>1</v>
      </c>
      <c r="E1517" s="7" t="str">
        <f>_xlfn.XLOOKUP(B1517,Customers!A1517:A2516,Customers!B1517:B2516,"Customer Not Found",0)</f>
        <v>Customer Not Found</v>
      </c>
      <c r="F1517" s="7" t="str">
        <f>_xlfn.XLOOKUP(Orders!B1517,Customers!A1517:A2516,Customers!C1517:C2516,"Country not Found",0)</f>
        <v>Country not Found</v>
      </c>
      <c r="G1517" s="7" t="str">
        <f>_xlfn.XLOOKUP(C1517,Products!A1517:A2016,Products!B1517:B2016,"Product Missing",0)</f>
        <v>Product Missing</v>
      </c>
      <c r="H1517" s="7" t="str">
        <f>_xlfn.XLOOKUP(C1517,Products!A1517:A2016,Products!C1517:C2016,"Category Missing",0)</f>
        <v>Category Missing</v>
      </c>
      <c r="I1517" s="11" t="str">
        <f>_xlfn.XLOOKUP(Orders!C1517,Products!A1517:A2016,Products!D1517:D2016,"Price Missing",0)</f>
        <v>Price Missing</v>
      </c>
      <c r="J1517" s="19">
        <f t="shared" si="23"/>
        <v>0</v>
      </c>
    </row>
    <row r="1518" spans="1:10" x14ac:dyDescent="0.35">
      <c r="A1518" s="4" t="s">
        <v>5538</v>
      </c>
      <c r="B1518" s="7" t="s">
        <v>2321</v>
      </c>
      <c r="C1518" s="7" t="s">
        <v>3920</v>
      </c>
      <c r="D1518" s="5">
        <v>2</v>
      </c>
      <c r="E1518" s="7" t="str">
        <f>_xlfn.XLOOKUP(B1518,Customers!A1518:A2517,Customers!B1518:B2517,"Customer Not Found",0)</f>
        <v>Customer Not Found</v>
      </c>
      <c r="F1518" s="7" t="str">
        <f>_xlfn.XLOOKUP(Orders!B1518,Customers!A1518:A2517,Customers!C1518:C2517,"Country not Found",0)</f>
        <v>Country not Found</v>
      </c>
      <c r="G1518" s="7" t="str">
        <f>_xlfn.XLOOKUP(C1518,Products!A1518:A2017,Products!B1518:B2017,"Product Missing",0)</f>
        <v>Product Missing</v>
      </c>
      <c r="H1518" s="7" t="str">
        <f>_xlfn.XLOOKUP(C1518,Products!A1518:A2017,Products!C1518:C2017,"Category Missing",0)</f>
        <v>Category Missing</v>
      </c>
      <c r="I1518" s="11" t="str">
        <f>_xlfn.XLOOKUP(Orders!C1518,Products!A1518:A2017,Products!D1518:D2017,"Price Missing",0)</f>
        <v>Price Missing</v>
      </c>
      <c r="J1518" s="19">
        <f t="shared" si="23"/>
        <v>0</v>
      </c>
    </row>
    <row r="1519" spans="1:10" x14ac:dyDescent="0.35">
      <c r="A1519" s="4" t="s">
        <v>5539</v>
      </c>
      <c r="B1519" s="7" t="s">
        <v>2072</v>
      </c>
      <c r="C1519" s="7" t="s">
        <v>3888</v>
      </c>
      <c r="D1519" s="5">
        <v>6</v>
      </c>
      <c r="E1519" s="7" t="str">
        <f>_xlfn.XLOOKUP(B1519,Customers!A1519:A2518,Customers!B1519:B2518,"Customer Not Found",0)</f>
        <v>Customer Not Found</v>
      </c>
      <c r="F1519" s="7" t="str">
        <f>_xlfn.XLOOKUP(Orders!B1519,Customers!A1519:A2518,Customers!C1519:C2518,"Country not Found",0)</f>
        <v>Country not Found</v>
      </c>
      <c r="G1519" s="7" t="str">
        <f>_xlfn.XLOOKUP(C1519,Products!A1519:A2018,Products!B1519:B2018,"Product Missing",0)</f>
        <v>Product Missing</v>
      </c>
      <c r="H1519" s="7" t="str">
        <f>_xlfn.XLOOKUP(C1519,Products!A1519:A2018,Products!C1519:C2018,"Category Missing",0)</f>
        <v>Category Missing</v>
      </c>
      <c r="I1519" s="11" t="str">
        <f>_xlfn.XLOOKUP(Orders!C1519,Products!A1519:A2018,Products!D1519:D2018,"Price Missing",0)</f>
        <v>Price Missing</v>
      </c>
      <c r="J1519" s="19">
        <f t="shared" si="23"/>
        <v>0</v>
      </c>
    </row>
    <row r="1520" spans="1:10" x14ac:dyDescent="0.35">
      <c r="A1520" s="4" t="s">
        <v>5540</v>
      </c>
      <c r="B1520" s="7" t="s">
        <v>1163</v>
      </c>
      <c r="C1520" s="7" t="s">
        <v>3096</v>
      </c>
      <c r="D1520" s="5">
        <v>3</v>
      </c>
      <c r="E1520" s="7" t="str">
        <f>_xlfn.XLOOKUP(B1520,Customers!A1520:A2519,Customers!B1520:B2519,"Customer Not Found",0)</f>
        <v>Customer Not Found</v>
      </c>
      <c r="F1520" s="7" t="str">
        <f>_xlfn.XLOOKUP(Orders!B1520,Customers!A1520:A2519,Customers!C1520:C2519,"Country not Found",0)</f>
        <v>Country not Found</v>
      </c>
      <c r="G1520" s="7" t="str">
        <f>_xlfn.XLOOKUP(C1520,Products!A1520:A2019,Products!B1520:B2019,"Product Missing",0)</f>
        <v>Product Missing</v>
      </c>
      <c r="H1520" s="7" t="str">
        <f>_xlfn.XLOOKUP(C1520,Products!A1520:A2019,Products!C1520:C2019,"Category Missing",0)</f>
        <v>Category Missing</v>
      </c>
      <c r="I1520" s="11" t="str">
        <f>_xlfn.XLOOKUP(Orders!C1520,Products!A1520:A2019,Products!D1520:D2019,"Price Missing",0)</f>
        <v>Price Missing</v>
      </c>
      <c r="J1520" s="19">
        <f t="shared" si="23"/>
        <v>0</v>
      </c>
    </row>
    <row r="1521" spans="1:10" x14ac:dyDescent="0.35">
      <c r="A1521" s="4" t="s">
        <v>5541</v>
      </c>
      <c r="B1521" s="7" t="s">
        <v>1238</v>
      </c>
      <c r="C1521" s="7" t="s">
        <v>3098</v>
      </c>
      <c r="D1521" s="5">
        <v>1</v>
      </c>
      <c r="E1521" s="7" t="str">
        <f>_xlfn.XLOOKUP(B1521,Customers!A1521:A2520,Customers!B1521:B2520,"Customer Not Found",0)</f>
        <v>Customer Not Found</v>
      </c>
      <c r="F1521" s="7" t="str">
        <f>_xlfn.XLOOKUP(Orders!B1521,Customers!A1521:A2520,Customers!C1521:C2520,"Country not Found",0)</f>
        <v>Country not Found</v>
      </c>
      <c r="G1521" s="7" t="str">
        <f>_xlfn.XLOOKUP(C1521,Products!A1521:A2020,Products!B1521:B2020,"Product Missing",0)</f>
        <v>Product Missing</v>
      </c>
      <c r="H1521" s="7" t="str">
        <f>_xlfn.XLOOKUP(C1521,Products!A1521:A2020,Products!C1521:C2020,"Category Missing",0)</f>
        <v>Category Missing</v>
      </c>
      <c r="I1521" s="11" t="str">
        <f>_xlfn.XLOOKUP(Orders!C1521,Products!A1521:A2020,Products!D1521:D2020,"Price Missing",0)</f>
        <v>Price Missing</v>
      </c>
      <c r="J1521" s="19">
        <f t="shared" si="23"/>
        <v>0</v>
      </c>
    </row>
    <row r="1522" spans="1:10" x14ac:dyDescent="0.35">
      <c r="A1522" s="4" t="s">
        <v>5542</v>
      </c>
      <c r="B1522" s="7" t="s">
        <v>61</v>
      </c>
      <c r="C1522" s="7" t="s">
        <v>3134</v>
      </c>
      <c r="D1522" s="5">
        <v>9</v>
      </c>
      <c r="E1522" s="7" t="str">
        <f>_xlfn.XLOOKUP(B1522,Customers!A1522:A2521,Customers!B1522:B2521,"Customer Not Found",0)</f>
        <v>Customer Not Found</v>
      </c>
      <c r="F1522" s="7" t="str">
        <f>_xlfn.XLOOKUP(Orders!B1522,Customers!A1522:A2521,Customers!C1522:C2521,"Country not Found",0)</f>
        <v>Country not Found</v>
      </c>
      <c r="G1522" s="7" t="str">
        <f>_xlfn.XLOOKUP(C1522,Products!A1522:A2021,Products!B1522:B2021,"Product Missing",0)</f>
        <v>Product Missing</v>
      </c>
      <c r="H1522" s="7" t="str">
        <f>_xlfn.XLOOKUP(C1522,Products!A1522:A2021,Products!C1522:C2021,"Category Missing",0)</f>
        <v>Category Missing</v>
      </c>
      <c r="I1522" s="11" t="str">
        <f>_xlfn.XLOOKUP(Orders!C1522,Products!A1522:A2021,Products!D1522:D2021,"Price Missing",0)</f>
        <v>Price Missing</v>
      </c>
      <c r="J1522" s="19">
        <f t="shared" si="23"/>
        <v>0</v>
      </c>
    </row>
    <row r="1523" spans="1:10" x14ac:dyDescent="0.35">
      <c r="A1523" s="4" t="s">
        <v>5543</v>
      </c>
      <c r="B1523" s="7" t="s">
        <v>2093</v>
      </c>
      <c r="C1523" s="7" t="s">
        <v>3404</v>
      </c>
      <c r="D1523" s="5">
        <v>10</v>
      </c>
      <c r="E1523" s="7" t="str">
        <f>_xlfn.XLOOKUP(B1523,Customers!A1523:A2522,Customers!B1523:B2522,"Customer Not Found",0)</f>
        <v>Customer Not Found</v>
      </c>
      <c r="F1523" s="7" t="str">
        <f>_xlfn.XLOOKUP(Orders!B1523,Customers!A1523:A2522,Customers!C1523:C2522,"Country not Found",0)</f>
        <v>Country not Found</v>
      </c>
      <c r="G1523" s="7" t="str">
        <f>_xlfn.XLOOKUP(C1523,Products!A1523:A2022,Products!B1523:B2022,"Product Missing",0)</f>
        <v>Product Missing</v>
      </c>
      <c r="H1523" s="7" t="str">
        <f>_xlfn.XLOOKUP(C1523,Products!A1523:A2022,Products!C1523:C2022,"Category Missing",0)</f>
        <v>Category Missing</v>
      </c>
      <c r="I1523" s="11" t="str">
        <f>_xlfn.XLOOKUP(Orders!C1523,Products!A1523:A2022,Products!D1523:D2022,"Price Missing",0)</f>
        <v>Price Missing</v>
      </c>
      <c r="J1523" s="19">
        <f t="shared" si="23"/>
        <v>0</v>
      </c>
    </row>
    <row r="1524" spans="1:10" x14ac:dyDescent="0.35">
      <c r="A1524" s="4" t="s">
        <v>5544</v>
      </c>
      <c r="B1524" s="7" t="s">
        <v>554</v>
      </c>
      <c r="C1524" s="7" t="s">
        <v>3970</v>
      </c>
      <c r="D1524" s="5">
        <v>4</v>
      </c>
      <c r="E1524" s="7" t="str">
        <f>_xlfn.XLOOKUP(B1524,Customers!A1524:A2523,Customers!B1524:B2523,"Customer Not Found",0)</f>
        <v>Customer Not Found</v>
      </c>
      <c r="F1524" s="7" t="str">
        <f>_xlfn.XLOOKUP(Orders!B1524,Customers!A1524:A2523,Customers!C1524:C2523,"Country not Found",0)</f>
        <v>Country not Found</v>
      </c>
      <c r="G1524" s="7" t="str">
        <f>_xlfn.XLOOKUP(C1524,Products!A1524:A2023,Products!B1524:B2023,"Product Missing",0)</f>
        <v>Product Missing</v>
      </c>
      <c r="H1524" s="7" t="str">
        <f>_xlfn.XLOOKUP(C1524,Products!A1524:A2023,Products!C1524:C2023,"Category Missing",0)</f>
        <v>Category Missing</v>
      </c>
      <c r="I1524" s="11" t="str">
        <f>_xlfn.XLOOKUP(Orders!C1524,Products!A1524:A2023,Products!D1524:D2023,"Price Missing",0)</f>
        <v>Price Missing</v>
      </c>
      <c r="J1524" s="19">
        <f t="shared" si="23"/>
        <v>0</v>
      </c>
    </row>
    <row r="1525" spans="1:10" x14ac:dyDescent="0.35">
      <c r="A1525" s="4" t="s">
        <v>5545</v>
      </c>
      <c r="B1525" s="7" t="s">
        <v>2543</v>
      </c>
      <c r="C1525" s="7" t="s">
        <v>3940</v>
      </c>
      <c r="D1525" s="5">
        <v>8</v>
      </c>
      <c r="E1525" s="7" t="str">
        <f>_xlfn.XLOOKUP(B1525,Customers!A1525:A2524,Customers!B1525:B2524,"Customer Not Found",0)</f>
        <v>Customer Not Found</v>
      </c>
      <c r="F1525" s="7" t="str">
        <f>_xlfn.XLOOKUP(Orders!B1525,Customers!A1525:A2524,Customers!C1525:C2524,"Country not Found",0)</f>
        <v>Country not Found</v>
      </c>
      <c r="G1525" s="7" t="str">
        <f>_xlfn.XLOOKUP(C1525,Products!A1525:A2024,Products!B1525:B2024,"Product Missing",0)</f>
        <v>Product Missing</v>
      </c>
      <c r="H1525" s="7" t="str">
        <f>_xlfn.XLOOKUP(C1525,Products!A1525:A2024,Products!C1525:C2024,"Category Missing",0)</f>
        <v>Category Missing</v>
      </c>
      <c r="I1525" s="11" t="str">
        <f>_xlfn.XLOOKUP(Orders!C1525,Products!A1525:A2024,Products!D1525:D2024,"Price Missing",0)</f>
        <v>Price Missing</v>
      </c>
      <c r="J1525" s="19">
        <f t="shared" si="23"/>
        <v>0</v>
      </c>
    </row>
    <row r="1526" spans="1:10" x14ac:dyDescent="0.35">
      <c r="A1526" s="4" t="s">
        <v>5546</v>
      </c>
      <c r="B1526" s="7" t="s">
        <v>1541</v>
      </c>
      <c r="C1526" s="7" t="s">
        <v>3674</v>
      </c>
      <c r="D1526" s="5">
        <v>1</v>
      </c>
      <c r="E1526" s="7" t="str">
        <f>_xlfn.XLOOKUP(B1526,Customers!A1526:A2525,Customers!B1526:B2525,"Customer Not Found",0)</f>
        <v>Customer Not Found</v>
      </c>
      <c r="F1526" s="7" t="str">
        <f>_xlfn.XLOOKUP(Orders!B1526,Customers!A1526:A2525,Customers!C1526:C2525,"Country not Found",0)</f>
        <v>Country not Found</v>
      </c>
      <c r="G1526" s="7" t="str">
        <f>_xlfn.XLOOKUP(C1526,Products!A1526:A2025,Products!B1526:B2025,"Product Missing",0)</f>
        <v>Product Missing</v>
      </c>
      <c r="H1526" s="7" t="str">
        <f>_xlfn.XLOOKUP(C1526,Products!A1526:A2025,Products!C1526:C2025,"Category Missing",0)</f>
        <v>Category Missing</v>
      </c>
      <c r="I1526" s="11" t="str">
        <f>_xlfn.XLOOKUP(Orders!C1526,Products!A1526:A2025,Products!D1526:D2025,"Price Missing",0)</f>
        <v>Price Missing</v>
      </c>
      <c r="J1526" s="19">
        <f t="shared" si="23"/>
        <v>0</v>
      </c>
    </row>
    <row r="1527" spans="1:10" x14ac:dyDescent="0.35">
      <c r="A1527" s="4" t="s">
        <v>5547</v>
      </c>
      <c r="B1527" s="7" t="s">
        <v>1700</v>
      </c>
      <c r="C1527" s="7" t="s">
        <v>3468</v>
      </c>
      <c r="D1527" s="5">
        <v>2</v>
      </c>
      <c r="E1527" s="7" t="str">
        <f>_xlfn.XLOOKUP(B1527,Customers!A1527:A2526,Customers!B1527:B2526,"Customer Not Found",0)</f>
        <v>Customer Not Found</v>
      </c>
      <c r="F1527" s="7" t="str">
        <f>_xlfn.XLOOKUP(Orders!B1527,Customers!A1527:A2526,Customers!C1527:C2526,"Country not Found",0)</f>
        <v>Country not Found</v>
      </c>
      <c r="G1527" s="7" t="str">
        <f>_xlfn.XLOOKUP(C1527,Products!A1527:A2026,Products!B1527:B2026,"Product Missing",0)</f>
        <v>Product Missing</v>
      </c>
      <c r="H1527" s="7" t="str">
        <f>_xlfn.XLOOKUP(C1527,Products!A1527:A2026,Products!C1527:C2026,"Category Missing",0)</f>
        <v>Category Missing</v>
      </c>
      <c r="I1527" s="11" t="str">
        <f>_xlfn.XLOOKUP(Orders!C1527,Products!A1527:A2026,Products!D1527:D2026,"Price Missing",0)</f>
        <v>Price Missing</v>
      </c>
      <c r="J1527" s="19">
        <f t="shared" si="23"/>
        <v>0</v>
      </c>
    </row>
    <row r="1528" spans="1:10" x14ac:dyDescent="0.35">
      <c r="A1528" s="4" t="s">
        <v>5548</v>
      </c>
      <c r="B1528" s="7" t="s">
        <v>311</v>
      </c>
      <c r="C1528" s="7" t="s">
        <v>3674</v>
      </c>
      <c r="D1528" s="5">
        <v>6</v>
      </c>
      <c r="E1528" s="7" t="str">
        <f>_xlfn.XLOOKUP(B1528,Customers!A1528:A2527,Customers!B1528:B2527,"Customer Not Found",0)</f>
        <v>Customer Not Found</v>
      </c>
      <c r="F1528" s="7" t="str">
        <f>_xlfn.XLOOKUP(Orders!B1528,Customers!A1528:A2527,Customers!C1528:C2527,"Country not Found",0)</f>
        <v>Country not Found</v>
      </c>
      <c r="G1528" s="7" t="str">
        <f>_xlfn.XLOOKUP(C1528,Products!A1528:A2027,Products!B1528:B2027,"Product Missing",0)</f>
        <v>Product Missing</v>
      </c>
      <c r="H1528" s="7" t="str">
        <f>_xlfn.XLOOKUP(C1528,Products!A1528:A2027,Products!C1528:C2027,"Category Missing",0)</f>
        <v>Category Missing</v>
      </c>
      <c r="I1528" s="11" t="str">
        <f>_xlfn.XLOOKUP(Orders!C1528,Products!A1528:A2027,Products!D1528:D2027,"Price Missing",0)</f>
        <v>Price Missing</v>
      </c>
      <c r="J1528" s="19">
        <f t="shared" si="23"/>
        <v>0</v>
      </c>
    </row>
    <row r="1529" spans="1:10" x14ac:dyDescent="0.35">
      <c r="A1529" s="4" t="s">
        <v>5549</v>
      </c>
      <c r="B1529" s="7" t="s">
        <v>1685</v>
      </c>
      <c r="C1529" s="7" t="s">
        <v>3286</v>
      </c>
      <c r="D1529" s="5">
        <v>5</v>
      </c>
      <c r="E1529" s="7" t="str">
        <f>_xlfn.XLOOKUP(B1529,Customers!A1529:A2528,Customers!B1529:B2528,"Customer Not Found",0)</f>
        <v>Customer Not Found</v>
      </c>
      <c r="F1529" s="7" t="str">
        <f>_xlfn.XLOOKUP(Orders!B1529,Customers!A1529:A2528,Customers!C1529:C2528,"Country not Found",0)</f>
        <v>Country not Found</v>
      </c>
      <c r="G1529" s="7" t="str">
        <f>_xlfn.XLOOKUP(C1529,Products!A1529:A2028,Products!B1529:B2028,"Product Missing",0)</f>
        <v>Product Missing</v>
      </c>
      <c r="H1529" s="7" t="str">
        <f>_xlfn.XLOOKUP(C1529,Products!A1529:A2028,Products!C1529:C2028,"Category Missing",0)</f>
        <v>Category Missing</v>
      </c>
      <c r="I1529" s="11" t="str">
        <f>_xlfn.XLOOKUP(Orders!C1529,Products!A1529:A2028,Products!D1529:D2028,"Price Missing",0)</f>
        <v>Price Missing</v>
      </c>
      <c r="J1529" s="19">
        <f t="shared" si="23"/>
        <v>0</v>
      </c>
    </row>
    <row r="1530" spans="1:10" x14ac:dyDescent="0.35">
      <c r="A1530" s="4" t="s">
        <v>5550</v>
      </c>
      <c r="B1530" s="7" t="s">
        <v>1364</v>
      </c>
      <c r="C1530" s="7" t="s">
        <v>3422</v>
      </c>
      <c r="D1530" s="5">
        <v>7</v>
      </c>
      <c r="E1530" s="7" t="str">
        <f>_xlfn.XLOOKUP(B1530,Customers!A1530:A2529,Customers!B1530:B2529,"Customer Not Found",0)</f>
        <v>Customer Not Found</v>
      </c>
      <c r="F1530" s="7" t="str">
        <f>_xlfn.XLOOKUP(Orders!B1530,Customers!A1530:A2529,Customers!C1530:C2529,"Country not Found",0)</f>
        <v>Country not Found</v>
      </c>
      <c r="G1530" s="7" t="str">
        <f>_xlfn.XLOOKUP(C1530,Products!A1530:A2029,Products!B1530:B2029,"Product Missing",0)</f>
        <v>Product Missing</v>
      </c>
      <c r="H1530" s="7" t="str">
        <f>_xlfn.XLOOKUP(C1530,Products!A1530:A2029,Products!C1530:C2029,"Category Missing",0)</f>
        <v>Category Missing</v>
      </c>
      <c r="I1530" s="11" t="str">
        <f>_xlfn.XLOOKUP(Orders!C1530,Products!A1530:A2029,Products!D1530:D2029,"Price Missing",0)</f>
        <v>Price Missing</v>
      </c>
      <c r="J1530" s="19">
        <f t="shared" si="23"/>
        <v>0</v>
      </c>
    </row>
    <row r="1531" spans="1:10" x14ac:dyDescent="0.35">
      <c r="A1531" s="4" t="s">
        <v>5551</v>
      </c>
      <c r="B1531" s="7" t="s">
        <v>1436</v>
      </c>
      <c r="C1531" s="7" t="s">
        <v>3118</v>
      </c>
      <c r="D1531" s="5">
        <v>4</v>
      </c>
      <c r="E1531" s="7" t="str">
        <f>_xlfn.XLOOKUP(B1531,Customers!A1531:A2530,Customers!B1531:B2530,"Customer Not Found",0)</f>
        <v>Customer Not Found</v>
      </c>
      <c r="F1531" s="7" t="str">
        <f>_xlfn.XLOOKUP(Orders!B1531,Customers!A1531:A2530,Customers!C1531:C2530,"Country not Found",0)</f>
        <v>Country not Found</v>
      </c>
      <c r="G1531" s="7" t="str">
        <f>_xlfn.XLOOKUP(C1531,Products!A1531:A2030,Products!B1531:B2030,"Product Missing",0)</f>
        <v>Product Missing</v>
      </c>
      <c r="H1531" s="7" t="str">
        <f>_xlfn.XLOOKUP(C1531,Products!A1531:A2030,Products!C1531:C2030,"Category Missing",0)</f>
        <v>Category Missing</v>
      </c>
      <c r="I1531" s="11" t="str">
        <f>_xlfn.XLOOKUP(Orders!C1531,Products!A1531:A2030,Products!D1531:D2030,"Price Missing",0)</f>
        <v>Price Missing</v>
      </c>
      <c r="J1531" s="19">
        <f t="shared" si="23"/>
        <v>0</v>
      </c>
    </row>
    <row r="1532" spans="1:10" x14ac:dyDescent="0.35">
      <c r="A1532" s="4" t="s">
        <v>5552</v>
      </c>
      <c r="B1532" s="7" t="s">
        <v>452</v>
      </c>
      <c r="C1532" s="7" t="s">
        <v>3578</v>
      </c>
      <c r="D1532" s="5">
        <v>1</v>
      </c>
      <c r="E1532" s="7" t="str">
        <f>_xlfn.XLOOKUP(B1532,Customers!A1532:A2531,Customers!B1532:B2531,"Customer Not Found",0)</f>
        <v>Customer Not Found</v>
      </c>
      <c r="F1532" s="7" t="str">
        <f>_xlfn.XLOOKUP(Orders!B1532,Customers!A1532:A2531,Customers!C1532:C2531,"Country not Found",0)</f>
        <v>Country not Found</v>
      </c>
      <c r="G1532" s="7" t="str">
        <f>_xlfn.XLOOKUP(C1532,Products!A1532:A2031,Products!B1532:B2031,"Product Missing",0)</f>
        <v>Product Missing</v>
      </c>
      <c r="H1532" s="7" t="str">
        <f>_xlfn.XLOOKUP(C1532,Products!A1532:A2031,Products!C1532:C2031,"Category Missing",0)</f>
        <v>Category Missing</v>
      </c>
      <c r="I1532" s="11" t="str">
        <f>_xlfn.XLOOKUP(Orders!C1532,Products!A1532:A2031,Products!D1532:D2031,"Price Missing",0)</f>
        <v>Price Missing</v>
      </c>
      <c r="J1532" s="19">
        <f t="shared" si="23"/>
        <v>0</v>
      </c>
    </row>
    <row r="1533" spans="1:10" x14ac:dyDescent="0.35">
      <c r="A1533" s="4" t="s">
        <v>5553</v>
      </c>
      <c r="B1533" s="7" t="s">
        <v>1340</v>
      </c>
      <c r="C1533" s="7" t="s">
        <v>3944</v>
      </c>
      <c r="D1533" s="5">
        <v>9</v>
      </c>
      <c r="E1533" s="7" t="str">
        <f>_xlfn.XLOOKUP(B1533,Customers!A1533:A2532,Customers!B1533:B2532,"Customer Not Found",0)</f>
        <v>Customer Not Found</v>
      </c>
      <c r="F1533" s="7" t="str">
        <f>_xlfn.XLOOKUP(Orders!B1533,Customers!A1533:A2532,Customers!C1533:C2532,"Country not Found",0)</f>
        <v>Country not Found</v>
      </c>
      <c r="G1533" s="7" t="str">
        <f>_xlfn.XLOOKUP(C1533,Products!A1533:A2032,Products!B1533:B2032,"Product Missing",0)</f>
        <v>Product Missing</v>
      </c>
      <c r="H1533" s="7" t="str">
        <f>_xlfn.XLOOKUP(C1533,Products!A1533:A2032,Products!C1533:C2032,"Category Missing",0)</f>
        <v>Category Missing</v>
      </c>
      <c r="I1533" s="11" t="str">
        <f>_xlfn.XLOOKUP(Orders!C1533,Products!A1533:A2032,Products!D1533:D2032,"Price Missing",0)</f>
        <v>Price Missing</v>
      </c>
      <c r="J1533" s="19">
        <f t="shared" si="23"/>
        <v>0</v>
      </c>
    </row>
    <row r="1534" spans="1:10" x14ac:dyDescent="0.35">
      <c r="A1534" s="4" t="s">
        <v>5554</v>
      </c>
      <c r="B1534" s="7" t="s">
        <v>1979</v>
      </c>
      <c r="C1534" s="7" t="s">
        <v>3588</v>
      </c>
      <c r="D1534" s="5">
        <v>2</v>
      </c>
      <c r="E1534" s="7" t="str">
        <f>_xlfn.XLOOKUP(B1534,Customers!A1534:A2533,Customers!B1534:B2533,"Customer Not Found",0)</f>
        <v>Customer Not Found</v>
      </c>
      <c r="F1534" s="7" t="str">
        <f>_xlfn.XLOOKUP(Orders!B1534,Customers!A1534:A2533,Customers!C1534:C2533,"Country not Found",0)</f>
        <v>Country not Found</v>
      </c>
      <c r="G1534" s="7" t="str">
        <f>_xlfn.XLOOKUP(C1534,Products!A1534:A2033,Products!B1534:B2033,"Product Missing",0)</f>
        <v>Product Missing</v>
      </c>
      <c r="H1534" s="7" t="str">
        <f>_xlfn.XLOOKUP(C1534,Products!A1534:A2033,Products!C1534:C2033,"Category Missing",0)</f>
        <v>Category Missing</v>
      </c>
      <c r="I1534" s="11" t="str">
        <f>_xlfn.XLOOKUP(Orders!C1534,Products!A1534:A2033,Products!D1534:D2033,"Price Missing",0)</f>
        <v>Price Missing</v>
      </c>
      <c r="J1534" s="19">
        <f t="shared" si="23"/>
        <v>0</v>
      </c>
    </row>
    <row r="1535" spans="1:10" x14ac:dyDescent="0.35">
      <c r="A1535" s="4" t="s">
        <v>5555</v>
      </c>
      <c r="B1535" s="7" t="s">
        <v>1841</v>
      </c>
      <c r="C1535" s="7" t="s">
        <v>3288</v>
      </c>
      <c r="D1535" s="5">
        <v>9</v>
      </c>
      <c r="E1535" s="7" t="str">
        <f>_xlfn.XLOOKUP(B1535,Customers!A1535:A2534,Customers!B1535:B2534,"Customer Not Found",0)</f>
        <v>Customer Not Found</v>
      </c>
      <c r="F1535" s="7" t="str">
        <f>_xlfn.XLOOKUP(Orders!B1535,Customers!A1535:A2534,Customers!C1535:C2534,"Country not Found",0)</f>
        <v>Country not Found</v>
      </c>
      <c r="G1535" s="7" t="str">
        <f>_xlfn.XLOOKUP(C1535,Products!A1535:A2034,Products!B1535:B2034,"Product Missing",0)</f>
        <v>Product Missing</v>
      </c>
      <c r="H1535" s="7" t="str">
        <f>_xlfn.XLOOKUP(C1535,Products!A1535:A2034,Products!C1535:C2034,"Category Missing",0)</f>
        <v>Category Missing</v>
      </c>
      <c r="I1535" s="11" t="str">
        <f>_xlfn.XLOOKUP(Orders!C1535,Products!A1535:A2034,Products!D1535:D2034,"Price Missing",0)</f>
        <v>Price Missing</v>
      </c>
      <c r="J1535" s="19">
        <f t="shared" si="23"/>
        <v>0</v>
      </c>
    </row>
    <row r="1536" spans="1:10" x14ac:dyDescent="0.35">
      <c r="A1536" s="4" t="s">
        <v>5556</v>
      </c>
      <c r="B1536" s="7" t="s">
        <v>2588</v>
      </c>
      <c r="C1536" s="7" t="s">
        <v>3758</v>
      </c>
      <c r="D1536" s="5">
        <v>10</v>
      </c>
      <c r="E1536" s="7" t="str">
        <f>_xlfn.XLOOKUP(B1536,Customers!A1536:A2535,Customers!B1536:B2535,"Customer Not Found",0)</f>
        <v>Customer Not Found</v>
      </c>
      <c r="F1536" s="7" t="str">
        <f>_xlfn.XLOOKUP(Orders!B1536,Customers!A1536:A2535,Customers!C1536:C2535,"Country not Found",0)</f>
        <v>Country not Found</v>
      </c>
      <c r="G1536" s="7" t="str">
        <f>_xlfn.XLOOKUP(C1536,Products!A1536:A2035,Products!B1536:B2035,"Product Missing",0)</f>
        <v>Product Missing</v>
      </c>
      <c r="H1536" s="7" t="str">
        <f>_xlfn.XLOOKUP(C1536,Products!A1536:A2035,Products!C1536:C2035,"Category Missing",0)</f>
        <v>Category Missing</v>
      </c>
      <c r="I1536" s="11" t="str">
        <f>_xlfn.XLOOKUP(Orders!C1536,Products!A1536:A2035,Products!D1536:D2035,"Price Missing",0)</f>
        <v>Price Missing</v>
      </c>
      <c r="J1536" s="19">
        <f t="shared" si="23"/>
        <v>0</v>
      </c>
    </row>
    <row r="1537" spans="1:10" x14ac:dyDescent="0.35">
      <c r="A1537" s="4" t="s">
        <v>5557</v>
      </c>
      <c r="B1537" s="7" t="s">
        <v>329</v>
      </c>
      <c r="C1537" s="7" t="s">
        <v>3532</v>
      </c>
      <c r="D1537" s="5">
        <v>1</v>
      </c>
      <c r="E1537" s="7" t="str">
        <f>_xlfn.XLOOKUP(B1537,Customers!A1537:A2536,Customers!B1537:B2536,"Customer Not Found",0)</f>
        <v>Customer Not Found</v>
      </c>
      <c r="F1537" s="7" t="str">
        <f>_xlfn.XLOOKUP(Orders!B1537,Customers!A1537:A2536,Customers!C1537:C2536,"Country not Found",0)</f>
        <v>Country not Found</v>
      </c>
      <c r="G1537" s="7" t="str">
        <f>_xlfn.XLOOKUP(C1537,Products!A1537:A2036,Products!B1537:B2036,"Product Missing",0)</f>
        <v>Product Missing</v>
      </c>
      <c r="H1537" s="7" t="str">
        <f>_xlfn.XLOOKUP(C1537,Products!A1537:A2036,Products!C1537:C2036,"Category Missing",0)</f>
        <v>Category Missing</v>
      </c>
      <c r="I1537" s="11" t="str">
        <f>_xlfn.XLOOKUP(Orders!C1537,Products!A1537:A2036,Products!D1537:D2036,"Price Missing",0)</f>
        <v>Price Missing</v>
      </c>
      <c r="J1537" s="19">
        <f t="shared" si="23"/>
        <v>0</v>
      </c>
    </row>
    <row r="1538" spans="1:10" x14ac:dyDescent="0.35">
      <c r="A1538" s="4" t="s">
        <v>5558</v>
      </c>
      <c r="B1538" s="7" t="s">
        <v>656</v>
      </c>
      <c r="C1538" s="7" t="s">
        <v>3562</v>
      </c>
      <c r="D1538" s="5">
        <v>2</v>
      </c>
      <c r="E1538" s="7" t="str">
        <f>_xlfn.XLOOKUP(B1538,Customers!A1538:A2537,Customers!B1538:B2537,"Customer Not Found",0)</f>
        <v>Customer Not Found</v>
      </c>
      <c r="F1538" s="7" t="str">
        <f>_xlfn.XLOOKUP(Orders!B1538,Customers!A1538:A2537,Customers!C1538:C2537,"Country not Found",0)</f>
        <v>Country not Found</v>
      </c>
      <c r="G1538" s="7" t="str">
        <f>_xlfn.XLOOKUP(C1538,Products!A1538:A2037,Products!B1538:B2037,"Product Missing",0)</f>
        <v>Product Missing</v>
      </c>
      <c r="H1538" s="7" t="str">
        <f>_xlfn.XLOOKUP(C1538,Products!A1538:A2037,Products!C1538:C2037,"Category Missing",0)</f>
        <v>Category Missing</v>
      </c>
      <c r="I1538" s="11" t="str">
        <f>_xlfn.XLOOKUP(Orders!C1538,Products!A1538:A2037,Products!D1538:D2037,"Price Missing",0)</f>
        <v>Price Missing</v>
      </c>
      <c r="J1538" s="19">
        <f t="shared" si="23"/>
        <v>0</v>
      </c>
    </row>
    <row r="1539" spans="1:10" x14ac:dyDescent="0.35">
      <c r="A1539" s="4" t="s">
        <v>5559</v>
      </c>
      <c r="B1539" s="7" t="s">
        <v>2420</v>
      </c>
      <c r="C1539" s="7" t="s">
        <v>3027</v>
      </c>
      <c r="D1539" s="5">
        <v>10</v>
      </c>
      <c r="E1539" s="7" t="str">
        <f>_xlfn.XLOOKUP(B1539,Customers!A1539:A2538,Customers!B1539:B2538,"Customer Not Found",0)</f>
        <v>Customer Not Found</v>
      </c>
      <c r="F1539" s="7" t="str">
        <f>_xlfn.XLOOKUP(Orders!B1539,Customers!A1539:A2538,Customers!C1539:C2538,"Country not Found",0)</f>
        <v>Country not Found</v>
      </c>
      <c r="G1539" s="7" t="str">
        <f>_xlfn.XLOOKUP(C1539,Products!A1539:A2038,Products!B1539:B2038,"Product Missing",0)</f>
        <v>Product Missing</v>
      </c>
      <c r="H1539" s="7" t="str">
        <f>_xlfn.XLOOKUP(C1539,Products!A1539:A2038,Products!C1539:C2038,"Category Missing",0)</f>
        <v>Category Missing</v>
      </c>
      <c r="I1539" s="11" t="str">
        <f>_xlfn.XLOOKUP(Orders!C1539,Products!A1539:A2038,Products!D1539:D2038,"Price Missing",0)</f>
        <v>Price Missing</v>
      </c>
      <c r="J1539" s="19">
        <f t="shared" ref="J1539:J1602" si="24">IFERROR(I1539*D1539,0)</f>
        <v>0</v>
      </c>
    </row>
    <row r="1540" spans="1:10" x14ac:dyDescent="0.35">
      <c r="A1540" s="4" t="s">
        <v>5560</v>
      </c>
      <c r="B1540" s="7" t="s">
        <v>230</v>
      </c>
      <c r="C1540" s="7" t="s">
        <v>3462</v>
      </c>
      <c r="D1540" s="5">
        <v>3</v>
      </c>
      <c r="E1540" s="7" t="str">
        <f>_xlfn.XLOOKUP(B1540,Customers!A1540:A2539,Customers!B1540:B2539,"Customer Not Found",0)</f>
        <v>Customer Not Found</v>
      </c>
      <c r="F1540" s="7" t="str">
        <f>_xlfn.XLOOKUP(Orders!B1540,Customers!A1540:A2539,Customers!C1540:C2539,"Country not Found",0)</f>
        <v>Country not Found</v>
      </c>
      <c r="G1540" s="7" t="str">
        <f>_xlfn.XLOOKUP(C1540,Products!A1540:A2039,Products!B1540:B2039,"Product Missing",0)</f>
        <v>Product Missing</v>
      </c>
      <c r="H1540" s="7" t="str">
        <f>_xlfn.XLOOKUP(C1540,Products!A1540:A2039,Products!C1540:C2039,"Category Missing",0)</f>
        <v>Category Missing</v>
      </c>
      <c r="I1540" s="11" t="str">
        <f>_xlfn.XLOOKUP(Orders!C1540,Products!A1540:A2039,Products!D1540:D2039,"Price Missing",0)</f>
        <v>Price Missing</v>
      </c>
      <c r="J1540" s="19">
        <f t="shared" si="24"/>
        <v>0</v>
      </c>
    </row>
    <row r="1541" spans="1:10" x14ac:dyDescent="0.35">
      <c r="A1541" s="4" t="s">
        <v>5561</v>
      </c>
      <c r="B1541" s="7" t="s">
        <v>2312</v>
      </c>
      <c r="C1541" s="7" t="s">
        <v>3128</v>
      </c>
      <c r="D1541" s="5">
        <v>9</v>
      </c>
      <c r="E1541" s="7" t="str">
        <f>_xlfn.XLOOKUP(B1541,Customers!A1541:A2540,Customers!B1541:B2540,"Customer Not Found",0)</f>
        <v>Customer Not Found</v>
      </c>
      <c r="F1541" s="7" t="str">
        <f>_xlfn.XLOOKUP(Orders!B1541,Customers!A1541:A2540,Customers!C1541:C2540,"Country not Found",0)</f>
        <v>Country not Found</v>
      </c>
      <c r="G1541" s="7" t="str">
        <f>_xlfn.XLOOKUP(C1541,Products!A1541:A2040,Products!B1541:B2040,"Product Missing",0)</f>
        <v>Product Missing</v>
      </c>
      <c r="H1541" s="7" t="str">
        <f>_xlfn.XLOOKUP(C1541,Products!A1541:A2040,Products!C1541:C2040,"Category Missing",0)</f>
        <v>Category Missing</v>
      </c>
      <c r="I1541" s="11" t="str">
        <f>_xlfn.XLOOKUP(Orders!C1541,Products!A1541:A2040,Products!D1541:D2040,"Price Missing",0)</f>
        <v>Price Missing</v>
      </c>
      <c r="J1541" s="19">
        <f t="shared" si="24"/>
        <v>0</v>
      </c>
    </row>
    <row r="1542" spans="1:10" x14ac:dyDescent="0.35">
      <c r="A1542" s="4" t="s">
        <v>5562</v>
      </c>
      <c r="B1542" s="7" t="s">
        <v>2204</v>
      </c>
      <c r="C1542" s="7" t="s">
        <v>3282</v>
      </c>
      <c r="D1542" s="5">
        <v>7</v>
      </c>
      <c r="E1542" s="7" t="str">
        <f>_xlfn.XLOOKUP(B1542,Customers!A1542:A2541,Customers!B1542:B2541,"Customer Not Found",0)</f>
        <v>Customer Not Found</v>
      </c>
      <c r="F1542" s="7" t="str">
        <f>_xlfn.XLOOKUP(Orders!B1542,Customers!A1542:A2541,Customers!C1542:C2541,"Country not Found",0)</f>
        <v>Country not Found</v>
      </c>
      <c r="G1542" s="7" t="str">
        <f>_xlfn.XLOOKUP(C1542,Products!A1542:A2041,Products!B1542:B2041,"Product Missing",0)</f>
        <v>Product Missing</v>
      </c>
      <c r="H1542" s="7" t="str">
        <f>_xlfn.XLOOKUP(C1542,Products!A1542:A2041,Products!C1542:C2041,"Category Missing",0)</f>
        <v>Category Missing</v>
      </c>
      <c r="I1542" s="11" t="str">
        <f>_xlfn.XLOOKUP(Orders!C1542,Products!A1542:A2041,Products!D1542:D2041,"Price Missing",0)</f>
        <v>Price Missing</v>
      </c>
      <c r="J1542" s="19">
        <f t="shared" si="24"/>
        <v>0</v>
      </c>
    </row>
    <row r="1543" spans="1:10" x14ac:dyDescent="0.35">
      <c r="A1543" s="4" t="s">
        <v>5563</v>
      </c>
      <c r="B1543" s="7" t="s">
        <v>2981</v>
      </c>
      <c r="C1543" s="7" t="s">
        <v>3592</v>
      </c>
      <c r="D1543" s="5">
        <v>3</v>
      </c>
      <c r="E1543" s="7" t="str">
        <f>_xlfn.XLOOKUP(B1543,Customers!A1543:A2542,Customers!B1543:B2542,"Customer Not Found",0)</f>
        <v>Customer Not Found</v>
      </c>
      <c r="F1543" s="7" t="str">
        <f>_xlfn.XLOOKUP(Orders!B1543,Customers!A1543:A2542,Customers!C1543:C2542,"Country not Found",0)</f>
        <v>Country not Found</v>
      </c>
      <c r="G1543" s="7" t="str">
        <f>_xlfn.XLOOKUP(C1543,Products!A1543:A2042,Products!B1543:B2042,"Product Missing",0)</f>
        <v>Product Missing</v>
      </c>
      <c r="H1543" s="7" t="str">
        <f>_xlfn.XLOOKUP(C1543,Products!A1543:A2042,Products!C1543:C2042,"Category Missing",0)</f>
        <v>Category Missing</v>
      </c>
      <c r="I1543" s="11" t="str">
        <f>_xlfn.XLOOKUP(Orders!C1543,Products!A1543:A2042,Products!D1543:D2042,"Price Missing",0)</f>
        <v>Price Missing</v>
      </c>
      <c r="J1543" s="19">
        <f t="shared" si="24"/>
        <v>0</v>
      </c>
    </row>
    <row r="1544" spans="1:10" x14ac:dyDescent="0.35">
      <c r="A1544" s="4" t="s">
        <v>5564</v>
      </c>
      <c r="B1544" s="7" t="s">
        <v>1448</v>
      </c>
      <c r="C1544" s="7" t="s">
        <v>3372</v>
      </c>
      <c r="D1544" s="5">
        <v>10</v>
      </c>
      <c r="E1544" s="7" t="str">
        <f>_xlfn.XLOOKUP(B1544,Customers!A1544:A2543,Customers!B1544:B2543,"Customer Not Found",0)</f>
        <v>Customer Not Found</v>
      </c>
      <c r="F1544" s="7" t="str">
        <f>_xlfn.XLOOKUP(Orders!B1544,Customers!A1544:A2543,Customers!C1544:C2543,"Country not Found",0)</f>
        <v>Country not Found</v>
      </c>
      <c r="G1544" s="7" t="str">
        <f>_xlfn.XLOOKUP(C1544,Products!A1544:A2043,Products!B1544:B2043,"Product Missing",0)</f>
        <v>Product Missing</v>
      </c>
      <c r="H1544" s="7" t="str">
        <f>_xlfn.XLOOKUP(C1544,Products!A1544:A2043,Products!C1544:C2043,"Category Missing",0)</f>
        <v>Category Missing</v>
      </c>
      <c r="I1544" s="11" t="str">
        <f>_xlfn.XLOOKUP(Orders!C1544,Products!A1544:A2043,Products!D1544:D2043,"Price Missing",0)</f>
        <v>Price Missing</v>
      </c>
      <c r="J1544" s="19">
        <f t="shared" si="24"/>
        <v>0</v>
      </c>
    </row>
    <row r="1545" spans="1:10" x14ac:dyDescent="0.35">
      <c r="A1545" s="4" t="s">
        <v>5565</v>
      </c>
      <c r="B1545" s="7" t="s">
        <v>944</v>
      </c>
      <c r="C1545" s="7" t="s">
        <v>3224</v>
      </c>
      <c r="D1545" s="5">
        <v>4</v>
      </c>
      <c r="E1545" s="7" t="str">
        <f>_xlfn.XLOOKUP(B1545,Customers!A1545:A2544,Customers!B1545:B2544,"Customer Not Found",0)</f>
        <v>Customer Not Found</v>
      </c>
      <c r="F1545" s="7" t="str">
        <f>_xlfn.XLOOKUP(Orders!B1545,Customers!A1545:A2544,Customers!C1545:C2544,"Country not Found",0)</f>
        <v>Country not Found</v>
      </c>
      <c r="G1545" s="7" t="str">
        <f>_xlfn.XLOOKUP(C1545,Products!A1545:A2044,Products!B1545:B2044,"Product Missing",0)</f>
        <v>Product Missing</v>
      </c>
      <c r="H1545" s="7" t="str">
        <f>_xlfn.XLOOKUP(C1545,Products!A1545:A2044,Products!C1545:C2044,"Category Missing",0)</f>
        <v>Category Missing</v>
      </c>
      <c r="I1545" s="11" t="str">
        <f>_xlfn.XLOOKUP(Orders!C1545,Products!A1545:A2044,Products!D1545:D2044,"Price Missing",0)</f>
        <v>Price Missing</v>
      </c>
      <c r="J1545" s="19">
        <f t="shared" si="24"/>
        <v>0</v>
      </c>
    </row>
    <row r="1546" spans="1:10" x14ac:dyDescent="0.35">
      <c r="A1546" s="4" t="s">
        <v>5566</v>
      </c>
      <c r="B1546" s="7" t="s">
        <v>2495</v>
      </c>
      <c r="C1546" s="7" t="s">
        <v>4006</v>
      </c>
      <c r="D1546" s="5">
        <v>10</v>
      </c>
      <c r="E1546" s="7" t="str">
        <f>_xlfn.XLOOKUP(B1546,Customers!A1546:A2545,Customers!B1546:B2545,"Customer Not Found",0)</f>
        <v>Customer Not Found</v>
      </c>
      <c r="F1546" s="7" t="str">
        <f>_xlfn.XLOOKUP(Orders!B1546,Customers!A1546:A2545,Customers!C1546:C2545,"Country not Found",0)</f>
        <v>Country not Found</v>
      </c>
      <c r="G1546" s="7" t="str">
        <f>_xlfn.XLOOKUP(C1546,Products!A1546:A2045,Products!B1546:B2045,"Product Missing",0)</f>
        <v>Product Missing</v>
      </c>
      <c r="H1546" s="7" t="str">
        <f>_xlfn.XLOOKUP(C1546,Products!A1546:A2045,Products!C1546:C2045,"Category Missing",0)</f>
        <v>Category Missing</v>
      </c>
      <c r="I1546" s="11" t="str">
        <f>_xlfn.XLOOKUP(Orders!C1546,Products!A1546:A2045,Products!D1546:D2045,"Price Missing",0)</f>
        <v>Price Missing</v>
      </c>
      <c r="J1546" s="19">
        <f t="shared" si="24"/>
        <v>0</v>
      </c>
    </row>
    <row r="1547" spans="1:10" x14ac:dyDescent="0.35">
      <c r="A1547" s="4" t="s">
        <v>5567</v>
      </c>
      <c r="B1547" s="7" t="s">
        <v>1541</v>
      </c>
      <c r="C1547" s="7" t="s">
        <v>3724</v>
      </c>
      <c r="D1547" s="5">
        <v>2</v>
      </c>
      <c r="E1547" s="7" t="str">
        <f>_xlfn.XLOOKUP(B1547,Customers!A1547:A2546,Customers!B1547:B2546,"Customer Not Found",0)</f>
        <v>Customer Not Found</v>
      </c>
      <c r="F1547" s="7" t="str">
        <f>_xlfn.XLOOKUP(Orders!B1547,Customers!A1547:A2546,Customers!C1547:C2546,"Country not Found",0)</f>
        <v>Country not Found</v>
      </c>
      <c r="G1547" s="7" t="str">
        <f>_xlfn.XLOOKUP(C1547,Products!A1547:A2046,Products!B1547:B2046,"Product Missing",0)</f>
        <v>Product Missing</v>
      </c>
      <c r="H1547" s="7" t="str">
        <f>_xlfn.XLOOKUP(C1547,Products!A1547:A2046,Products!C1547:C2046,"Category Missing",0)</f>
        <v>Category Missing</v>
      </c>
      <c r="I1547" s="11" t="str">
        <f>_xlfn.XLOOKUP(Orders!C1547,Products!A1547:A2046,Products!D1547:D2046,"Price Missing",0)</f>
        <v>Price Missing</v>
      </c>
      <c r="J1547" s="19">
        <f t="shared" si="24"/>
        <v>0</v>
      </c>
    </row>
    <row r="1548" spans="1:10" x14ac:dyDescent="0.35">
      <c r="A1548" s="4" t="s">
        <v>5568</v>
      </c>
      <c r="B1548" s="7" t="s">
        <v>1994</v>
      </c>
      <c r="C1548" s="7" t="s">
        <v>3428</v>
      </c>
      <c r="D1548" s="5">
        <v>5</v>
      </c>
      <c r="E1548" s="7" t="str">
        <f>_xlfn.XLOOKUP(B1548,Customers!A1548:A2547,Customers!B1548:B2547,"Customer Not Found",0)</f>
        <v>Customer Not Found</v>
      </c>
      <c r="F1548" s="7" t="str">
        <f>_xlfn.XLOOKUP(Orders!B1548,Customers!A1548:A2547,Customers!C1548:C2547,"Country not Found",0)</f>
        <v>Country not Found</v>
      </c>
      <c r="G1548" s="7" t="str">
        <f>_xlfn.XLOOKUP(C1548,Products!A1548:A2047,Products!B1548:B2047,"Product Missing",0)</f>
        <v>Product Missing</v>
      </c>
      <c r="H1548" s="7" t="str">
        <f>_xlfn.XLOOKUP(C1548,Products!A1548:A2047,Products!C1548:C2047,"Category Missing",0)</f>
        <v>Category Missing</v>
      </c>
      <c r="I1548" s="11" t="str">
        <f>_xlfn.XLOOKUP(Orders!C1548,Products!A1548:A2047,Products!D1548:D2047,"Price Missing",0)</f>
        <v>Price Missing</v>
      </c>
      <c r="J1548" s="19">
        <f t="shared" si="24"/>
        <v>0</v>
      </c>
    </row>
    <row r="1549" spans="1:10" x14ac:dyDescent="0.35">
      <c r="A1549" s="4" t="s">
        <v>5569</v>
      </c>
      <c r="B1549" s="7" t="s">
        <v>1160</v>
      </c>
      <c r="C1549" s="7" t="s">
        <v>3130</v>
      </c>
      <c r="D1549" s="5">
        <v>2</v>
      </c>
      <c r="E1549" s="7" t="str">
        <f>_xlfn.XLOOKUP(B1549,Customers!A1549:A2548,Customers!B1549:B2548,"Customer Not Found",0)</f>
        <v>Customer Not Found</v>
      </c>
      <c r="F1549" s="7" t="str">
        <f>_xlfn.XLOOKUP(Orders!B1549,Customers!A1549:A2548,Customers!C1549:C2548,"Country not Found",0)</f>
        <v>Country not Found</v>
      </c>
      <c r="G1549" s="7" t="str">
        <f>_xlfn.XLOOKUP(C1549,Products!A1549:A2048,Products!B1549:B2048,"Product Missing",0)</f>
        <v>Product Missing</v>
      </c>
      <c r="H1549" s="7" t="str">
        <f>_xlfn.XLOOKUP(C1549,Products!A1549:A2048,Products!C1549:C2048,"Category Missing",0)</f>
        <v>Category Missing</v>
      </c>
      <c r="I1549" s="11" t="str">
        <f>_xlfn.XLOOKUP(Orders!C1549,Products!A1549:A2048,Products!D1549:D2048,"Price Missing",0)</f>
        <v>Price Missing</v>
      </c>
      <c r="J1549" s="19">
        <f t="shared" si="24"/>
        <v>0</v>
      </c>
    </row>
    <row r="1550" spans="1:10" x14ac:dyDescent="0.35">
      <c r="A1550" s="4" t="s">
        <v>5570</v>
      </c>
      <c r="B1550" s="7" t="s">
        <v>2846</v>
      </c>
      <c r="C1550" s="7" t="s">
        <v>3768</v>
      </c>
      <c r="D1550" s="5">
        <v>6</v>
      </c>
      <c r="E1550" s="7" t="str">
        <f>_xlfn.XLOOKUP(B1550,Customers!A1550:A2549,Customers!B1550:B2549,"Customer Not Found",0)</f>
        <v>Customer Not Found</v>
      </c>
      <c r="F1550" s="7" t="str">
        <f>_xlfn.XLOOKUP(Orders!B1550,Customers!A1550:A2549,Customers!C1550:C2549,"Country not Found",0)</f>
        <v>Country not Found</v>
      </c>
      <c r="G1550" s="7" t="str">
        <f>_xlfn.XLOOKUP(C1550,Products!A1550:A2049,Products!B1550:B2049,"Product Missing",0)</f>
        <v>Product Missing</v>
      </c>
      <c r="H1550" s="7" t="str">
        <f>_xlfn.XLOOKUP(C1550,Products!A1550:A2049,Products!C1550:C2049,"Category Missing",0)</f>
        <v>Category Missing</v>
      </c>
      <c r="I1550" s="11" t="str">
        <f>_xlfn.XLOOKUP(Orders!C1550,Products!A1550:A2049,Products!D1550:D2049,"Price Missing",0)</f>
        <v>Price Missing</v>
      </c>
      <c r="J1550" s="19">
        <f t="shared" si="24"/>
        <v>0</v>
      </c>
    </row>
    <row r="1551" spans="1:10" x14ac:dyDescent="0.35">
      <c r="A1551" s="4" t="s">
        <v>5571</v>
      </c>
      <c r="B1551" s="7" t="s">
        <v>1781</v>
      </c>
      <c r="C1551" s="7" t="s">
        <v>3824</v>
      </c>
      <c r="D1551" s="5">
        <v>9</v>
      </c>
      <c r="E1551" s="7" t="str">
        <f>_xlfn.XLOOKUP(B1551,Customers!A1551:A2550,Customers!B1551:B2550,"Customer Not Found",0)</f>
        <v>Customer Not Found</v>
      </c>
      <c r="F1551" s="7" t="str">
        <f>_xlfn.XLOOKUP(Orders!B1551,Customers!A1551:A2550,Customers!C1551:C2550,"Country not Found",0)</f>
        <v>Country not Found</v>
      </c>
      <c r="G1551" s="7" t="str">
        <f>_xlfn.XLOOKUP(C1551,Products!A1551:A2050,Products!B1551:B2050,"Product Missing",0)</f>
        <v>Product Missing</v>
      </c>
      <c r="H1551" s="7" t="str">
        <f>_xlfn.XLOOKUP(C1551,Products!A1551:A2050,Products!C1551:C2050,"Category Missing",0)</f>
        <v>Category Missing</v>
      </c>
      <c r="I1551" s="11" t="str">
        <f>_xlfn.XLOOKUP(Orders!C1551,Products!A1551:A2050,Products!D1551:D2050,"Price Missing",0)</f>
        <v>Price Missing</v>
      </c>
      <c r="J1551" s="19">
        <f t="shared" si="24"/>
        <v>0</v>
      </c>
    </row>
    <row r="1552" spans="1:10" x14ac:dyDescent="0.35">
      <c r="A1552" s="4" t="s">
        <v>5572</v>
      </c>
      <c r="B1552" s="7" t="s">
        <v>2051</v>
      </c>
      <c r="C1552" s="7" t="s">
        <v>3047</v>
      </c>
      <c r="D1552" s="5">
        <v>2</v>
      </c>
      <c r="E1552" s="7" t="str">
        <f>_xlfn.XLOOKUP(B1552,Customers!A1552:A2551,Customers!B1552:B2551,"Customer Not Found",0)</f>
        <v>Customer Not Found</v>
      </c>
      <c r="F1552" s="7" t="str">
        <f>_xlfn.XLOOKUP(Orders!B1552,Customers!A1552:A2551,Customers!C1552:C2551,"Country not Found",0)</f>
        <v>Country not Found</v>
      </c>
      <c r="G1552" s="7" t="str">
        <f>_xlfn.XLOOKUP(C1552,Products!A1552:A2051,Products!B1552:B2051,"Product Missing",0)</f>
        <v>Product Missing</v>
      </c>
      <c r="H1552" s="7" t="str">
        <f>_xlfn.XLOOKUP(C1552,Products!A1552:A2051,Products!C1552:C2051,"Category Missing",0)</f>
        <v>Category Missing</v>
      </c>
      <c r="I1552" s="11" t="str">
        <f>_xlfn.XLOOKUP(Orders!C1552,Products!A1552:A2051,Products!D1552:D2051,"Price Missing",0)</f>
        <v>Price Missing</v>
      </c>
      <c r="J1552" s="19">
        <f t="shared" si="24"/>
        <v>0</v>
      </c>
    </row>
    <row r="1553" spans="1:10" x14ac:dyDescent="0.35">
      <c r="A1553" s="4" t="s">
        <v>5573</v>
      </c>
      <c r="B1553" s="7" t="s">
        <v>638</v>
      </c>
      <c r="C1553" s="7" t="s">
        <v>3274</v>
      </c>
      <c r="D1553" s="5">
        <v>9</v>
      </c>
      <c r="E1553" s="7" t="str">
        <f>_xlfn.XLOOKUP(B1553,Customers!A1553:A2552,Customers!B1553:B2552,"Customer Not Found",0)</f>
        <v>Customer Not Found</v>
      </c>
      <c r="F1553" s="7" t="str">
        <f>_xlfn.XLOOKUP(Orders!B1553,Customers!A1553:A2552,Customers!C1553:C2552,"Country not Found",0)</f>
        <v>Country not Found</v>
      </c>
      <c r="G1553" s="7" t="str">
        <f>_xlfn.XLOOKUP(C1553,Products!A1553:A2052,Products!B1553:B2052,"Product Missing",0)</f>
        <v>Product Missing</v>
      </c>
      <c r="H1553" s="7" t="str">
        <f>_xlfn.XLOOKUP(C1553,Products!A1553:A2052,Products!C1553:C2052,"Category Missing",0)</f>
        <v>Category Missing</v>
      </c>
      <c r="I1553" s="11" t="str">
        <f>_xlfn.XLOOKUP(Orders!C1553,Products!A1553:A2052,Products!D1553:D2052,"Price Missing",0)</f>
        <v>Price Missing</v>
      </c>
      <c r="J1553" s="19">
        <f t="shared" si="24"/>
        <v>0</v>
      </c>
    </row>
    <row r="1554" spans="1:10" x14ac:dyDescent="0.35">
      <c r="A1554" s="4" t="s">
        <v>5574</v>
      </c>
      <c r="B1554" s="7" t="s">
        <v>734</v>
      </c>
      <c r="C1554" s="7" t="s">
        <v>3460</v>
      </c>
      <c r="D1554" s="5">
        <v>7</v>
      </c>
      <c r="E1554" s="7" t="str">
        <f>_xlfn.XLOOKUP(B1554,Customers!A1554:A2553,Customers!B1554:B2553,"Customer Not Found",0)</f>
        <v>Customer Not Found</v>
      </c>
      <c r="F1554" s="7" t="str">
        <f>_xlfn.XLOOKUP(Orders!B1554,Customers!A1554:A2553,Customers!C1554:C2553,"Country not Found",0)</f>
        <v>Country not Found</v>
      </c>
      <c r="G1554" s="7" t="str">
        <f>_xlfn.XLOOKUP(C1554,Products!A1554:A2053,Products!B1554:B2053,"Product Missing",0)</f>
        <v>Product Missing</v>
      </c>
      <c r="H1554" s="7" t="str">
        <f>_xlfn.XLOOKUP(C1554,Products!A1554:A2053,Products!C1554:C2053,"Category Missing",0)</f>
        <v>Category Missing</v>
      </c>
      <c r="I1554" s="11" t="str">
        <f>_xlfn.XLOOKUP(Orders!C1554,Products!A1554:A2053,Products!D1554:D2053,"Price Missing",0)</f>
        <v>Price Missing</v>
      </c>
      <c r="J1554" s="19">
        <f t="shared" si="24"/>
        <v>0</v>
      </c>
    </row>
    <row r="1555" spans="1:10" x14ac:dyDescent="0.35">
      <c r="A1555" s="4" t="s">
        <v>5575</v>
      </c>
      <c r="B1555" s="7" t="s">
        <v>1742</v>
      </c>
      <c r="C1555" s="7" t="s">
        <v>3726</v>
      </c>
      <c r="D1555" s="5">
        <v>10</v>
      </c>
      <c r="E1555" s="7" t="str">
        <f>_xlfn.XLOOKUP(B1555,Customers!A1555:A2554,Customers!B1555:B2554,"Customer Not Found",0)</f>
        <v>Customer Not Found</v>
      </c>
      <c r="F1555" s="7" t="str">
        <f>_xlfn.XLOOKUP(Orders!B1555,Customers!A1555:A2554,Customers!C1555:C2554,"Country not Found",0)</f>
        <v>Country not Found</v>
      </c>
      <c r="G1555" s="7" t="str">
        <f>_xlfn.XLOOKUP(C1555,Products!A1555:A2054,Products!B1555:B2054,"Product Missing",0)</f>
        <v>Product Missing</v>
      </c>
      <c r="H1555" s="7" t="str">
        <f>_xlfn.XLOOKUP(C1555,Products!A1555:A2054,Products!C1555:C2054,"Category Missing",0)</f>
        <v>Category Missing</v>
      </c>
      <c r="I1555" s="11" t="str">
        <f>_xlfn.XLOOKUP(Orders!C1555,Products!A1555:A2054,Products!D1555:D2054,"Price Missing",0)</f>
        <v>Price Missing</v>
      </c>
      <c r="J1555" s="19">
        <f t="shared" si="24"/>
        <v>0</v>
      </c>
    </row>
    <row r="1556" spans="1:10" x14ac:dyDescent="0.35">
      <c r="A1556" s="4" t="s">
        <v>5576</v>
      </c>
      <c r="B1556" s="7" t="s">
        <v>2006</v>
      </c>
      <c r="C1556" s="7" t="s">
        <v>3146</v>
      </c>
      <c r="D1556" s="5">
        <v>4</v>
      </c>
      <c r="E1556" s="7" t="str">
        <f>_xlfn.XLOOKUP(B1556,Customers!A1556:A2555,Customers!B1556:B2555,"Customer Not Found",0)</f>
        <v>Customer Not Found</v>
      </c>
      <c r="F1556" s="7" t="str">
        <f>_xlfn.XLOOKUP(Orders!B1556,Customers!A1556:A2555,Customers!C1556:C2555,"Country not Found",0)</f>
        <v>Country not Found</v>
      </c>
      <c r="G1556" s="7" t="str">
        <f>_xlfn.XLOOKUP(C1556,Products!A1556:A2055,Products!B1556:B2055,"Product Missing",0)</f>
        <v>Product Missing</v>
      </c>
      <c r="H1556" s="7" t="str">
        <f>_xlfn.XLOOKUP(C1556,Products!A1556:A2055,Products!C1556:C2055,"Category Missing",0)</f>
        <v>Category Missing</v>
      </c>
      <c r="I1556" s="11" t="str">
        <f>_xlfn.XLOOKUP(Orders!C1556,Products!A1556:A2055,Products!D1556:D2055,"Price Missing",0)</f>
        <v>Price Missing</v>
      </c>
      <c r="J1556" s="19">
        <f t="shared" si="24"/>
        <v>0</v>
      </c>
    </row>
    <row r="1557" spans="1:10" x14ac:dyDescent="0.35">
      <c r="A1557" s="4" t="s">
        <v>5577</v>
      </c>
      <c r="B1557" s="7" t="s">
        <v>2477</v>
      </c>
      <c r="C1557" s="7" t="s">
        <v>3398</v>
      </c>
      <c r="D1557" s="5">
        <v>3</v>
      </c>
      <c r="E1557" s="7" t="str">
        <f>_xlfn.XLOOKUP(B1557,Customers!A1557:A2556,Customers!B1557:B2556,"Customer Not Found",0)</f>
        <v>Customer Not Found</v>
      </c>
      <c r="F1557" s="7" t="str">
        <f>_xlfn.XLOOKUP(Orders!B1557,Customers!A1557:A2556,Customers!C1557:C2556,"Country not Found",0)</f>
        <v>Country not Found</v>
      </c>
      <c r="G1557" s="7" t="str">
        <f>_xlfn.XLOOKUP(C1557,Products!A1557:A2056,Products!B1557:B2056,"Product Missing",0)</f>
        <v>Product Missing</v>
      </c>
      <c r="H1557" s="7" t="str">
        <f>_xlfn.XLOOKUP(C1557,Products!A1557:A2056,Products!C1557:C2056,"Category Missing",0)</f>
        <v>Category Missing</v>
      </c>
      <c r="I1557" s="11" t="str">
        <f>_xlfn.XLOOKUP(Orders!C1557,Products!A1557:A2056,Products!D1557:D2056,"Price Missing",0)</f>
        <v>Price Missing</v>
      </c>
      <c r="J1557" s="19">
        <f t="shared" si="24"/>
        <v>0</v>
      </c>
    </row>
    <row r="1558" spans="1:10" x14ac:dyDescent="0.35">
      <c r="A1558" s="4" t="s">
        <v>5578</v>
      </c>
      <c r="B1558" s="7" t="s">
        <v>725</v>
      </c>
      <c r="C1558" s="7" t="s">
        <v>3968</v>
      </c>
      <c r="D1558" s="5">
        <v>7</v>
      </c>
      <c r="E1558" s="7" t="str">
        <f>_xlfn.XLOOKUP(B1558,Customers!A1558:A2557,Customers!B1558:B2557,"Customer Not Found",0)</f>
        <v>Customer Not Found</v>
      </c>
      <c r="F1558" s="7" t="str">
        <f>_xlfn.XLOOKUP(Orders!B1558,Customers!A1558:A2557,Customers!C1558:C2557,"Country not Found",0)</f>
        <v>Country not Found</v>
      </c>
      <c r="G1558" s="7" t="str">
        <f>_xlfn.XLOOKUP(C1558,Products!A1558:A2057,Products!B1558:B2057,"Product Missing",0)</f>
        <v>Product Missing</v>
      </c>
      <c r="H1558" s="7" t="str">
        <f>_xlfn.XLOOKUP(C1558,Products!A1558:A2057,Products!C1558:C2057,"Category Missing",0)</f>
        <v>Category Missing</v>
      </c>
      <c r="I1558" s="11" t="str">
        <f>_xlfn.XLOOKUP(Orders!C1558,Products!A1558:A2057,Products!D1558:D2057,"Price Missing",0)</f>
        <v>Price Missing</v>
      </c>
      <c r="J1558" s="19">
        <f t="shared" si="24"/>
        <v>0</v>
      </c>
    </row>
    <row r="1559" spans="1:10" x14ac:dyDescent="0.35">
      <c r="A1559" s="4" t="s">
        <v>5579</v>
      </c>
      <c r="B1559" s="7" t="s">
        <v>1649</v>
      </c>
      <c r="C1559" s="7" t="s">
        <v>3608</v>
      </c>
      <c r="D1559" s="5">
        <v>9</v>
      </c>
      <c r="E1559" s="7" t="str">
        <f>_xlfn.XLOOKUP(B1559,Customers!A1559:A2558,Customers!B1559:B2558,"Customer Not Found",0)</f>
        <v>Customer Not Found</v>
      </c>
      <c r="F1559" s="7" t="str">
        <f>_xlfn.XLOOKUP(Orders!B1559,Customers!A1559:A2558,Customers!C1559:C2558,"Country not Found",0)</f>
        <v>Country not Found</v>
      </c>
      <c r="G1559" s="7" t="str">
        <f>_xlfn.XLOOKUP(C1559,Products!A1559:A2058,Products!B1559:B2058,"Product Missing",0)</f>
        <v>Product Missing</v>
      </c>
      <c r="H1559" s="7" t="str">
        <f>_xlfn.XLOOKUP(C1559,Products!A1559:A2058,Products!C1559:C2058,"Category Missing",0)</f>
        <v>Category Missing</v>
      </c>
      <c r="I1559" s="11" t="str">
        <f>_xlfn.XLOOKUP(Orders!C1559,Products!A1559:A2058,Products!D1559:D2058,"Price Missing",0)</f>
        <v>Price Missing</v>
      </c>
      <c r="J1559" s="19">
        <f t="shared" si="24"/>
        <v>0</v>
      </c>
    </row>
    <row r="1560" spans="1:10" x14ac:dyDescent="0.35">
      <c r="A1560" s="4" t="s">
        <v>5580</v>
      </c>
      <c r="B1560" s="7" t="s">
        <v>383</v>
      </c>
      <c r="C1560" s="7" t="s">
        <v>3130</v>
      </c>
      <c r="D1560" s="5">
        <v>7</v>
      </c>
      <c r="E1560" s="7" t="str">
        <f>_xlfn.XLOOKUP(B1560,Customers!A1560:A2559,Customers!B1560:B2559,"Customer Not Found",0)</f>
        <v>Customer Not Found</v>
      </c>
      <c r="F1560" s="7" t="str">
        <f>_xlfn.XLOOKUP(Orders!B1560,Customers!A1560:A2559,Customers!C1560:C2559,"Country not Found",0)</f>
        <v>Country not Found</v>
      </c>
      <c r="G1560" s="7" t="str">
        <f>_xlfn.XLOOKUP(C1560,Products!A1560:A2059,Products!B1560:B2059,"Product Missing",0)</f>
        <v>Product Missing</v>
      </c>
      <c r="H1560" s="7" t="str">
        <f>_xlfn.XLOOKUP(C1560,Products!A1560:A2059,Products!C1560:C2059,"Category Missing",0)</f>
        <v>Category Missing</v>
      </c>
      <c r="I1560" s="11" t="str">
        <f>_xlfn.XLOOKUP(Orders!C1560,Products!A1560:A2059,Products!D1560:D2059,"Price Missing",0)</f>
        <v>Price Missing</v>
      </c>
      <c r="J1560" s="19">
        <f t="shared" si="24"/>
        <v>0</v>
      </c>
    </row>
    <row r="1561" spans="1:10" x14ac:dyDescent="0.35">
      <c r="A1561" s="4" t="s">
        <v>5581</v>
      </c>
      <c r="B1561" s="7" t="s">
        <v>1145</v>
      </c>
      <c r="C1561" s="7" t="s">
        <v>3194</v>
      </c>
      <c r="D1561" s="5">
        <v>6</v>
      </c>
      <c r="E1561" s="7" t="str">
        <f>_xlfn.XLOOKUP(B1561,Customers!A1561:A2560,Customers!B1561:B2560,"Customer Not Found",0)</f>
        <v>Customer Not Found</v>
      </c>
      <c r="F1561" s="7" t="str">
        <f>_xlfn.XLOOKUP(Orders!B1561,Customers!A1561:A2560,Customers!C1561:C2560,"Country not Found",0)</f>
        <v>Country not Found</v>
      </c>
      <c r="G1561" s="7" t="str">
        <f>_xlfn.XLOOKUP(C1561,Products!A1561:A2060,Products!B1561:B2060,"Product Missing",0)</f>
        <v>Product Missing</v>
      </c>
      <c r="H1561" s="7" t="str">
        <f>_xlfn.XLOOKUP(C1561,Products!A1561:A2060,Products!C1561:C2060,"Category Missing",0)</f>
        <v>Category Missing</v>
      </c>
      <c r="I1561" s="11" t="str">
        <f>_xlfn.XLOOKUP(Orders!C1561,Products!A1561:A2060,Products!D1561:D2060,"Price Missing",0)</f>
        <v>Price Missing</v>
      </c>
      <c r="J1561" s="19">
        <f t="shared" si="24"/>
        <v>0</v>
      </c>
    </row>
    <row r="1562" spans="1:10" x14ac:dyDescent="0.35">
      <c r="A1562" s="4" t="s">
        <v>5582</v>
      </c>
      <c r="B1562" s="7" t="s">
        <v>482</v>
      </c>
      <c r="C1562" s="7" t="s">
        <v>3176</v>
      </c>
      <c r="D1562" s="5">
        <v>10</v>
      </c>
      <c r="E1562" s="7" t="str">
        <f>_xlfn.XLOOKUP(B1562,Customers!A1562:A2561,Customers!B1562:B2561,"Customer Not Found",0)</f>
        <v>Customer Not Found</v>
      </c>
      <c r="F1562" s="7" t="str">
        <f>_xlfn.XLOOKUP(Orders!B1562,Customers!A1562:A2561,Customers!C1562:C2561,"Country not Found",0)</f>
        <v>Country not Found</v>
      </c>
      <c r="G1562" s="7" t="str">
        <f>_xlfn.XLOOKUP(C1562,Products!A1562:A2061,Products!B1562:B2061,"Product Missing",0)</f>
        <v>Product Missing</v>
      </c>
      <c r="H1562" s="7" t="str">
        <f>_xlfn.XLOOKUP(C1562,Products!A1562:A2061,Products!C1562:C2061,"Category Missing",0)</f>
        <v>Category Missing</v>
      </c>
      <c r="I1562" s="11" t="str">
        <f>_xlfn.XLOOKUP(Orders!C1562,Products!A1562:A2061,Products!D1562:D2061,"Price Missing",0)</f>
        <v>Price Missing</v>
      </c>
      <c r="J1562" s="19">
        <f t="shared" si="24"/>
        <v>0</v>
      </c>
    </row>
    <row r="1563" spans="1:10" x14ac:dyDescent="0.35">
      <c r="A1563" s="4" t="s">
        <v>5583</v>
      </c>
      <c r="B1563" s="7" t="s">
        <v>752</v>
      </c>
      <c r="C1563" s="7" t="s">
        <v>3310</v>
      </c>
      <c r="D1563" s="5">
        <v>4</v>
      </c>
      <c r="E1563" s="7" t="str">
        <f>_xlfn.XLOOKUP(B1563,Customers!A1563:A2562,Customers!B1563:B2562,"Customer Not Found",0)</f>
        <v>Customer Not Found</v>
      </c>
      <c r="F1563" s="7" t="str">
        <f>_xlfn.XLOOKUP(Orders!B1563,Customers!A1563:A2562,Customers!C1563:C2562,"Country not Found",0)</f>
        <v>Country not Found</v>
      </c>
      <c r="G1563" s="7" t="str">
        <f>_xlfn.XLOOKUP(C1563,Products!A1563:A2062,Products!B1563:B2062,"Product Missing",0)</f>
        <v>Product Missing</v>
      </c>
      <c r="H1563" s="7" t="str">
        <f>_xlfn.XLOOKUP(C1563,Products!A1563:A2062,Products!C1563:C2062,"Category Missing",0)</f>
        <v>Category Missing</v>
      </c>
      <c r="I1563" s="11" t="str">
        <f>_xlfn.XLOOKUP(Orders!C1563,Products!A1563:A2062,Products!D1563:D2062,"Price Missing",0)</f>
        <v>Price Missing</v>
      </c>
      <c r="J1563" s="19">
        <f t="shared" si="24"/>
        <v>0</v>
      </c>
    </row>
    <row r="1564" spans="1:10" x14ac:dyDescent="0.35">
      <c r="A1564" s="4" t="s">
        <v>5584</v>
      </c>
      <c r="B1564" s="7" t="s">
        <v>884</v>
      </c>
      <c r="C1564" s="7" t="s">
        <v>3936</v>
      </c>
      <c r="D1564" s="5">
        <v>2</v>
      </c>
      <c r="E1564" s="7" t="str">
        <f>_xlfn.XLOOKUP(B1564,Customers!A1564:A2563,Customers!B1564:B2563,"Customer Not Found",0)</f>
        <v>Customer Not Found</v>
      </c>
      <c r="F1564" s="7" t="str">
        <f>_xlfn.XLOOKUP(Orders!B1564,Customers!A1564:A2563,Customers!C1564:C2563,"Country not Found",0)</f>
        <v>Country not Found</v>
      </c>
      <c r="G1564" s="7" t="str">
        <f>_xlfn.XLOOKUP(C1564,Products!A1564:A2063,Products!B1564:B2063,"Product Missing",0)</f>
        <v>Product Missing</v>
      </c>
      <c r="H1564" s="7" t="str">
        <f>_xlfn.XLOOKUP(C1564,Products!A1564:A2063,Products!C1564:C2063,"Category Missing",0)</f>
        <v>Category Missing</v>
      </c>
      <c r="I1564" s="11" t="str">
        <f>_xlfn.XLOOKUP(Orders!C1564,Products!A1564:A2063,Products!D1564:D2063,"Price Missing",0)</f>
        <v>Price Missing</v>
      </c>
      <c r="J1564" s="19">
        <f t="shared" si="24"/>
        <v>0</v>
      </c>
    </row>
    <row r="1565" spans="1:10" x14ac:dyDescent="0.35">
      <c r="A1565" s="4" t="s">
        <v>5585</v>
      </c>
      <c r="B1565" s="7" t="s">
        <v>851</v>
      </c>
      <c r="C1565" s="7" t="s">
        <v>3148</v>
      </c>
      <c r="D1565" s="5">
        <v>5</v>
      </c>
      <c r="E1565" s="7" t="str">
        <f>_xlfn.XLOOKUP(B1565,Customers!A1565:A2564,Customers!B1565:B2564,"Customer Not Found",0)</f>
        <v>Customer Not Found</v>
      </c>
      <c r="F1565" s="7" t="str">
        <f>_xlfn.XLOOKUP(Orders!B1565,Customers!A1565:A2564,Customers!C1565:C2564,"Country not Found",0)</f>
        <v>Country not Found</v>
      </c>
      <c r="G1565" s="7" t="str">
        <f>_xlfn.XLOOKUP(C1565,Products!A1565:A2064,Products!B1565:B2064,"Product Missing",0)</f>
        <v>Product Missing</v>
      </c>
      <c r="H1565" s="7" t="str">
        <f>_xlfn.XLOOKUP(C1565,Products!A1565:A2064,Products!C1565:C2064,"Category Missing",0)</f>
        <v>Category Missing</v>
      </c>
      <c r="I1565" s="11" t="str">
        <f>_xlfn.XLOOKUP(Orders!C1565,Products!A1565:A2064,Products!D1565:D2064,"Price Missing",0)</f>
        <v>Price Missing</v>
      </c>
      <c r="J1565" s="19">
        <f t="shared" si="24"/>
        <v>0</v>
      </c>
    </row>
    <row r="1566" spans="1:10" x14ac:dyDescent="0.35">
      <c r="A1566" s="4" t="s">
        <v>5586</v>
      </c>
      <c r="B1566" s="7" t="s">
        <v>2507</v>
      </c>
      <c r="C1566" s="7" t="s">
        <v>3478</v>
      </c>
      <c r="D1566" s="5">
        <v>3</v>
      </c>
      <c r="E1566" s="7" t="str">
        <f>_xlfn.XLOOKUP(B1566,Customers!A1566:A2565,Customers!B1566:B2565,"Customer Not Found",0)</f>
        <v>Customer Not Found</v>
      </c>
      <c r="F1566" s="7" t="str">
        <f>_xlfn.XLOOKUP(Orders!B1566,Customers!A1566:A2565,Customers!C1566:C2565,"Country not Found",0)</f>
        <v>Country not Found</v>
      </c>
      <c r="G1566" s="7" t="str">
        <f>_xlfn.XLOOKUP(C1566,Products!A1566:A2065,Products!B1566:B2065,"Product Missing",0)</f>
        <v>Product Missing</v>
      </c>
      <c r="H1566" s="7" t="str">
        <f>_xlfn.XLOOKUP(C1566,Products!A1566:A2065,Products!C1566:C2065,"Category Missing",0)</f>
        <v>Category Missing</v>
      </c>
      <c r="I1566" s="11" t="str">
        <f>_xlfn.XLOOKUP(Orders!C1566,Products!A1566:A2065,Products!D1566:D2065,"Price Missing",0)</f>
        <v>Price Missing</v>
      </c>
      <c r="J1566" s="19">
        <f t="shared" si="24"/>
        <v>0</v>
      </c>
    </row>
    <row r="1567" spans="1:10" x14ac:dyDescent="0.35">
      <c r="A1567" s="4" t="s">
        <v>5587</v>
      </c>
      <c r="B1567" s="7" t="s">
        <v>1028</v>
      </c>
      <c r="C1567" s="7" t="s">
        <v>3286</v>
      </c>
      <c r="D1567" s="5">
        <v>4</v>
      </c>
      <c r="E1567" s="7" t="str">
        <f>_xlfn.XLOOKUP(B1567,Customers!A1567:A2566,Customers!B1567:B2566,"Customer Not Found",0)</f>
        <v>Customer Not Found</v>
      </c>
      <c r="F1567" s="7" t="str">
        <f>_xlfn.XLOOKUP(Orders!B1567,Customers!A1567:A2566,Customers!C1567:C2566,"Country not Found",0)</f>
        <v>Country not Found</v>
      </c>
      <c r="G1567" s="7" t="str">
        <f>_xlfn.XLOOKUP(C1567,Products!A1567:A2066,Products!B1567:B2066,"Product Missing",0)</f>
        <v>Product Missing</v>
      </c>
      <c r="H1567" s="7" t="str">
        <f>_xlfn.XLOOKUP(C1567,Products!A1567:A2066,Products!C1567:C2066,"Category Missing",0)</f>
        <v>Category Missing</v>
      </c>
      <c r="I1567" s="11" t="str">
        <f>_xlfn.XLOOKUP(Orders!C1567,Products!A1567:A2066,Products!D1567:D2066,"Price Missing",0)</f>
        <v>Price Missing</v>
      </c>
      <c r="J1567" s="19">
        <f t="shared" si="24"/>
        <v>0</v>
      </c>
    </row>
    <row r="1568" spans="1:10" x14ac:dyDescent="0.35">
      <c r="A1568" s="4" t="s">
        <v>5588</v>
      </c>
      <c r="B1568" s="7" t="s">
        <v>2270</v>
      </c>
      <c r="C1568" s="7" t="s">
        <v>3025</v>
      </c>
      <c r="D1568" s="5">
        <v>4</v>
      </c>
      <c r="E1568" s="7" t="str">
        <f>_xlfn.XLOOKUP(B1568,Customers!A1568:A2567,Customers!B1568:B2567,"Customer Not Found",0)</f>
        <v>Customer Not Found</v>
      </c>
      <c r="F1568" s="7" t="str">
        <f>_xlfn.XLOOKUP(Orders!B1568,Customers!A1568:A2567,Customers!C1568:C2567,"Country not Found",0)</f>
        <v>Country not Found</v>
      </c>
      <c r="G1568" s="7" t="str">
        <f>_xlfn.XLOOKUP(C1568,Products!A1568:A2067,Products!B1568:B2067,"Product Missing",0)</f>
        <v>Product Missing</v>
      </c>
      <c r="H1568" s="7" t="str">
        <f>_xlfn.XLOOKUP(C1568,Products!A1568:A2067,Products!C1568:C2067,"Category Missing",0)</f>
        <v>Category Missing</v>
      </c>
      <c r="I1568" s="11" t="str">
        <f>_xlfn.XLOOKUP(Orders!C1568,Products!A1568:A2067,Products!D1568:D2067,"Price Missing",0)</f>
        <v>Price Missing</v>
      </c>
      <c r="J1568" s="19">
        <f t="shared" si="24"/>
        <v>0</v>
      </c>
    </row>
    <row r="1569" spans="1:10" x14ac:dyDescent="0.35">
      <c r="A1569" s="4" t="s">
        <v>5589</v>
      </c>
      <c r="B1569" s="7" t="s">
        <v>2189</v>
      </c>
      <c r="C1569" s="7" t="s">
        <v>3742</v>
      </c>
      <c r="D1569" s="5">
        <v>7</v>
      </c>
      <c r="E1569" s="7" t="str">
        <f>_xlfn.XLOOKUP(B1569,Customers!A1569:A2568,Customers!B1569:B2568,"Customer Not Found",0)</f>
        <v>Customer Not Found</v>
      </c>
      <c r="F1569" s="7" t="str">
        <f>_xlfn.XLOOKUP(Orders!B1569,Customers!A1569:A2568,Customers!C1569:C2568,"Country not Found",0)</f>
        <v>Country not Found</v>
      </c>
      <c r="G1569" s="7" t="str">
        <f>_xlfn.XLOOKUP(C1569,Products!A1569:A2068,Products!B1569:B2068,"Product Missing",0)</f>
        <v>Product Missing</v>
      </c>
      <c r="H1569" s="7" t="str">
        <f>_xlfn.XLOOKUP(C1569,Products!A1569:A2068,Products!C1569:C2068,"Category Missing",0)</f>
        <v>Category Missing</v>
      </c>
      <c r="I1569" s="11" t="str">
        <f>_xlfn.XLOOKUP(Orders!C1569,Products!A1569:A2068,Products!D1569:D2068,"Price Missing",0)</f>
        <v>Price Missing</v>
      </c>
      <c r="J1569" s="19">
        <f t="shared" si="24"/>
        <v>0</v>
      </c>
    </row>
    <row r="1570" spans="1:10" x14ac:dyDescent="0.35">
      <c r="A1570" s="4" t="s">
        <v>5590</v>
      </c>
      <c r="B1570" s="7" t="s">
        <v>632</v>
      </c>
      <c r="C1570" s="7" t="s">
        <v>3184</v>
      </c>
      <c r="D1570" s="5">
        <v>10</v>
      </c>
      <c r="E1570" s="7" t="str">
        <f>_xlfn.XLOOKUP(B1570,Customers!A1570:A2569,Customers!B1570:B2569,"Customer Not Found",0)</f>
        <v>Customer Not Found</v>
      </c>
      <c r="F1570" s="7" t="str">
        <f>_xlfn.XLOOKUP(Orders!B1570,Customers!A1570:A2569,Customers!C1570:C2569,"Country not Found",0)</f>
        <v>Country not Found</v>
      </c>
      <c r="G1570" s="7" t="str">
        <f>_xlfn.XLOOKUP(C1570,Products!A1570:A2069,Products!B1570:B2069,"Product Missing",0)</f>
        <v>Product Missing</v>
      </c>
      <c r="H1570" s="7" t="str">
        <f>_xlfn.XLOOKUP(C1570,Products!A1570:A2069,Products!C1570:C2069,"Category Missing",0)</f>
        <v>Category Missing</v>
      </c>
      <c r="I1570" s="11" t="str">
        <f>_xlfn.XLOOKUP(Orders!C1570,Products!A1570:A2069,Products!D1570:D2069,"Price Missing",0)</f>
        <v>Price Missing</v>
      </c>
      <c r="J1570" s="19">
        <f t="shared" si="24"/>
        <v>0</v>
      </c>
    </row>
    <row r="1571" spans="1:10" x14ac:dyDescent="0.35">
      <c r="A1571" s="4" t="s">
        <v>5591</v>
      </c>
      <c r="B1571" s="7" t="s">
        <v>2288</v>
      </c>
      <c r="C1571" s="7" t="s">
        <v>3960</v>
      </c>
      <c r="D1571" s="5">
        <v>10</v>
      </c>
      <c r="E1571" s="7" t="str">
        <f>_xlfn.XLOOKUP(B1571,Customers!A1571:A2570,Customers!B1571:B2570,"Customer Not Found",0)</f>
        <v>Customer Not Found</v>
      </c>
      <c r="F1571" s="7" t="str">
        <f>_xlfn.XLOOKUP(Orders!B1571,Customers!A1571:A2570,Customers!C1571:C2570,"Country not Found",0)</f>
        <v>Country not Found</v>
      </c>
      <c r="G1571" s="7" t="str">
        <f>_xlfn.XLOOKUP(C1571,Products!A1571:A2070,Products!B1571:B2070,"Product Missing",0)</f>
        <v>Product Missing</v>
      </c>
      <c r="H1571" s="7" t="str">
        <f>_xlfn.XLOOKUP(C1571,Products!A1571:A2070,Products!C1571:C2070,"Category Missing",0)</f>
        <v>Category Missing</v>
      </c>
      <c r="I1571" s="11" t="str">
        <f>_xlfn.XLOOKUP(Orders!C1571,Products!A1571:A2070,Products!D1571:D2070,"Price Missing",0)</f>
        <v>Price Missing</v>
      </c>
      <c r="J1571" s="19">
        <f t="shared" si="24"/>
        <v>0</v>
      </c>
    </row>
    <row r="1572" spans="1:10" x14ac:dyDescent="0.35">
      <c r="A1572" s="4" t="s">
        <v>5592</v>
      </c>
      <c r="B1572" s="7" t="s">
        <v>1421</v>
      </c>
      <c r="C1572" s="7" t="s">
        <v>3220</v>
      </c>
      <c r="D1572" s="5">
        <v>3</v>
      </c>
      <c r="E1572" s="7" t="str">
        <f>_xlfn.XLOOKUP(B1572,Customers!A1572:A2571,Customers!B1572:B2571,"Customer Not Found",0)</f>
        <v>Customer Not Found</v>
      </c>
      <c r="F1572" s="7" t="str">
        <f>_xlfn.XLOOKUP(Orders!B1572,Customers!A1572:A2571,Customers!C1572:C2571,"Country not Found",0)</f>
        <v>Country not Found</v>
      </c>
      <c r="G1572" s="7" t="str">
        <f>_xlfn.XLOOKUP(C1572,Products!A1572:A2071,Products!B1572:B2071,"Product Missing",0)</f>
        <v>Product Missing</v>
      </c>
      <c r="H1572" s="7" t="str">
        <f>_xlfn.XLOOKUP(C1572,Products!A1572:A2071,Products!C1572:C2071,"Category Missing",0)</f>
        <v>Category Missing</v>
      </c>
      <c r="I1572" s="11" t="str">
        <f>_xlfn.XLOOKUP(Orders!C1572,Products!A1572:A2071,Products!D1572:D2071,"Price Missing",0)</f>
        <v>Price Missing</v>
      </c>
      <c r="J1572" s="19">
        <f t="shared" si="24"/>
        <v>0</v>
      </c>
    </row>
    <row r="1573" spans="1:10" x14ac:dyDescent="0.35">
      <c r="A1573" s="4" t="s">
        <v>5593</v>
      </c>
      <c r="B1573" s="7" t="s">
        <v>773</v>
      </c>
      <c r="C1573" s="7" t="s">
        <v>3440</v>
      </c>
      <c r="D1573" s="5">
        <v>1</v>
      </c>
      <c r="E1573" s="7" t="str">
        <f>_xlfn.XLOOKUP(B1573,Customers!A1573:A2572,Customers!B1573:B2572,"Customer Not Found",0)</f>
        <v>Customer Not Found</v>
      </c>
      <c r="F1573" s="7" t="str">
        <f>_xlfn.XLOOKUP(Orders!B1573,Customers!A1573:A2572,Customers!C1573:C2572,"Country not Found",0)</f>
        <v>Country not Found</v>
      </c>
      <c r="G1573" s="7" t="str">
        <f>_xlfn.XLOOKUP(C1573,Products!A1573:A2072,Products!B1573:B2072,"Product Missing",0)</f>
        <v>Product Missing</v>
      </c>
      <c r="H1573" s="7" t="str">
        <f>_xlfn.XLOOKUP(C1573,Products!A1573:A2072,Products!C1573:C2072,"Category Missing",0)</f>
        <v>Category Missing</v>
      </c>
      <c r="I1573" s="11" t="str">
        <f>_xlfn.XLOOKUP(Orders!C1573,Products!A1573:A2072,Products!D1573:D2072,"Price Missing",0)</f>
        <v>Price Missing</v>
      </c>
      <c r="J1573" s="19">
        <f t="shared" si="24"/>
        <v>0</v>
      </c>
    </row>
    <row r="1574" spans="1:10" x14ac:dyDescent="0.35">
      <c r="A1574" s="4" t="s">
        <v>5594</v>
      </c>
      <c r="B1574" s="7" t="s">
        <v>989</v>
      </c>
      <c r="C1574" s="7" t="s">
        <v>3540</v>
      </c>
      <c r="D1574" s="5">
        <v>6</v>
      </c>
      <c r="E1574" s="7" t="str">
        <f>_xlfn.XLOOKUP(B1574,Customers!A1574:A2573,Customers!B1574:B2573,"Customer Not Found",0)</f>
        <v>Customer Not Found</v>
      </c>
      <c r="F1574" s="7" t="str">
        <f>_xlfn.XLOOKUP(Orders!B1574,Customers!A1574:A2573,Customers!C1574:C2573,"Country not Found",0)</f>
        <v>Country not Found</v>
      </c>
      <c r="G1574" s="7" t="str">
        <f>_xlfn.XLOOKUP(C1574,Products!A1574:A2073,Products!B1574:B2073,"Product Missing",0)</f>
        <v>Product Missing</v>
      </c>
      <c r="H1574" s="7" t="str">
        <f>_xlfn.XLOOKUP(C1574,Products!A1574:A2073,Products!C1574:C2073,"Category Missing",0)</f>
        <v>Category Missing</v>
      </c>
      <c r="I1574" s="11" t="str">
        <f>_xlfn.XLOOKUP(Orders!C1574,Products!A1574:A2073,Products!D1574:D2073,"Price Missing",0)</f>
        <v>Price Missing</v>
      </c>
      <c r="J1574" s="19">
        <f t="shared" si="24"/>
        <v>0</v>
      </c>
    </row>
    <row r="1575" spans="1:10" x14ac:dyDescent="0.35">
      <c r="A1575" s="4" t="s">
        <v>5595</v>
      </c>
      <c r="B1575" s="7" t="s">
        <v>2573</v>
      </c>
      <c r="C1575" s="7" t="s">
        <v>3034</v>
      </c>
      <c r="D1575" s="5">
        <v>6</v>
      </c>
      <c r="E1575" s="7" t="str">
        <f>_xlfn.XLOOKUP(B1575,Customers!A1575:A2574,Customers!B1575:B2574,"Customer Not Found",0)</f>
        <v>Customer Not Found</v>
      </c>
      <c r="F1575" s="7" t="str">
        <f>_xlfn.XLOOKUP(Orders!B1575,Customers!A1575:A2574,Customers!C1575:C2574,"Country not Found",0)</f>
        <v>Country not Found</v>
      </c>
      <c r="G1575" s="7" t="str">
        <f>_xlfn.XLOOKUP(C1575,Products!A1575:A2074,Products!B1575:B2074,"Product Missing",0)</f>
        <v>Product Missing</v>
      </c>
      <c r="H1575" s="7" t="str">
        <f>_xlfn.XLOOKUP(C1575,Products!A1575:A2074,Products!C1575:C2074,"Category Missing",0)</f>
        <v>Category Missing</v>
      </c>
      <c r="I1575" s="11" t="str">
        <f>_xlfn.XLOOKUP(Orders!C1575,Products!A1575:A2074,Products!D1575:D2074,"Price Missing",0)</f>
        <v>Price Missing</v>
      </c>
      <c r="J1575" s="19">
        <f t="shared" si="24"/>
        <v>0</v>
      </c>
    </row>
    <row r="1576" spans="1:10" x14ac:dyDescent="0.35">
      <c r="A1576" s="4" t="s">
        <v>5596</v>
      </c>
      <c r="B1576" s="7" t="s">
        <v>2978</v>
      </c>
      <c r="C1576" s="7" t="s">
        <v>3222</v>
      </c>
      <c r="D1576" s="5">
        <v>1</v>
      </c>
      <c r="E1576" s="7" t="str">
        <f>_xlfn.XLOOKUP(B1576,Customers!A1576:A2575,Customers!B1576:B2575,"Customer Not Found",0)</f>
        <v>Customer Not Found</v>
      </c>
      <c r="F1576" s="7" t="str">
        <f>_xlfn.XLOOKUP(Orders!B1576,Customers!A1576:A2575,Customers!C1576:C2575,"Country not Found",0)</f>
        <v>Country not Found</v>
      </c>
      <c r="G1576" s="7" t="str">
        <f>_xlfn.XLOOKUP(C1576,Products!A1576:A2075,Products!B1576:B2075,"Product Missing",0)</f>
        <v>Product Missing</v>
      </c>
      <c r="H1576" s="7" t="str">
        <f>_xlfn.XLOOKUP(C1576,Products!A1576:A2075,Products!C1576:C2075,"Category Missing",0)</f>
        <v>Category Missing</v>
      </c>
      <c r="I1576" s="11" t="str">
        <f>_xlfn.XLOOKUP(Orders!C1576,Products!A1576:A2075,Products!D1576:D2075,"Price Missing",0)</f>
        <v>Price Missing</v>
      </c>
      <c r="J1576" s="19">
        <f t="shared" si="24"/>
        <v>0</v>
      </c>
    </row>
    <row r="1577" spans="1:10" x14ac:dyDescent="0.35">
      <c r="A1577" s="4" t="s">
        <v>5597</v>
      </c>
      <c r="B1577" s="7" t="s">
        <v>1262</v>
      </c>
      <c r="C1577" s="7" t="s">
        <v>3348</v>
      </c>
      <c r="D1577" s="5">
        <v>10</v>
      </c>
      <c r="E1577" s="7" t="str">
        <f>_xlfn.XLOOKUP(B1577,Customers!A1577:A2576,Customers!B1577:B2576,"Customer Not Found",0)</f>
        <v>Customer Not Found</v>
      </c>
      <c r="F1577" s="7" t="str">
        <f>_xlfn.XLOOKUP(Orders!B1577,Customers!A1577:A2576,Customers!C1577:C2576,"Country not Found",0)</f>
        <v>Country not Found</v>
      </c>
      <c r="G1577" s="7" t="str">
        <f>_xlfn.XLOOKUP(C1577,Products!A1577:A2076,Products!B1577:B2076,"Product Missing",0)</f>
        <v>Product Missing</v>
      </c>
      <c r="H1577" s="7" t="str">
        <f>_xlfn.XLOOKUP(C1577,Products!A1577:A2076,Products!C1577:C2076,"Category Missing",0)</f>
        <v>Category Missing</v>
      </c>
      <c r="I1577" s="11" t="str">
        <f>_xlfn.XLOOKUP(Orders!C1577,Products!A1577:A2076,Products!D1577:D2076,"Price Missing",0)</f>
        <v>Price Missing</v>
      </c>
      <c r="J1577" s="19">
        <f t="shared" si="24"/>
        <v>0</v>
      </c>
    </row>
    <row r="1578" spans="1:10" x14ac:dyDescent="0.35">
      <c r="A1578" s="4" t="s">
        <v>5598</v>
      </c>
      <c r="B1578" s="7" t="s">
        <v>2369</v>
      </c>
      <c r="C1578" s="7" t="s">
        <v>3576</v>
      </c>
      <c r="D1578" s="5">
        <v>4</v>
      </c>
      <c r="E1578" s="7" t="str">
        <f>_xlfn.XLOOKUP(B1578,Customers!A1578:A2577,Customers!B1578:B2577,"Customer Not Found",0)</f>
        <v>Customer Not Found</v>
      </c>
      <c r="F1578" s="7" t="str">
        <f>_xlfn.XLOOKUP(Orders!B1578,Customers!A1578:A2577,Customers!C1578:C2577,"Country not Found",0)</f>
        <v>Country not Found</v>
      </c>
      <c r="G1578" s="7" t="str">
        <f>_xlfn.XLOOKUP(C1578,Products!A1578:A2077,Products!B1578:B2077,"Product Missing",0)</f>
        <v>Product Missing</v>
      </c>
      <c r="H1578" s="7" t="str">
        <f>_xlfn.XLOOKUP(C1578,Products!A1578:A2077,Products!C1578:C2077,"Category Missing",0)</f>
        <v>Category Missing</v>
      </c>
      <c r="I1578" s="11" t="str">
        <f>_xlfn.XLOOKUP(Orders!C1578,Products!A1578:A2077,Products!D1578:D2077,"Price Missing",0)</f>
        <v>Price Missing</v>
      </c>
      <c r="J1578" s="19">
        <f t="shared" si="24"/>
        <v>0</v>
      </c>
    </row>
    <row r="1579" spans="1:10" x14ac:dyDescent="0.35">
      <c r="A1579" s="4" t="s">
        <v>5599</v>
      </c>
      <c r="B1579" s="7" t="s">
        <v>407</v>
      </c>
      <c r="C1579" s="7" t="s">
        <v>3768</v>
      </c>
      <c r="D1579" s="5">
        <v>3</v>
      </c>
      <c r="E1579" s="7" t="str">
        <f>_xlfn.XLOOKUP(B1579,Customers!A1579:A2578,Customers!B1579:B2578,"Customer Not Found",0)</f>
        <v>Customer Not Found</v>
      </c>
      <c r="F1579" s="7" t="str">
        <f>_xlfn.XLOOKUP(Orders!B1579,Customers!A1579:A2578,Customers!C1579:C2578,"Country not Found",0)</f>
        <v>Country not Found</v>
      </c>
      <c r="G1579" s="7" t="str">
        <f>_xlfn.XLOOKUP(C1579,Products!A1579:A2078,Products!B1579:B2078,"Product Missing",0)</f>
        <v>Product Missing</v>
      </c>
      <c r="H1579" s="7" t="str">
        <f>_xlfn.XLOOKUP(C1579,Products!A1579:A2078,Products!C1579:C2078,"Category Missing",0)</f>
        <v>Category Missing</v>
      </c>
      <c r="I1579" s="11" t="str">
        <f>_xlfn.XLOOKUP(Orders!C1579,Products!A1579:A2078,Products!D1579:D2078,"Price Missing",0)</f>
        <v>Price Missing</v>
      </c>
      <c r="J1579" s="19">
        <f t="shared" si="24"/>
        <v>0</v>
      </c>
    </row>
    <row r="1580" spans="1:10" x14ac:dyDescent="0.35">
      <c r="A1580" s="4" t="s">
        <v>5600</v>
      </c>
      <c r="B1580" s="7" t="s">
        <v>2597</v>
      </c>
      <c r="C1580" s="7" t="s">
        <v>3704</v>
      </c>
      <c r="D1580" s="5">
        <v>3</v>
      </c>
      <c r="E1580" s="7" t="str">
        <f>_xlfn.XLOOKUP(B1580,Customers!A1580:A2579,Customers!B1580:B2579,"Customer Not Found",0)</f>
        <v>Customer Not Found</v>
      </c>
      <c r="F1580" s="7" t="str">
        <f>_xlfn.XLOOKUP(Orders!B1580,Customers!A1580:A2579,Customers!C1580:C2579,"Country not Found",0)</f>
        <v>Country not Found</v>
      </c>
      <c r="G1580" s="7" t="str">
        <f>_xlfn.XLOOKUP(C1580,Products!A1580:A2079,Products!B1580:B2079,"Product Missing",0)</f>
        <v>Product Missing</v>
      </c>
      <c r="H1580" s="7" t="str">
        <f>_xlfn.XLOOKUP(C1580,Products!A1580:A2079,Products!C1580:C2079,"Category Missing",0)</f>
        <v>Category Missing</v>
      </c>
      <c r="I1580" s="11" t="str">
        <f>_xlfn.XLOOKUP(Orders!C1580,Products!A1580:A2079,Products!D1580:D2079,"Price Missing",0)</f>
        <v>Price Missing</v>
      </c>
      <c r="J1580" s="19">
        <f t="shared" si="24"/>
        <v>0</v>
      </c>
    </row>
    <row r="1581" spans="1:10" x14ac:dyDescent="0.35">
      <c r="A1581" s="4" t="s">
        <v>5601</v>
      </c>
      <c r="B1581" s="7" t="s">
        <v>635</v>
      </c>
      <c r="C1581" s="7" t="s">
        <v>3422</v>
      </c>
      <c r="D1581" s="5">
        <v>8</v>
      </c>
      <c r="E1581" s="7" t="str">
        <f>_xlfn.XLOOKUP(B1581,Customers!A1581:A2580,Customers!B1581:B2580,"Customer Not Found",0)</f>
        <v>Customer Not Found</v>
      </c>
      <c r="F1581" s="7" t="str">
        <f>_xlfn.XLOOKUP(Orders!B1581,Customers!A1581:A2580,Customers!C1581:C2580,"Country not Found",0)</f>
        <v>Country not Found</v>
      </c>
      <c r="G1581" s="7" t="str">
        <f>_xlfn.XLOOKUP(C1581,Products!A1581:A2080,Products!B1581:B2080,"Product Missing",0)</f>
        <v>Product Missing</v>
      </c>
      <c r="H1581" s="7" t="str">
        <f>_xlfn.XLOOKUP(C1581,Products!A1581:A2080,Products!C1581:C2080,"Category Missing",0)</f>
        <v>Category Missing</v>
      </c>
      <c r="I1581" s="11" t="str">
        <f>_xlfn.XLOOKUP(Orders!C1581,Products!A1581:A2080,Products!D1581:D2080,"Price Missing",0)</f>
        <v>Price Missing</v>
      </c>
      <c r="J1581" s="19">
        <f t="shared" si="24"/>
        <v>0</v>
      </c>
    </row>
    <row r="1582" spans="1:10" x14ac:dyDescent="0.35">
      <c r="A1582" s="4" t="s">
        <v>5602</v>
      </c>
      <c r="B1582" s="7" t="s">
        <v>1682</v>
      </c>
      <c r="C1582" s="7" t="s">
        <v>3594</v>
      </c>
      <c r="D1582" s="5">
        <v>9</v>
      </c>
      <c r="E1582" s="7" t="str">
        <f>_xlfn.XLOOKUP(B1582,Customers!A1582:A2581,Customers!B1582:B2581,"Customer Not Found",0)</f>
        <v>Customer Not Found</v>
      </c>
      <c r="F1582" s="7" t="str">
        <f>_xlfn.XLOOKUP(Orders!B1582,Customers!A1582:A2581,Customers!C1582:C2581,"Country not Found",0)</f>
        <v>Country not Found</v>
      </c>
      <c r="G1582" s="7" t="str">
        <f>_xlfn.XLOOKUP(C1582,Products!A1582:A2081,Products!B1582:B2081,"Product Missing",0)</f>
        <v>Product Missing</v>
      </c>
      <c r="H1582" s="7" t="str">
        <f>_xlfn.XLOOKUP(C1582,Products!A1582:A2081,Products!C1582:C2081,"Category Missing",0)</f>
        <v>Category Missing</v>
      </c>
      <c r="I1582" s="11" t="str">
        <f>_xlfn.XLOOKUP(Orders!C1582,Products!A1582:A2081,Products!D1582:D2081,"Price Missing",0)</f>
        <v>Price Missing</v>
      </c>
      <c r="J1582" s="19">
        <f t="shared" si="24"/>
        <v>0</v>
      </c>
    </row>
    <row r="1583" spans="1:10" x14ac:dyDescent="0.35">
      <c r="A1583" s="4" t="s">
        <v>5603</v>
      </c>
      <c r="B1583" s="7" t="s">
        <v>452</v>
      </c>
      <c r="C1583" s="7" t="s">
        <v>3860</v>
      </c>
      <c r="D1583" s="5">
        <v>9</v>
      </c>
      <c r="E1583" s="7" t="str">
        <f>_xlfn.XLOOKUP(B1583,Customers!A1583:A2582,Customers!B1583:B2582,"Customer Not Found",0)</f>
        <v>Customer Not Found</v>
      </c>
      <c r="F1583" s="7" t="str">
        <f>_xlfn.XLOOKUP(Orders!B1583,Customers!A1583:A2582,Customers!C1583:C2582,"Country not Found",0)</f>
        <v>Country not Found</v>
      </c>
      <c r="G1583" s="7" t="str">
        <f>_xlfn.XLOOKUP(C1583,Products!A1583:A2082,Products!B1583:B2082,"Product Missing",0)</f>
        <v>Product Missing</v>
      </c>
      <c r="H1583" s="7" t="str">
        <f>_xlfn.XLOOKUP(C1583,Products!A1583:A2082,Products!C1583:C2082,"Category Missing",0)</f>
        <v>Category Missing</v>
      </c>
      <c r="I1583" s="11" t="str">
        <f>_xlfn.XLOOKUP(Orders!C1583,Products!A1583:A2082,Products!D1583:D2082,"Price Missing",0)</f>
        <v>Price Missing</v>
      </c>
      <c r="J1583" s="19">
        <f t="shared" si="24"/>
        <v>0</v>
      </c>
    </row>
    <row r="1584" spans="1:10" x14ac:dyDescent="0.35">
      <c r="A1584" s="4" t="s">
        <v>5604</v>
      </c>
      <c r="B1584" s="7" t="s">
        <v>1100</v>
      </c>
      <c r="C1584" s="7" t="s">
        <v>3328</v>
      </c>
      <c r="D1584" s="5">
        <v>10</v>
      </c>
      <c r="E1584" s="7" t="str">
        <f>_xlfn.XLOOKUP(B1584,Customers!A1584:A2583,Customers!B1584:B2583,"Customer Not Found",0)</f>
        <v>Customer Not Found</v>
      </c>
      <c r="F1584" s="7" t="str">
        <f>_xlfn.XLOOKUP(Orders!B1584,Customers!A1584:A2583,Customers!C1584:C2583,"Country not Found",0)</f>
        <v>Country not Found</v>
      </c>
      <c r="G1584" s="7" t="str">
        <f>_xlfn.XLOOKUP(C1584,Products!A1584:A2083,Products!B1584:B2083,"Product Missing",0)</f>
        <v>Product Missing</v>
      </c>
      <c r="H1584" s="7" t="str">
        <f>_xlfn.XLOOKUP(C1584,Products!A1584:A2083,Products!C1584:C2083,"Category Missing",0)</f>
        <v>Category Missing</v>
      </c>
      <c r="I1584" s="11" t="str">
        <f>_xlfn.XLOOKUP(Orders!C1584,Products!A1584:A2083,Products!D1584:D2083,"Price Missing",0)</f>
        <v>Price Missing</v>
      </c>
      <c r="J1584" s="19">
        <f t="shared" si="24"/>
        <v>0</v>
      </c>
    </row>
    <row r="1585" spans="1:10" x14ac:dyDescent="0.35">
      <c r="A1585" s="4" t="s">
        <v>5605</v>
      </c>
      <c r="B1585" s="7" t="s">
        <v>2018</v>
      </c>
      <c r="C1585" s="7" t="s">
        <v>3092</v>
      </c>
      <c r="D1585" s="5">
        <v>3</v>
      </c>
      <c r="E1585" s="7" t="str">
        <f>_xlfn.XLOOKUP(B1585,Customers!A1585:A2584,Customers!B1585:B2584,"Customer Not Found",0)</f>
        <v>Customer Not Found</v>
      </c>
      <c r="F1585" s="7" t="str">
        <f>_xlfn.XLOOKUP(Orders!B1585,Customers!A1585:A2584,Customers!C1585:C2584,"Country not Found",0)</f>
        <v>Country not Found</v>
      </c>
      <c r="G1585" s="7" t="str">
        <f>_xlfn.XLOOKUP(C1585,Products!A1585:A2084,Products!B1585:B2084,"Product Missing",0)</f>
        <v>Product Missing</v>
      </c>
      <c r="H1585" s="7" t="str">
        <f>_xlfn.XLOOKUP(C1585,Products!A1585:A2084,Products!C1585:C2084,"Category Missing",0)</f>
        <v>Category Missing</v>
      </c>
      <c r="I1585" s="11" t="str">
        <f>_xlfn.XLOOKUP(Orders!C1585,Products!A1585:A2084,Products!D1585:D2084,"Price Missing",0)</f>
        <v>Price Missing</v>
      </c>
      <c r="J1585" s="19">
        <f t="shared" si="24"/>
        <v>0</v>
      </c>
    </row>
    <row r="1586" spans="1:10" x14ac:dyDescent="0.35">
      <c r="A1586" s="4" t="s">
        <v>5606</v>
      </c>
      <c r="B1586" s="7" t="s">
        <v>1388</v>
      </c>
      <c r="C1586" s="7" t="s">
        <v>3334</v>
      </c>
      <c r="D1586" s="5">
        <v>10</v>
      </c>
      <c r="E1586" s="7" t="str">
        <f>_xlfn.XLOOKUP(B1586,Customers!A1586:A2585,Customers!B1586:B2585,"Customer Not Found",0)</f>
        <v>Customer Not Found</v>
      </c>
      <c r="F1586" s="7" t="str">
        <f>_xlfn.XLOOKUP(Orders!B1586,Customers!A1586:A2585,Customers!C1586:C2585,"Country not Found",0)</f>
        <v>Country not Found</v>
      </c>
      <c r="G1586" s="7" t="str">
        <f>_xlfn.XLOOKUP(C1586,Products!A1586:A2085,Products!B1586:B2085,"Product Missing",0)</f>
        <v>Product Missing</v>
      </c>
      <c r="H1586" s="7" t="str">
        <f>_xlfn.XLOOKUP(C1586,Products!A1586:A2085,Products!C1586:C2085,"Category Missing",0)</f>
        <v>Category Missing</v>
      </c>
      <c r="I1586" s="11" t="str">
        <f>_xlfn.XLOOKUP(Orders!C1586,Products!A1586:A2085,Products!D1586:D2085,"Price Missing",0)</f>
        <v>Price Missing</v>
      </c>
      <c r="J1586" s="19">
        <f t="shared" si="24"/>
        <v>0</v>
      </c>
    </row>
    <row r="1587" spans="1:10" x14ac:dyDescent="0.35">
      <c r="A1587" s="4" t="s">
        <v>5607</v>
      </c>
      <c r="B1587" s="7" t="s">
        <v>821</v>
      </c>
      <c r="C1587" s="7" t="s">
        <v>3348</v>
      </c>
      <c r="D1587" s="5">
        <v>3</v>
      </c>
      <c r="E1587" s="7" t="str">
        <f>_xlfn.XLOOKUP(B1587,Customers!A1587:A2586,Customers!B1587:B2586,"Customer Not Found",0)</f>
        <v>Customer Not Found</v>
      </c>
      <c r="F1587" s="7" t="str">
        <f>_xlfn.XLOOKUP(Orders!B1587,Customers!A1587:A2586,Customers!C1587:C2586,"Country not Found",0)</f>
        <v>Country not Found</v>
      </c>
      <c r="G1587" s="7" t="str">
        <f>_xlfn.XLOOKUP(C1587,Products!A1587:A2086,Products!B1587:B2086,"Product Missing",0)</f>
        <v>Product Missing</v>
      </c>
      <c r="H1587" s="7" t="str">
        <f>_xlfn.XLOOKUP(C1587,Products!A1587:A2086,Products!C1587:C2086,"Category Missing",0)</f>
        <v>Category Missing</v>
      </c>
      <c r="I1587" s="11" t="str">
        <f>_xlfn.XLOOKUP(Orders!C1587,Products!A1587:A2086,Products!D1587:D2086,"Price Missing",0)</f>
        <v>Price Missing</v>
      </c>
      <c r="J1587" s="19">
        <f t="shared" si="24"/>
        <v>0</v>
      </c>
    </row>
    <row r="1588" spans="1:10" x14ac:dyDescent="0.35">
      <c r="A1588" s="4" t="s">
        <v>5608</v>
      </c>
      <c r="B1588" s="7" t="s">
        <v>113</v>
      </c>
      <c r="C1588" s="7" t="s">
        <v>3570</v>
      </c>
      <c r="D1588" s="5">
        <v>4</v>
      </c>
      <c r="E1588" s="7" t="str">
        <f>_xlfn.XLOOKUP(B1588,Customers!A1588:A2587,Customers!B1588:B2587,"Customer Not Found",0)</f>
        <v>Customer Not Found</v>
      </c>
      <c r="F1588" s="7" t="str">
        <f>_xlfn.XLOOKUP(Orders!B1588,Customers!A1588:A2587,Customers!C1588:C2587,"Country not Found",0)</f>
        <v>Country not Found</v>
      </c>
      <c r="G1588" s="7" t="str">
        <f>_xlfn.XLOOKUP(C1588,Products!A1588:A2087,Products!B1588:B2087,"Product Missing",0)</f>
        <v>Product Missing</v>
      </c>
      <c r="H1588" s="7" t="str">
        <f>_xlfn.XLOOKUP(C1588,Products!A1588:A2087,Products!C1588:C2087,"Category Missing",0)</f>
        <v>Category Missing</v>
      </c>
      <c r="I1588" s="11" t="str">
        <f>_xlfn.XLOOKUP(Orders!C1588,Products!A1588:A2087,Products!D1588:D2087,"Price Missing",0)</f>
        <v>Price Missing</v>
      </c>
      <c r="J1588" s="19">
        <f t="shared" si="24"/>
        <v>0</v>
      </c>
    </row>
    <row r="1589" spans="1:10" x14ac:dyDescent="0.35">
      <c r="A1589" s="4" t="s">
        <v>5609</v>
      </c>
      <c r="B1589" s="7" t="s">
        <v>542</v>
      </c>
      <c r="C1589" s="7" t="s">
        <v>3998</v>
      </c>
      <c r="D1589" s="5">
        <v>5</v>
      </c>
      <c r="E1589" s="7" t="str">
        <f>_xlfn.XLOOKUP(B1589,Customers!A1589:A2588,Customers!B1589:B2588,"Customer Not Found",0)</f>
        <v>Customer Not Found</v>
      </c>
      <c r="F1589" s="7" t="str">
        <f>_xlfn.XLOOKUP(Orders!B1589,Customers!A1589:A2588,Customers!C1589:C2588,"Country not Found",0)</f>
        <v>Country not Found</v>
      </c>
      <c r="G1589" s="7" t="str">
        <f>_xlfn.XLOOKUP(C1589,Products!A1589:A2088,Products!B1589:B2088,"Product Missing",0)</f>
        <v>Product Missing</v>
      </c>
      <c r="H1589" s="7" t="str">
        <f>_xlfn.XLOOKUP(C1589,Products!A1589:A2088,Products!C1589:C2088,"Category Missing",0)</f>
        <v>Category Missing</v>
      </c>
      <c r="I1589" s="11" t="str">
        <f>_xlfn.XLOOKUP(Orders!C1589,Products!A1589:A2088,Products!D1589:D2088,"Price Missing",0)</f>
        <v>Price Missing</v>
      </c>
      <c r="J1589" s="19">
        <f t="shared" si="24"/>
        <v>0</v>
      </c>
    </row>
    <row r="1590" spans="1:10" x14ac:dyDescent="0.35">
      <c r="A1590" s="4" t="s">
        <v>5610</v>
      </c>
      <c r="B1590" s="7" t="s">
        <v>1208</v>
      </c>
      <c r="C1590" s="7" t="s">
        <v>3764</v>
      </c>
      <c r="D1590" s="5">
        <v>6</v>
      </c>
      <c r="E1590" s="7" t="str">
        <f>_xlfn.XLOOKUP(B1590,Customers!A1590:A2589,Customers!B1590:B2589,"Customer Not Found",0)</f>
        <v>Customer Not Found</v>
      </c>
      <c r="F1590" s="7" t="str">
        <f>_xlfn.XLOOKUP(Orders!B1590,Customers!A1590:A2589,Customers!C1590:C2589,"Country not Found",0)</f>
        <v>Country not Found</v>
      </c>
      <c r="G1590" s="7" t="str">
        <f>_xlfn.XLOOKUP(C1590,Products!A1590:A2089,Products!B1590:B2089,"Product Missing",0)</f>
        <v>Product Missing</v>
      </c>
      <c r="H1590" s="7" t="str">
        <f>_xlfn.XLOOKUP(C1590,Products!A1590:A2089,Products!C1590:C2089,"Category Missing",0)</f>
        <v>Category Missing</v>
      </c>
      <c r="I1590" s="11" t="str">
        <f>_xlfn.XLOOKUP(Orders!C1590,Products!A1590:A2089,Products!D1590:D2089,"Price Missing",0)</f>
        <v>Price Missing</v>
      </c>
      <c r="J1590" s="19">
        <f t="shared" si="24"/>
        <v>0</v>
      </c>
    </row>
    <row r="1591" spans="1:10" x14ac:dyDescent="0.35">
      <c r="A1591" s="4" t="s">
        <v>5611</v>
      </c>
      <c r="B1591" s="7" t="s">
        <v>2510</v>
      </c>
      <c r="C1591" s="7" t="s">
        <v>3102</v>
      </c>
      <c r="D1591" s="5">
        <v>3</v>
      </c>
      <c r="E1591" s="7" t="str">
        <f>_xlfn.XLOOKUP(B1591,Customers!A1591:A2590,Customers!B1591:B2590,"Customer Not Found",0)</f>
        <v>Customer Not Found</v>
      </c>
      <c r="F1591" s="7" t="str">
        <f>_xlfn.XLOOKUP(Orders!B1591,Customers!A1591:A2590,Customers!C1591:C2590,"Country not Found",0)</f>
        <v>Country not Found</v>
      </c>
      <c r="G1591" s="7" t="str">
        <f>_xlfn.XLOOKUP(C1591,Products!A1591:A2090,Products!B1591:B2090,"Product Missing",0)</f>
        <v>Product Missing</v>
      </c>
      <c r="H1591" s="7" t="str">
        <f>_xlfn.XLOOKUP(C1591,Products!A1591:A2090,Products!C1591:C2090,"Category Missing",0)</f>
        <v>Category Missing</v>
      </c>
      <c r="I1591" s="11" t="str">
        <f>_xlfn.XLOOKUP(Orders!C1591,Products!A1591:A2090,Products!D1591:D2090,"Price Missing",0)</f>
        <v>Price Missing</v>
      </c>
      <c r="J1591" s="19">
        <f t="shared" si="24"/>
        <v>0</v>
      </c>
    </row>
    <row r="1592" spans="1:10" x14ac:dyDescent="0.35">
      <c r="A1592" s="4" t="s">
        <v>5612</v>
      </c>
      <c r="B1592" s="7" t="s">
        <v>2675</v>
      </c>
      <c r="C1592" s="7" t="s">
        <v>3092</v>
      </c>
      <c r="D1592" s="5">
        <v>7</v>
      </c>
      <c r="E1592" s="7" t="str">
        <f>_xlfn.XLOOKUP(B1592,Customers!A1592:A2591,Customers!B1592:B2591,"Customer Not Found",0)</f>
        <v>Customer Not Found</v>
      </c>
      <c r="F1592" s="7" t="str">
        <f>_xlfn.XLOOKUP(Orders!B1592,Customers!A1592:A2591,Customers!C1592:C2591,"Country not Found",0)</f>
        <v>Country not Found</v>
      </c>
      <c r="G1592" s="7" t="str">
        <f>_xlfn.XLOOKUP(C1592,Products!A1592:A2091,Products!B1592:B2091,"Product Missing",0)</f>
        <v>Product Missing</v>
      </c>
      <c r="H1592" s="7" t="str">
        <f>_xlfn.XLOOKUP(C1592,Products!A1592:A2091,Products!C1592:C2091,"Category Missing",0)</f>
        <v>Category Missing</v>
      </c>
      <c r="I1592" s="11" t="str">
        <f>_xlfn.XLOOKUP(Orders!C1592,Products!A1592:A2091,Products!D1592:D2091,"Price Missing",0)</f>
        <v>Price Missing</v>
      </c>
      <c r="J1592" s="19">
        <f t="shared" si="24"/>
        <v>0</v>
      </c>
    </row>
    <row r="1593" spans="1:10" x14ac:dyDescent="0.35">
      <c r="A1593" s="4" t="s">
        <v>5613</v>
      </c>
      <c r="B1593" s="7" t="s">
        <v>2966</v>
      </c>
      <c r="C1593" s="7" t="s">
        <v>3872</v>
      </c>
      <c r="D1593" s="5">
        <v>2</v>
      </c>
      <c r="E1593" s="7" t="str">
        <f>_xlfn.XLOOKUP(B1593,Customers!A1593:A2592,Customers!B1593:B2592,"Customer Not Found",0)</f>
        <v>Customer Not Found</v>
      </c>
      <c r="F1593" s="7" t="str">
        <f>_xlfn.XLOOKUP(Orders!B1593,Customers!A1593:A2592,Customers!C1593:C2592,"Country not Found",0)</f>
        <v>Country not Found</v>
      </c>
      <c r="G1593" s="7" t="str">
        <f>_xlfn.XLOOKUP(C1593,Products!A1593:A2092,Products!B1593:B2092,"Product Missing",0)</f>
        <v>Product Missing</v>
      </c>
      <c r="H1593" s="7" t="str">
        <f>_xlfn.XLOOKUP(C1593,Products!A1593:A2092,Products!C1593:C2092,"Category Missing",0)</f>
        <v>Category Missing</v>
      </c>
      <c r="I1593" s="11" t="str">
        <f>_xlfn.XLOOKUP(Orders!C1593,Products!A1593:A2092,Products!D1593:D2092,"Price Missing",0)</f>
        <v>Price Missing</v>
      </c>
      <c r="J1593" s="19">
        <f t="shared" si="24"/>
        <v>0</v>
      </c>
    </row>
    <row r="1594" spans="1:10" x14ac:dyDescent="0.35">
      <c r="A1594" s="4" t="s">
        <v>5614</v>
      </c>
      <c r="B1594" s="7" t="s">
        <v>2666</v>
      </c>
      <c r="C1594" s="7" t="s">
        <v>3438</v>
      </c>
      <c r="D1594" s="5">
        <v>4</v>
      </c>
      <c r="E1594" s="7" t="str">
        <f>_xlfn.XLOOKUP(B1594,Customers!A1594:A2593,Customers!B1594:B2593,"Customer Not Found",0)</f>
        <v>Customer Not Found</v>
      </c>
      <c r="F1594" s="7" t="str">
        <f>_xlfn.XLOOKUP(Orders!B1594,Customers!A1594:A2593,Customers!C1594:C2593,"Country not Found",0)</f>
        <v>Country not Found</v>
      </c>
      <c r="G1594" s="7" t="str">
        <f>_xlfn.XLOOKUP(C1594,Products!A1594:A2093,Products!B1594:B2093,"Product Missing",0)</f>
        <v>Product Missing</v>
      </c>
      <c r="H1594" s="7" t="str">
        <f>_xlfn.XLOOKUP(C1594,Products!A1594:A2093,Products!C1594:C2093,"Category Missing",0)</f>
        <v>Category Missing</v>
      </c>
      <c r="I1594" s="11" t="str">
        <f>_xlfn.XLOOKUP(Orders!C1594,Products!A1594:A2093,Products!D1594:D2093,"Price Missing",0)</f>
        <v>Price Missing</v>
      </c>
      <c r="J1594" s="19">
        <f t="shared" si="24"/>
        <v>0</v>
      </c>
    </row>
    <row r="1595" spans="1:10" x14ac:dyDescent="0.35">
      <c r="A1595" s="4" t="s">
        <v>5615</v>
      </c>
      <c r="B1595" s="7" t="s">
        <v>2849</v>
      </c>
      <c r="C1595" s="7" t="s">
        <v>3310</v>
      </c>
      <c r="D1595" s="5">
        <v>3</v>
      </c>
      <c r="E1595" s="7" t="str">
        <f>_xlfn.XLOOKUP(B1595,Customers!A1595:A2594,Customers!B1595:B2594,"Customer Not Found",0)</f>
        <v>Customer Not Found</v>
      </c>
      <c r="F1595" s="7" t="str">
        <f>_xlfn.XLOOKUP(Orders!B1595,Customers!A1595:A2594,Customers!C1595:C2594,"Country not Found",0)</f>
        <v>Country not Found</v>
      </c>
      <c r="G1595" s="7" t="str">
        <f>_xlfn.XLOOKUP(C1595,Products!A1595:A2094,Products!B1595:B2094,"Product Missing",0)</f>
        <v>Product Missing</v>
      </c>
      <c r="H1595" s="7" t="str">
        <f>_xlfn.XLOOKUP(C1595,Products!A1595:A2094,Products!C1595:C2094,"Category Missing",0)</f>
        <v>Category Missing</v>
      </c>
      <c r="I1595" s="11" t="str">
        <f>_xlfn.XLOOKUP(Orders!C1595,Products!A1595:A2094,Products!D1595:D2094,"Price Missing",0)</f>
        <v>Price Missing</v>
      </c>
      <c r="J1595" s="19">
        <f t="shared" si="24"/>
        <v>0</v>
      </c>
    </row>
    <row r="1596" spans="1:10" x14ac:dyDescent="0.35">
      <c r="A1596" s="4" t="s">
        <v>5616</v>
      </c>
      <c r="B1596" s="7" t="s">
        <v>1967</v>
      </c>
      <c r="C1596" s="7" t="s">
        <v>3748</v>
      </c>
      <c r="D1596" s="5">
        <v>7</v>
      </c>
      <c r="E1596" s="7" t="str">
        <f>_xlfn.XLOOKUP(B1596,Customers!A1596:A2595,Customers!B1596:B2595,"Customer Not Found",0)</f>
        <v>Customer Not Found</v>
      </c>
      <c r="F1596" s="7" t="str">
        <f>_xlfn.XLOOKUP(Orders!B1596,Customers!A1596:A2595,Customers!C1596:C2595,"Country not Found",0)</f>
        <v>Country not Found</v>
      </c>
      <c r="G1596" s="7" t="str">
        <f>_xlfn.XLOOKUP(C1596,Products!A1596:A2095,Products!B1596:B2095,"Product Missing",0)</f>
        <v>Product Missing</v>
      </c>
      <c r="H1596" s="7" t="str">
        <f>_xlfn.XLOOKUP(C1596,Products!A1596:A2095,Products!C1596:C2095,"Category Missing",0)</f>
        <v>Category Missing</v>
      </c>
      <c r="I1596" s="11" t="str">
        <f>_xlfn.XLOOKUP(Orders!C1596,Products!A1596:A2095,Products!D1596:D2095,"Price Missing",0)</f>
        <v>Price Missing</v>
      </c>
      <c r="J1596" s="19">
        <f t="shared" si="24"/>
        <v>0</v>
      </c>
    </row>
    <row r="1597" spans="1:10" x14ac:dyDescent="0.35">
      <c r="A1597" s="4" t="s">
        <v>5617</v>
      </c>
      <c r="B1597" s="7" t="s">
        <v>2315</v>
      </c>
      <c r="C1597" s="7" t="s">
        <v>3680</v>
      </c>
      <c r="D1597" s="5">
        <v>1</v>
      </c>
      <c r="E1597" s="7" t="str">
        <f>_xlfn.XLOOKUP(B1597,Customers!A1597:A2596,Customers!B1597:B2596,"Customer Not Found",0)</f>
        <v>Customer Not Found</v>
      </c>
      <c r="F1597" s="7" t="str">
        <f>_xlfn.XLOOKUP(Orders!B1597,Customers!A1597:A2596,Customers!C1597:C2596,"Country not Found",0)</f>
        <v>Country not Found</v>
      </c>
      <c r="G1597" s="7" t="str">
        <f>_xlfn.XLOOKUP(C1597,Products!A1597:A2096,Products!B1597:B2096,"Product Missing",0)</f>
        <v>Product Missing</v>
      </c>
      <c r="H1597" s="7" t="str">
        <f>_xlfn.XLOOKUP(C1597,Products!A1597:A2096,Products!C1597:C2096,"Category Missing",0)</f>
        <v>Category Missing</v>
      </c>
      <c r="I1597" s="11" t="str">
        <f>_xlfn.XLOOKUP(Orders!C1597,Products!A1597:A2096,Products!D1597:D2096,"Price Missing",0)</f>
        <v>Price Missing</v>
      </c>
      <c r="J1597" s="19">
        <f t="shared" si="24"/>
        <v>0</v>
      </c>
    </row>
    <row r="1598" spans="1:10" x14ac:dyDescent="0.35">
      <c r="A1598" s="4" t="s">
        <v>5618</v>
      </c>
      <c r="B1598" s="7" t="s">
        <v>2048</v>
      </c>
      <c r="C1598" s="7" t="s">
        <v>3164</v>
      </c>
      <c r="D1598" s="5">
        <v>9</v>
      </c>
      <c r="E1598" s="7" t="str">
        <f>_xlfn.XLOOKUP(B1598,Customers!A1598:A2597,Customers!B1598:B2597,"Customer Not Found",0)</f>
        <v>Customer Not Found</v>
      </c>
      <c r="F1598" s="7" t="str">
        <f>_xlfn.XLOOKUP(Orders!B1598,Customers!A1598:A2597,Customers!C1598:C2597,"Country not Found",0)</f>
        <v>Country not Found</v>
      </c>
      <c r="G1598" s="7" t="str">
        <f>_xlfn.XLOOKUP(C1598,Products!A1598:A2097,Products!B1598:B2097,"Product Missing",0)</f>
        <v>Product Missing</v>
      </c>
      <c r="H1598" s="7" t="str">
        <f>_xlfn.XLOOKUP(C1598,Products!A1598:A2097,Products!C1598:C2097,"Category Missing",0)</f>
        <v>Category Missing</v>
      </c>
      <c r="I1598" s="11" t="str">
        <f>_xlfn.XLOOKUP(Orders!C1598,Products!A1598:A2097,Products!D1598:D2097,"Price Missing",0)</f>
        <v>Price Missing</v>
      </c>
      <c r="J1598" s="19">
        <f t="shared" si="24"/>
        <v>0</v>
      </c>
    </row>
    <row r="1599" spans="1:10" x14ac:dyDescent="0.35">
      <c r="A1599" s="4" t="s">
        <v>5619</v>
      </c>
      <c r="B1599" s="7" t="s">
        <v>1466</v>
      </c>
      <c r="C1599" s="7" t="s">
        <v>3344</v>
      </c>
      <c r="D1599" s="5">
        <v>1</v>
      </c>
      <c r="E1599" s="7" t="str">
        <f>_xlfn.XLOOKUP(B1599,Customers!A1599:A2598,Customers!B1599:B2598,"Customer Not Found",0)</f>
        <v>Customer Not Found</v>
      </c>
      <c r="F1599" s="7" t="str">
        <f>_xlfn.XLOOKUP(Orders!B1599,Customers!A1599:A2598,Customers!C1599:C2598,"Country not Found",0)</f>
        <v>Country not Found</v>
      </c>
      <c r="G1599" s="7" t="str">
        <f>_xlfn.XLOOKUP(C1599,Products!A1599:A2098,Products!B1599:B2098,"Product Missing",0)</f>
        <v>Product Missing</v>
      </c>
      <c r="H1599" s="7" t="str">
        <f>_xlfn.XLOOKUP(C1599,Products!A1599:A2098,Products!C1599:C2098,"Category Missing",0)</f>
        <v>Category Missing</v>
      </c>
      <c r="I1599" s="11" t="str">
        <f>_xlfn.XLOOKUP(Orders!C1599,Products!A1599:A2098,Products!D1599:D2098,"Price Missing",0)</f>
        <v>Price Missing</v>
      </c>
      <c r="J1599" s="19">
        <f t="shared" si="24"/>
        <v>0</v>
      </c>
    </row>
    <row r="1600" spans="1:10" x14ac:dyDescent="0.35">
      <c r="A1600" s="4" t="s">
        <v>5620</v>
      </c>
      <c r="B1600" s="7" t="s">
        <v>1052</v>
      </c>
      <c r="C1600" s="7" t="s">
        <v>3086</v>
      </c>
      <c r="D1600" s="5">
        <v>6</v>
      </c>
      <c r="E1600" s="7" t="str">
        <f>_xlfn.XLOOKUP(B1600,Customers!A1600:A2599,Customers!B1600:B2599,"Customer Not Found",0)</f>
        <v>Customer Not Found</v>
      </c>
      <c r="F1600" s="7" t="str">
        <f>_xlfn.XLOOKUP(Orders!B1600,Customers!A1600:A2599,Customers!C1600:C2599,"Country not Found",0)</f>
        <v>Country not Found</v>
      </c>
      <c r="G1600" s="7" t="str">
        <f>_xlfn.XLOOKUP(C1600,Products!A1600:A2099,Products!B1600:B2099,"Product Missing",0)</f>
        <v>Product Missing</v>
      </c>
      <c r="H1600" s="7" t="str">
        <f>_xlfn.XLOOKUP(C1600,Products!A1600:A2099,Products!C1600:C2099,"Category Missing",0)</f>
        <v>Category Missing</v>
      </c>
      <c r="I1600" s="11" t="str">
        <f>_xlfn.XLOOKUP(Orders!C1600,Products!A1600:A2099,Products!D1600:D2099,"Price Missing",0)</f>
        <v>Price Missing</v>
      </c>
      <c r="J1600" s="19">
        <f t="shared" si="24"/>
        <v>0</v>
      </c>
    </row>
    <row r="1601" spans="1:10" x14ac:dyDescent="0.35">
      <c r="A1601" s="4" t="s">
        <v>5621</v>
      </c>
      <c r="B1601" s="7" t="s">
        <v>992</v>
      </c>
      <c r="C1601" s="7" t="s">
        <v>3900</v>
      </c>
      <c r="D1601" s="5">
        <v>9</v>
      </c>
      <c r="E1601" s="7" t="str">
        <f>_xlfn.XLOOKUP(B1601,Customers!A1601:A2600,Customers!B1601:B2600,"Customer Not Found",0)</f>
        <v>Customer Not Found</v>
      </c>
      <c r="F1601" s="7" t="str">
        <f>_xlfn.XLOOKUP(Orders!B1601,Customers!A1601:A2600,Customers!C1601:C2600,"Country not Found",0)</f>
        <v>Country not Found</v>
      </c>
      <c r="G1601" s="7" t="str">
        <f>_xlfn.XLOOKUP(C1601,Products!A1601:A2100,Products!B1601:B2100,"Product Missing",0)</f>
        <v>Product Missing</v>
      </c>
      <c r="H1601" s="7" t="str">
        <f>_xlfn.XLOOKUP(C1601,Products!A1601:A2100,Products!C1601:C2100,"Category Missing",0)</f>
        <v>Category Missing</v>
      </c>
      <c r="I1601" s="11" t="str">
        <f>_xlfn.XLOOKUP(Orders!C1601,Products!A1601:A2100,Products!D1601:D2100,"Price Missing",0)</f>
        <v>Price Missing</v>
      </c>
      <c r="J1601" s="19">
        <f t="shared" si="24"/>
        <v>0</v>
      </c>
    </row>
    <row r="1602" spans="1:10" x14ac:dyDescent="0.35">
      <c r="A1602" s="4" t="s">
        <v>5622</v>
      </c>
      <c r="B1602" s="7" t="s">
        <v>935</v>
      </c>
      <c r="C1602" s="7" t="s">
        <v>3596</v>
      </c>
      <c r="D1602" s="5">
        <v>1</v>
      </c>
      <c r="E1602" s="7" t="str">
        <f>_xlfn.XLOOKUP(B1602,Customers!A1602:A2601,Customers!B1602:B2601,"Customer Not Found",0)</f>
        <v>Customer Not Found</v>
      </c>
      <c r="F1602" s="7" t="str">
        <f>_xlfn.XLOOKUP(Orders!B1602,Customers!A1602:A2601,Customers!C1602:C2601,"Country not Found",0)</f>
        <v>Country not Found</v>
      </c>
      <c r="G1602" s="7" t="str">
        <f>_xlfn.XLOOKUP(C1602,Products!A1602:A2101,Products!B1602:B2101,"Product Missing",0)</f>
        <v>Product Missing</v>
      </c>
      <c r="H1602" s="7" t="str">
        <f>_xlfn.XLOOKUP(C1602,Products!A1602:A2101,Products!C1602:C2101,"Category Missing",0)</f>
        <v>Category Missing</v>
      </c>
      <c r="I1602" s="11" t="str">
        <f>_xlfn.XLOOKUP(Orders!C1602,Products!A1602:A2101,Products!D1602:D2101,"Price Missing",0)</f>
        <v>Price Missing</v>
      </c>
      <c r="J1602" s="19">
        <f t="shared" si="24"/>
        <v>0</v>
      </c>
    </row>
    <row r="1603" spans="1:10" x14ac:dyDescent="0.35">
      <c r="A1603" s="4" t="s">
        <v>5623</v>
      </c>
      <c r="B1603" s="7" t="s">
        <v>2552</v>
      </c>
      <c r="C1603" s="7" t="s">
        <v>3768</v>
      </c>
      <c r="D1603" s="5">
        <v>10</v>
      </c>
      <c r="E1603" s="7" t="str">
        <f>_xlfn.XLOOKUP(B1603,Customers!A1603:A2602,Customers!B1603:B2602,"Customer Not Found",0)</f>
        <v>Customer Not Found</v>
      </c>
      <c r="F1603" s="7" t="str">
        <f>_xlfn.XLOOKUP(Orders!B1603,Customers!A1603:A2602,Customers!C1603:C2602,"Country not Found",0)</f>
        <v>Country not Found</v>
      </c>
      <c r="G1603" s="7" t="str">
        <f>_xlfn.XLOOKUP(C1603,Products!A1603:A2102,Products!B1603:B2102,"Product Missing",0)</f>
        <v>Product Missing</v>
      </c>
      <c r="H1603" s="7" t="str">
        <f>_xlfn.XLOOKUP(C1603,Products!A1603:A2102,Products!C1603:C2102,"Category Missing",0)</f>
        <v>Category Missing</v>
      </c>
      <c r="I1603" s="11" t="str">
        <f>_xlfn.XLOOKUP(Orders!C1603,Products!A1603:A2102,Products!D1603:D2102,"Price Missing",0)</f>
        <v>Price Missing</v>
      </c>
      <c r="J1603" s="19">
        <f t="shared" ref="J1603:J1666" si="25">IFERROR(I1603*D1603,0)</f>
        <v>0</v>
      </c>
    </row>
    <row r="1604" spans="1:10" x14ac:dyDescent="0.35">
      <c r="A1604" s="4" t="s">
        <v>5624</v>
      </c>
      <c r="B1604" s="7" t="s">
        <v>1088</v>
      </c>
      <c r="C1604" s="7" t="s">
        <v>3456</v>
      </c>
      <c r="D1604" s="5">
        <v>1</v>
      </c>
      <c r="E1604" s="7" t="str">
        <f>_xlfn.XLOOKUP(B1604,Customers!A1604:A2603,Customers!B1604:B2603,"Customer Not Found",0)</f>
        <v>Customer Not Found</v>
      </c>
      <c r="F1604" s="7" t="str">
        <f>_xlfn.XLOOKUP(Orders!B1604,Customers!A1604:A2603,Customers!C1604:C2603,"Country not Found",0)</f>
        <v>Country not Found</v>
      </c>
      <c r="G1604" s="7" t="str">
        <f>_xlfn.XLOOKUP(C1604,Products!A1604:A2103,Products!B1604:B2103,"Product Missing",0)</f>
        <v>Product Missing</v>
      </c>
      <c r="H1604" s="7" t="str">
        <f>_xlfn.XLOOKUP(C1604,Products!A1604:A2103,Products!C1604:C2103,"Category Missing",0)</f>
        <v>Category Missing</v>
      </c>
      <c r="I1604" s="11" t="str">
        <f>_xlfn.XLOOKUP(Orders!C1604,Products!A1604:A2103,Products!D1604:D2103,"Price Missing",0)</f>
        <v>Price Missing</v>
      </c>
      <c r="J1604" s="19">
        <f t="shared" si="25"/>
        <v>0</v>
      </c>
    </row>
    <row r="1605" spans="1:10" x14ac:dyDescent="0.35">
      <c r="A1605" s="4" t="s">
        <v>5625</v>
      </c>
      <c r="B1605" s="7" t="s">
        <v>2450</v>
      </c>
      <c r="C1605" s="7" t="s">
        <v>3262</v>
      </c>
      <c r="D1605" s="5">
        <v>7</v>
      </c>
      <c r="E1605" s="7" t="str">
        <f>_xlfn.XLOOKUP(B1605,Customers!A1605:A2604,Customers!B1605:B2604,"Customer Not Found",0)</f>
        <v>Customer Not Found</v>
      </c>
      <c r="F1605" s="7" t="str">
        <f>_xlfn.XLOOKUP(Orders!B1605,Customers!A1605:A2604,Customers!C1605:C2604,"Country not Found",0)</f>
        <v>Country not Found</v>
      </c>
      <c r="G1605" s="7" t="str">
        <f>_xlfn.XLOOKUP(C1605,Products!A1605:A2104,Products!B1605:B2104,"Product Missing",0)</f>
        <v>Product Missing</v>
      </c>
      <c r="H1605" s="7" t="str">
        <f>_xlfn.XLOOKUP(C1605,Products!A1605:A2104,Products!C1605:C2104,"Category Missing",0)</f>
        <v>Category Missing</v>
      </c>
      <c r="I1605" s="11" t="str">
        <f>_xlfn.XLOOKUP(Orders!C1605,Products!A1605:A2104,Products!D1605:D2104,"Price Missing",0)</f>
        <v>Price Missing</v>
      </c>
      <c r="J1605" s="19">
        <f t="shared" si="25"/>
        <v>0</v>
      </c>
    </row>
    <row r="1606" spans="1:10" x14ac:dyDescent="0.35">
      <c r="A1606" s="4" t="s">
        <v>5626</v>
      </c>
      <c r="B1606" s="7" t="s">
        <v>503</v>
      </c>
      <c r="C1606" s="7" t="s">
        <v>3754</v>
      </c>
      <c r="D1606" s="5">
        <v>5</v>
      </c>
      <c r="E1606" s="7" t="str">
        <f>_xlfn.XLOOKUP(B1606,Customers!A1606:A2605,Customers!B1606:B2605,"Customer Not Found",0)</f>
        <v>Customer Not Found</v>
      </c>
      <c r="F1606" s="7" t="str">
        <f>_xlfn.XLOOKUP(Orders!B1606,Customers!A1606:A2605,Customers!C1606:C2605,"Country not Found",0)</f>
        <v>Country not Found</v>
      </c>
      <c r="G1606" s="7" t="str">
        <f>_xlfn.XLOOKUP(C1606,Products!A1606:A2105,Products!B1606:B2105,"Product Missing",0)</f>
        <v>Product Missing</v>
      </c>
      <c r="H1606" s="7" t="str">
        <f>_xlfn.XLOOKUP(C1606,Products!A1606:A2105,Products!C1606:C2105,"Category Missing",0)</f>
        <v>Category Missing</v>
      </c>
      <c r="I1606" s="11" t="str">
        <f>_xlfn.XLOOKUP(Orders!C1606,Products!A1606:A2105,Products!D1606:D2105,"Price Missing",0)</f>
        <v>Price Missing</v>
      </c>
      <c r="J1606" s="19">
        <f t="shared" si="25"/>
        <v>0</v>
      </c>
    </row>
    <row r="1607" spans="1:10" x14ac:dyDescent="0.35">
      <c r="A1607" s="4" t="s">
        <v>5627</v>
      </c>
      <c r="B1607" s="7" t="s">
        <v>1241</v>
      </c>
      <c r="C1607" s="7" t="s">
        <v>3970</v>
      </c>
      <c r="D1607" s="5">
        <v>6</v>
      </c>
      <c r="E1607" s="7" t="str">
        <f>_xlfn.XLOOKUP(B1607,Customers!A1607:A2606,Customers!B1607:B2606,"Customer Not Found",0)</f>
        <v>Customer Not Found</v>
      </c>
      <c r="F1607" s="7" t="str">
        <f>_xlfn.XLOOKUP(Orders!B1607,Customers!A1607:A2606,Customers!C1607:C2606,"Country not Found",0)</f>
        <v>Country not Found</v>
      </c>
      <c r="G1607" s="7" t="str">
        <f>_xlfn.XLOOKUP(C1607,Products!A1607:A2106,Products!B1607:B2106,"Product Missing",0)</f>
        <v>Product Missing</v>
      </c>
      <c r="H1607" s="7" t="str">
        <f>_xlfn.XLOOKUP(C1607,Products!A1607:A2106,Products!C1607:C2106,"Category Missing",0)</f>
        <v>Category Missing</v>
      </c>
      <c r="I1607" s="11" t="str">
        <f>_xlfn.XLOOKUP(Orders!C1607,Products!A1607:A2106,Products!D1607:D2106,"Price Missing",0)</f>
        <v>Price Missing</v>
      </c>
      <c r="J1607" s="19">
        <f t="shared" si="25"/>
        <v>0</v>
      </c>
    </row>
    <row r="1608" spans="1:10" x14ac:dyDescent="0.35">
      <c r="A1608" s="4" t="s">
        <v>5628</v>
      </c>
      <c r="B1608" s="7" t="s">
        <v>851</v>
      </c>
      <c r="C1608" s="7" t="s">
        <v>3998</v>
      </c>
      <c r="D1608" s="5">
        <v>6</v>
      </c>
      <c r="E1608" s="7" t="str">
        <f>_xlfn.XLOOKUP(B1608,Customers!A1608:A2607,Customers!B1608:B2607,"Customer Not Found",0)</f>
        <v>Customer Not Found</v>
      </c>
      <c r="F1608" s="7" t="str">
        <f>_xlfn.XLOOKUP(Orders!B1608,Customers!A1608:A2607,Customers!C1608:C2607,"Country not Found",0)</f>
        <v>Country not Found</v>
      </c>
      <c r="G1608" s="7" t="str">
        <f>_xlfn.XLOOKUP(C1608,Products!A1608:A2107,Products!B1608:B2107,"Product Missing",0)</f>
        <v>Product Missing</v>
      </c>
      <c r="H1608" s="7" t="str">
        <f>_xlfn.XLOOKUP(C1608,Products!A1608:A2107,Products!C1608:C2107,"Category Missing",0)</f>
        <v>Category Missing</v>
      </c>
      <c r="I1608" s="11" t="str">
        <f>_xlfn.XLOOKUP(Orders!C1608,Products!A1608:A2107,Products!D1608:D2107,"Price Missing",0)</f>
        <v>Price Missing</v>
      </c>
      <c r="J1608" s="19">
        <f t="shared" si="25"/>
        <v>0</v>
      </c>
    </row>
    <row r="1609" spans="1:10" x14ac:dyDescent="0.35">
      <c r="A1609" s="4" t="s">
        <v>5629</v>
      </c>
      <c r="B1609" s="7" t="s">
        <v>1307</v>
      </c>
      <c r="C1609" s="7" t="s">
        <v>3824</v>
      </c>
      <c r="D1609" s="5">
        <v>8</v>
      </c>
      <c r="E1609" s="7" t="str">
        <f>_xlfn.XLOOKUP(B1609,Customers!A1609:A2608,Customers!B1609:B2608,"Customer Not Found",0)</f>
        <v>Customer Not Found</v>
      </c>
      <c r="F1609" s="7" t="str">
        <f>_xlfn.XLOOKUP(Orders!B1609,Customers!A1609:A2608,Customers!C1609:C2608,"Country not Found",0)</f>
        <v>Country not Found</v>
      </c>
      <c r="G1609" s="7" t="str">
        <f>_xlfn.XLOOKUP(C1609,Products!A1609:A2108,Products!B1609:B2108,"Product Missing",0)</f>
        <v>Product Missing</v>
      </c>
      <c r="H1609" s="7" t="str">
        <f>_xlfn.XLOOKUP(C1609,Products!A1609:A2108,Products!C1609:C2108,"Category Missing",0)</f>
        <v>Category Missing</v>
      </c>
      <c r="I1609" s="11" t="str">
        <f>_xlfn.XLOOKUP(Orders!C1609,Products!A1609:A2108,Products!D1609:D2108,"Price Missing",0)</f>
        <v>Price Missing</v>
      </c>
      <c r="J1609" s="19">
        <f t="shared" si="25"/>
        <v>0</v>
      </c>
    </row>
    <row r="1610" spans="1:10" x14ac:dyDescent="0.35">
      <c r="A1610" s="4" t="s">
        <v>5630</v>
      </c>
      <c r="B1610" s="7" t="s">
        <v>2834</v>
      </c>
      <c r="C1610" s="7" t="s">
        <v>3242</v>
      </c>
      <c r="D1610" s="5">
        <v>3</v>
      </c>
      <c r="E1610" s="7" t="str">
        <f>_xlfn.XLOOKUP(B1610,Customers!A1610:A2609,Customers!B1610:B2609,"Customer Not Found",0)</f>
        <v>Customer Not Found</v>
      </c>
      <c r="F1610" s="7" t="str">
        <f>_xlfn.XLOOKUP(Orders!B1610,Customers!A1610:A2609,Customers!C1610:C2609,"Country not Found",0)</f>
        <v>Country not Found</v>
      </c>
      <c r="G1610" s="7" t="str">
        <f>_xlfn.XLOOKUP(C1610,Products!A1610:A2109,Products!B1610:B2109,"Product Missing",0)</f>
        <v>Product Missing</v>
      </c>
      <c r="H1610" s="7" t="str">
        <f>_xlfn.XLOOKUP(C1610,Products!A1610:A2109,Products!C1610:C2109,"Category Missing",0)</f>
        <v>Category Missing</v>
      </c>
      <c r="I1610" s="11" t="str">
        <f>_xlfn.XLOOKUP(Orders!C1610,Products!A1610:A2109,Products!D1610:D2109,"Price Missing",0)</f>
        <v>Price Missing</v>
      </c>
      <c r="J1610" s="19">
        <f t="shared" si="25"/>
        <v>0</v>
      </c>
    </row>
    <row r="1611" spans="1:10" x14ac:dyDescent="0.35">
      <c r="A1611" s="4" t="s">
        <v>5631</v>
      </c>
      <c r="B1611" s="7" t="s">
        <v>164</v>
      </c>
      <c r="C1611" s="7" t="s">
        <v>3838</v>
      </c>
      <c r="D1611" s="5">
        <v>4</v>
      </c>
      <c r="E1611" s="7" t="str">
        <f>_xlfn.XLOOKUP(B1611,Customers!A1611:A2610,Customers!B1611:B2610,"Customer Not Found",0)</f>
        <v>Customer Not Found</v>
      </c>
      <c r="F1611" s="7" t="str">
        <f>_xlfn.XLOOKUP(Orders!B1611,Customers!A1611:A2610,Customers!C1611:C2610,"Country not Found",0)</f>
        <v>Country not Found</v>
      </c>
      <c r="G1611" s="7" t="str">
        <f>_xlfn.XLOOKUP(C1611,Products!A1611:A2110,Products!B1611:B2110,"Product Missing",0)</f>
        <v>Product Missing</v>
      </c>
      <c r="H1611" s="7" t="str">
        <f>_xlfn.XLOOKUP(C1611,Products!A1611:A2110,Products!C1611:C2110,"Category Missing",0)</f>
        <v>Category Missing</v>
      </c>
      <c r="I1611" s="11" t="str">
        <f>_xlfn.XLOOKUP(Orders!C1611,Products!A1611:A2110,Products!D1611:D2110,"Price Missing",0)</f>
        <v>Price Missing</v>
      </c>
      <c r="J1611" s="19">
        <f t="shared" si="25"/>
        <v>0</v>
      </c>
    </row>
    <row r="1612" spans="1:10" x14ac:dyDescent="0.35">
      <c r="A1612" s="4" t="s">
        <v>5632</v>
      </c>
      <c r="B1612" s="7" t="s">
        <v>1628</v>
      </c>
      <c r="C1612" s="7" t="s">
        <v>3508</v>
      </c>
      <c r="D1612" s="5">
        <v>8</v>
      </c>
      <c r="E1612" s="7" t="str">
        <f>_xlfn.XLOOKUP(B1612,Customers!A1612:A2611,Customers!B1612:B2611,"Customer Not Found",0)</f>
        <v>Customer Not Found</v>
      </c>
      <c r="F1612" s="7" t="str">
        <f>_xlfn.XLOOKUP(Orders!B1612,Customers!A1612:A2611,Customers!C1612:C2611,"Country not Found",0)</f>
        <v>Country not Found</v>
      </c>
      <c r="G1612" s="7" t="str">
        <f>_xlfn.XLOOKUP(C1612,Products!A1612:A2111,Products!B1612:B2111,"Product Missing",0)</f>
        <v>Product Missing</v>
      </c>
      <c r="H1612" s="7" t="str">
        <f>_xlfn.XLOOKUP(C1612,Products!A1612:A2111,Products!C1612:C2111,"Category Missing",0)</f>
        <v>Category Missing</v>
      </c>
      <c r="I1612" s="11" t="str">
        <f>_xlfn.XLOOKUP(Orders!C1612,Products!A1612:A2111,Products!D1612:D2111,"Price Missing",0)</f>
        <v>Price Missing</v>
      </c>
      <c r="J1612" s="19">
        <f t="shared" si="25"/>
        <v>0</v>
      </c>
    </row>
    <row r="1613" spans="1:10" x14ac:dyDescent="0.35">
      <c r="A1613" s="4" t="s">
        <v>5633</v>
      </c>
      <c r="B1613" s="7" t="s">
        <v>1607</v>
      </c>
      <c r="C1613" s="7" t="s">
        <v>3628</v>
      </c>
      <c r="D1613" s="5">
        <v>1</v>
      </c>
      <c r="E1613" s="7" t="str">
        <f>_xlfn.XLOOKUP(B1613,Customers!A1613:A2612,Customers!B1613:B2612,"Customer Not Found",0)</f>
        <v>Customer Not Found</v>
      </c>
      <c r="F1613" s="7" t="str">
        <f>_xlfn.XLOOKUP(Orders!B1613,Customers!A1613:A2612,Customers!C1613:C2612,"Country not Found",0)</f>
        <v>Country not Found</v>
      </c>
      <c r="G1613" s="7" t="str">
        <f>_xlfn.XLOOKUP(C1613,Products!A1613:A2112,Products!B1613:B2112,"Product Missing",0)</f>
        <v>Product Missing</v>
      </c>
      <c r="H1613" s="7" t="str">
        <f>_xlfn.XLOOKUP(C1613,Products!A1613:A2112,Products!C1613:C2112,"Category Missing",0)</f>
        <v>Category Missing</v>
      </c>
      <c r="I1613" s="11" t="str">
        <f>_xlfn.XLOOKUP(Orders!C1613,Products!A1613:A2112,Products!D1613:D2112,"Price Missing",0)</f>
        <v>Price Missing</v>
      </c>
      <c r="J1613" s="19">
        <f t="shared" si="25"/>
        <v>0</v>
      </c>
    </row>
    <row r="1614" spans="1:10" x14ac:dyDescent="0.35">
      <c r="A1614" s="4" t="s">
        <v>5634</v>
      </c>
      <c r="B1614" s="7" t="s">
        <v>2636</v>
      </c>
      <c r="C1614" s="7" t="s">
        <v>3754</v>
      </c>
      <c r="D1614" s="5">
        <v>9</v>
      </c>
      <c r="E1614" s="7" t="str">
        <f>_xlfn.XLOOKUP(B1614,Customers!A1614:A2613,Customers!B1614:B2613,"Customer Not Found",0)</f>
        <v>Customer Not Found</v>
      </c>
      <c r="F1614" s="7" t="str">
        <f>_xlfn.XLOOKUP(Orders!B1614,Customers!A1614:A2613,Customers!C1614:C2613,"Country not Found",0)</f>
        <v>Country not Found</v>
      </c>
      <c r="G1614" s="7" t="str">
        <f>_xlfn.XLOOKUP(C1614,Products!A1614:A2113,Products!B1614:B2113,"Product Missing",0)</f>
        <v>Product Missing</v>
      </c>
      <c r="H1614" s="7" t="str">
        <f>_xlfn.XLOOKUP(C1614,Products!A1614:A2113,Products!C1614:C2113,"Category Missing",0)</f>
        <v>Category Missing</v>
      </c>
      <c r="I1614" s="11" t="str">
        <f>_xlfn.XLOOKUP(Orders!C1614,Products!A1614:A2113,Products!D1614:D2113,"Price Missing",0)</f>
        <v>Price Missing</v>
      </c>
      <c r="J1614" s="19">
        <f t="shared" si="25"/>
        <v>0</v>
      </c>
    </row>
    <row r="1615" spans="1:10" x14ac:dyDescent="0.35">
      <c r="A1615" s="4" t="s">
        <v>5635</v>
      </c>
      <c r="B1615" s="7" t="s">
        <v>482</v>
      </c>
      <c r="C1615" s="7" t="s">
        <v>3202</v>
      </c>
      <c r="D1615" s="5">
        <v>6</v>
      </c>
      <c r="E1615" s="7" t="str">
        <f>_xlfn.XLOOKUP(B1615,Customers!A1615:A2614,Customers!B1615:B2614,"Customer Not Found",0)</f>
        <v>Customer Not Found</v>
      </c>
      <c r="F1615" s="7" t="str">
        <f>_xlfn.XLOOKUP(Orders!B1615,Customers!A1615:A2614,Customers!C1615:C2614,"Country not Found",0)</f>
        <v>Country not Found</v>
      </c>
      <c r="G1615" s="7" t="str">
        <f>_xlfn.XLOOKUP(C1615,Products!A1615:A2114,Products!B1615:B2114,"Product Missing",0)</f>
        <v>Product Missing</v>
      </c>
      <c r="H1615" s="7" t="str">
        <f>_xlfn.XLOOKUP(C1615,Products!A1615:A2114,Products!C1615:C2114,"Category Missing",0)</f>
        <v>Category Missing</v>
      </c>
      <c r="I1615" s="11" t="str">
        <f>_xlfn.XLOOKUP(Orders!C1615,Products!A1615:A2114,Products!D1615:D2114,"Price Missing",0)</f>
        <v>Price Missing</v>
      </c>
      <c r="J1615" s="19">
        <f t="shared" si="25"/>
        <v>0</v>
      </c>
    </row>
    <row r="1616" spans="1:10" x14ac:dyDescent="0.35">
      <c r="A1616" s="4" t="s">
        <v>5636</v>
      </c>
      <c r="B1616" s="7" t="s">
        <v>134</v>
      </c>
      <c r="C1616" s="7" t="s">
        <v>3652</v>
      </c>
      <c r="D1616" s="5">
        <v>1</v>
      </c>
      <c r="E1616" s="7" t="str">
        <f>_xlfn.XLOOKUP(B1616,Customers!A1616:A2615,Customers!B1616:B2615,"Customer Not Found",0)</f>
        <v>Customer Not Found</v>
      </c>
      <c r="F1616" s="7" t="str">
        <f>_xlfn.XLOOKUP(Orders!B1616,Customers!A1616:A2615,Customers!C1616:C2615,"Country not Found",0)</f>
        <v>Country not Found</v>
      </c>
      <c r="G1616" s="7" t="str">
        <f>_xlfn.XLOOKUP(C1616,Products!A1616:A2115,Products!B1616:B2115,"Product Missing",0)</f>
        <v>Product Missing</v>
      </c>
      <c r="H1616" s="7" t="str">
        <f>_xlfn.XLOOKUP(C1616,Products!A1616:A2115,Products!C1616:C2115,"Category Missing",0)</f>
        <v>Category Missing</v>
      </c>
      <c r="I1616" s="11" t="str">
        <f>_xlfn.XLOOKUP(Orders!C1616,Products!A1616:A2115,Products!D1616:D2115,"Price Missing",0)</f>
        <v>Price Missing</v>
      </c>
      <c r="J1616" s="19">
        <f t="shared" si="25"/>
        <v>0</v>
      </c>
    </row>
    <row r="1617" spans="1:10" x14ac:dyDescent="0.35">
      <c r="A1617" s="4" t="s">
        <v>5637</v>
      </c>
      <c r="B1617" s="7" t="s">
        <v>2183</v>
      </c>
      <c r="C1617" s="7" t="s">
        <v>3600</v>
      </c>
      <c r="D1617" s="5">
        <v>7</v>
      </c>
      <c r="E1617" s="7" t="str">
        <f>_xlfn.XLOOKUP(B1617,Customers!A1617:A2616,Customers!B1617:B2616,"Customer Not Found",0)</f>
        <v>Customer Not Found</v>
      </c>
      <c r="F1617" s="7" t="str">
        <f>_xlfn.XLOOKUP(Orders!B1617,Customers!A1617:A2616,Customers!C1617:C2616,"Country not Found",0)</f>
        <v>Country not Found</v>
      </c>
      <c r="G1617" s="7" t="str">
        <f>_xlfn.XLOOKUP(C1617,Products!A1617:A2116,Products!B1617:B2116,"Product Missing",0)</f>
        <v>Product Missing</v>
      </c>
      <c r="H1617" s="7" t="str">
        <f>_xlfn.XLOOKUP(C1617,Products!A1617:A2116,Products!C1617:C2116,"Category Missing",0)</f>
        <v>Category Missing</v>
      </c>
      <c r="I1617" s="11" t="str">
        <f>_xlfn.XLOOKUP(Orders!C1617,Products!A1617:A2116,Products!D1617:D2116,"Price Missing",0)</f>
        <v>Price Missing</v>
      </c>
      <c r="J1617" s="19">
        <f t="shared" si="25"/>
        <v>0</v>
      </c>
    </row>
    <row r="1618" spans="1:10" x14ac:dyDescent="0.35">
      <c r="A1618" s="4" t="s">
        <v>5638</v>
      </c>
      <c r="B1618" s="7" t="s">
        <v>1571</v>
      </c>
      <c r="C1618" s="7" t="s">
        <v>3708</v>
      </c>
      <c r="D1618" s="5">
        <v>10</v>
      </c>
      <c r="E1618" s="7" t="str">
        <f>_xlfn.XLOOKUP(B1618,Customers!A1618:A2617,Customers!B1618:B2617,"Customer Not Found",0)</f>
        <v>Customer Not Found</v>
      </c>
      <c r="F1618" s="7" t="str">
        <f>_xlfn.XLOOKUP(Orders!B1618,Customers!A1618:A2617,Customers!C1618:C2617,"Country not Found",0)</f>
        <v>Country not Found</v>
      </c>
      <c r="G1618" s="7" t="str">
        <f>_xlfn.XLOOKUP(C1618,Products!A1618:A2117,Products!B1618:B2117,"Product Missing",0)</f>
        <v>Product Missing</v>
      </c>
      <c r="H1618" s="7" t="str">
        <f>_xlfn.XLOOKUP(C1618,Products!A1618:A2117,Products!C1618:C2117,"Category Missing",0)</f>
        <v>Category Missing</v>
      </c>
      <c r="I1618" s="11" t="str">
        <f>_xlfn.XLOOKUP(Orders!C1618,Products!A1618:A2117,Products!D1618:D2117,"Price Missing",0)</f>
        <v>Price Missing</v>
      </c>
      <c r="J1618" s="19">
        <f t="shared" si="25"/>
        <v>0</v>
      </c>
    </row>
    <row r="1619" spans="1:10" x14ac:dyDescent="0.35">
      <c r="A1619" s="4" t="s">
        <v>5639</v>
      </c>
      <c r="B1619" s="7" t="s">
        <v>1256</v>
      </c>
      <c r="C1619" s="7" t="s">
        <v>3526</v>
      </c>
      <c r="D1619" s="5">
        <v>8</v>
      </c>
      <c r="E1619" s="7" t="str">
        <f>_xlfn.XLOOKUP(B1619,Customers!A1619:A2618,Customers!B1619:B2618,"Customer Not Found",0)</f>
        <v>Customer Not Found</v>
      </c>
      <c r="F1619" s="7" t="str">
        <f>_xlfn.XLOOKUP(Orders!B1619,Customers!A1619:A2618,Customers!C1619:C2618,"Country not Found",0)</f>
        <v>Country not Found</v>
      </c>
      <c r="G1619" s="7" t="str">
        <f>_xlfn.XLOOKUP(C1619,Products!A1619:A2118,Products!B1619:B2118,"Product Missing",0)</f>
        <v>Product Missing</v>
      </c>
      <c r="H1619" s="7" t="str">
        <f>_xlfn.XLOOKUP(C1619,Products!A1619:A2118,Products!C1619:C2118,"Category Missing",0)</f>
        <v>Category Missing</v>
      </c>
      <c r="I1619" s="11" t="str">
        <f>_xlfn.XLOOKUP(Orders!C1619,Products!A1619:A2118,Products!D1619:D2118,"Price Missing",0)</f>
        <v>Price Missing</v>
      </c>
      <c r="J1619" s="19">
        <f t="shared" si="25"/>
        <v>0</v>
      </c>
    </row>
    <row r="1620" spans="1:10" x14ac:dyDescent="0.35">
      <c r="A1620" s="4" t="s">
        <v>5640</v>
      </c>
      <c r="B1620" s="7" t="s">
        <v>608</v>
      </c>
      <c r="C1620" s="7" t="s">
        <v>3538</v>
      </c>
      <c r="D1620" s="5">
        <v>9</v>
      </c>
      <c r="E1620" s="7" t="str">
        <f>_xlfn.XLOOKUP(B1620,Customers!A1620:A2619,Customers!B1620:B2619,"Customer Not Found",0)</f>
        <v>Customer Not Found</v>
      </c>
      <c r="F1620" s="7" t="str">
        <f>_xlfn.XLOOKUP(Orders!B1620,Customers!A1620:A2619,Customers!C1620:C2619,"Country not Found",0)</f>
        <v>Country not Found</v>
      </c>
      <c r="G1620" s="7" t="str">
        <f>_xlfn.XLOOKUP(C1620,Products!A1620:A2119,Products!B1620:B2119,"Product Missing",0)</f>
        <v>Product Missing</v>
      </c>
      <c r="H1620" s="7" t="str">
        <f>_xlfn.XLOOKUP(C1620,Products!A1620:A2119,Products!C1620:C2119,"Category Missing",0)</f>
        <v>Category Missing</v>
      </c>
      <c r="I1620" s="11" t="str">
        <f>_xlfn.XLOOKUP(Orders!C1620,Products!A1620:A2119,Products!D1620:D2119,"Price Missing",0)</f>
        <v>Price Missing</v>
      </c>
      <c r="J1620" s="19">
        <f t="shared" si="25"/>
        <v>0</v>
      </c>
    </row>
    <row r="1621" spans="1:10" x14ac:dyDescent="0.35">
      <c r="A1621" s="4" t="s">
        <v>5641</v>
      </c>
      <c r="B1621" s="7" t="s">
        <v>1517</v>
      </c>
      <c r="C1621" s="7" t="s">
        <v>3374</v>
      </c>
      <c r="D1621" s="5">
        <v>5</v>
      </c>
      <c r="E1621" s="7" t="str">
        <f>_xlfn.XLOOKUP(B1621,Customers!A1621:A2620,Customers!B1621:B2620,"Customer Not Found",0)</f>
        <v>Customer Not Found</v>
      </c>
      <c r="F1621" s="7" t="str">
        <f>_xlfn.XLOOKUP(Orders!B1621,Customers!A1621:A2620,Customers!C1621:C2620,"Country not Found",0)</f>
        <v>Country not Found</v>
      </c>
      <c r="G1621" s="7" t="str">
        <f>_xlfn.XLOOKUP(C1621,Products!A1621:A2120,Products!B1621:B2120,"Product Missing",0)</f>
        <v>Product Missing</v>
      </c>
      <c r="H1621" s="7" t="str">
        <f>_xlfn.XLOOKUP(C1621,Products!A1621:A2120,Products!C1621:C2120,"Category Missing",0)</f>
        <v>Category Missing</v>
      </c>
      <c r="I1621" s="11" t="str">
        <f>_xlfn.XLOOKUP(Orders!C1621,Products!A1621:A2120,Products!D1621:D2120,"Price Missing",0)</f>
        <v>Price Missing</v>
      </c>
      <c r="J1621" s="19">
        <f t="shared" si="25"/>
        <v>0</v>
      </c>
    </row>
    <row r="1622" spans="1:10" x14ac:dyDescent="0.35">
      <c r="A1622" s="4" t="s">
        <v>5642</v>
      </c>
      <c r="B1622" s="7" t="s">
        <v>2363</v>
      </c>
      <c r="C1622" s="7" t="s">
        <v>3472</v>
      </c>
      <c r="D1622" s="5">
        <v>1</v>
      </c>
      <c r="E1622" s="7" t="str">
        <f>_xlfn.XLOOKUP(B1622,Customers!A1622:A2621,Customers!B1622:B2621,"Customer Not Found",0)</f>
        <v>Customer Not Found</v>
      </c>
      <c r="F1622" s="7" t="str">
        <f>_xlfn.XLOOKUP(Orders!B1622,Customers!A1622:A2621,Customers!C1622:C2621,"Country not Found",0)</f>
        <v>Country not Found</v>
      </c>
      <c r="G1622" s="7" t="str">
        <f>_xlfn.XLOOKUP(C1622,Products!A1622:A2121,Products!B1622:B2121,"Product Missing",0)</f>
        <v>Product Missing</v>
      </c>
      <c r="H1622" s="7" t="str">
        <f>_xlfn.XLOOKUP(C1622,Products!A1622:A2121,Products!C1622:C2121,"Category Missing",0)</f>
        <v>Category Missing</v>
      </c>
      <c r="I1622" s="11" t="str">
        <f>_xlfn.XLOOKUP(Orders!C1622,Products!A1622:A2121,Products!D1622:D2121,"Price Missing",0)</f>
        <v>Price Missing</v>
      </c>
      <c r="J1622" s="19">
        <f t="shared" si="25"/>
        <v>0</v>
      </c>
    </row>
    <row r="1623" spans="1:10" x14ac:dyDescent="0.35">
      <c r="A1623" s="4" t="s">
        <v>5643</v>
      </c>
      <c r="B1623" s="7" t="s">
        <v>2993</v>
      </c>
      <c r="C1623" s="7" t="s">
        <v>3136</v>
      </c>
      <c r="D1623" s="5">
        <v>9</v>
      </c>
      <c r="E1623" s="7" t="str">
        <f>_xlfn.XLOOKUP(B1623,Customers!A1623:A2622,Customers!B1623:B2622,"Customer Not Found",0)</f>
        <v>Customer Not Found</v>
      </c>
      <c r="F1623" s="7" t="str">
        <f>_xlfn.XLOOKUP(Orders!B1623,Customers!A1623:A2622,Customers!C1623:C2622,"Country not Found",0)</f>
        <v>Country not Found</v>
      </c>
      <c r="G1623" s="7" t="str">
        <f>_xlfn.XLOOKUP(C1623,Products!A1623:A2122,Products!B1623:B2122,"Product Missing",0)</f>
        <v>Product Missing</v>
      </c>
      <c r="H1623" s="7" t="str">
        <f>_xlfn.XLOOKUP(C1623,Products!A1623:A2122,Products!C1623:C2122,"Category Missing",0)</f>
        <v>Category Missing</v>
      </c>
      <c r="I1623" s="11" t="str">
        <f>_xlfn.XLOOKUP(Orders!C1623,Products!A1623:A2122,Products!D1623:D2122,"Price Missing",0)</f>
        <v>Price Missing</v>
      </c>
      <c r="J1623" s="19">
        <f t="shared" si="25"/>
        <v>0</v>
      </c>
    </row>
    <row r="1624" spans="1:10" x14ac:dyDescent="0.35">
      <c r="A1624" s="4" t="s">
        <v>5644</v>
      </c>
      <c r="B1624" s="7" t="s">
        <v>2876</v>
      </c>
      <c r="C1624" s="7" t="s">
        <v>3744</v>
      </c>
      <c r="D1624" s="5">
        <v>9</v>
      </c>
      <c r="E1624" s="7" t="str">
        <f>_xlfn.XLOOKUP(B1624,Customers!A1624:A2623,Customers!B1624:B2623,"Customer Not Found",0)</f>
        <v>Customer Not Found</v>
      </c>
      <c r="F1624" s="7" t="str">
        <f>_xlfn.XLOOKUP(Orders!B1624,Customers!A1624:A2623,Customers!C1624:C2623,"Country not Found",0)</f>
        <v>Country not Found</v>
      </c>
      <c r="G1624" s="7" t="str">
        <f>_xlfn.XLOOKUP(C1624,Products!A1624:A2123,Products!B1624:B2123,"Product Missing",0)</f>
        <v>Product Missing</v>
      </c>
      <c r="H1624" s="7" t="str">
        <f>_xlfn.XLOOKUP(C1624,Products!A1624:A2123,Products!C1624:C2123,"Category Missing",0)</f>
        <v>Category Missing</v>
      </c>
      <c r="I1624" s="11" t="str">
        <f>_xlfn.XLOOKUP(Orders!C1624,Products!A1624:A2123,Products!D1624:D2123,"Price Missing",0)</f>
        <v>Price Missing</v>
      </c>
      <c r="J1624" s="19">
        <f t="shared" si="25"/>
        <v>0</v>
      </c>
    </row>
    <row r="1625" spans="1:10" x14ac:dyDescent="0.35">
      <c r="A1625" s="4" t="s">
        <v>5645</v>
      </c>
      <c r="B1625" s="7" t="s">
        <v>2822</v>
      </c>
      <c r="C1625" s="7" t="s">
        <v>3102</v>
      </c>
      <c r="D1625" s="5">
        <v>2</v>
      </c>
      <c r="E1625" s="7" t="str">
        <f>_xlfn.XLOOKUP(B1625,Customers!A1625:A2624,Customers!B1625:B2624,"Customer Not Found",0)</f>
        <v>Customer Not Found</v>
      </c>
      <c r="F1625" s="7" t="str">
        <f>_xlfn.XLOOKUP(Orders!B1625,Customers!A1625:A2624,Customers!C1625:C2624,"Country not Found",0)</f>
        <v>Country not Found</v>
      </c>
      <c r="G1625" s="7" t="str">
        <f>_xlfn.XLOOKUP(C1625,Products!A1625:A2124,Products!B1625:B2124,"Product Missing",0)</f>
        <v>Product Missing</v>
      </c>
      <c r="H1625" s="7" t="str">
        <f>_xlfn.XLOOKUP(C1625,Products!A1625:A2124,Products!C1625:C2124,"Category Missing",0)</f>
        <v>Category Missing</v>
      </c>
      <c r="I1625" s="11" t="str">
        <f>_xlfn.XLOOKUP(Orders!C1625,Products!A1625:A2124,Products!D1625:D2124,"Price Missing",0)</f>
        <v>Price Missing</v>
      </c>
      <c r="J1625" s="19">
        <f t="shared" si="25"/>
        <v>0</v>
      </c>
    </row>
    <row r="1626" spans="1:10" x14ac:dyDescent="0.35">
      <c r="A1626" s="4" t="s">
        <v>5646</v>
      </c>
      <c r="B1626" s="7" t="s">
        <v>2957</v>
      </c>
      <c r="C1626" s="7" t="s">
        <v>3702</v>
      </c>
      <c r="D1626" s="5">
        <v>10</v>
      </c>
      <c r="E1626" s="7" t="str">
        <f>_xlfn.XLOOKUP(B1626,Customers!A1626:A2625,Customers!B1626:B2625,"Customer Not Found",0)</f>
        <v>Customer Not Found</v>
      </c>
      <c r="F1626" s="7" t="str">
        <f>_xlfn.XLOOKUP(Orders!B1626,Customers!A1626:A2625,Customers!C1626:C2625,"Country not Found",0)</f>
        <v>Country not Found</v>
      </c>
      <c r="G1626" s="7" t="str">
        <f>_xlfn.XLOOKUP(C1626,Products!A1626:A2125,Products!B1626:B2125,"Product Missing",0)</f>
        <v>Product Missing</v>
      </c>
      <c r="H1626" s="7" t="str">
        <f>_xlfn.XLOOKUP(C1626,Products!A1626:A2125,Products!C1626:C2125,"Category Missing",0)</f>
        <v>Category Missing</v>
      </c>
      <c r="I1626" s="11" t="str">
        <f>_xlfn.XLOOKUP(Orders!C1626,Products!A1626:A2125,Products!D1626:D2125,"Price Missing",0)</f>
        <v>Price Missing</v>
      </c>
      <c r="J1626" s="19">
        <f t="shared" si="25"/>
        <v>0</v>
      </c>
    </row>
    <row r="1627" spans="1:10" x14ac:dyDescent="0.35">
      <c r="A1627" s="4" t="s">
        <v>5647</v>
      </c>
      <c r="B1627" s="7" t="s">
        <v>776</v>
      </c>
      <c r="C1627" s="7" t="s">
        <v>3484</v>
      </c>
      <c r="D1627" s="5">
        <v>10</v>
      </c>
      <c r="E1627" s="7" t="str">
        <f>_xlfn.XLOOKUP(B1627,Customers!A1627:A2626,Customers!B1627:B2626,"Customer Not Found",0)</f>
        <v>Customer Not Found</v>
      </c>
      <c r="F1627" s="7" t="str">
        <f>_xlfn.XLOOKUP(Orders!B1627,Customers!A1627:A2626,Customers!C1627:C2626,"Country not Found",0)</f>
        <v>Country not Found</v>
      </c>
      <c r="G1627" s="7" t="str">
        <f>_xlfn.XLOOKUP(C1627,Products!A1627:A2126,Products!B1627:B2126,"Product Missing",0)</f>
        <v>Product Missing</v>
      </c>
      <c r="H1627" s="7" t="str">
        <f>_xlfn.XLOOKUP(C1627,Products!A1627:A2126,Products!C1627:C2126,"Category Missing",0)</f>
        <v>Category Missing</v>
      </c>
      <c r="I1627" s="11" t="str">
        <f>_xlfn.XLOOKUP(Orders!C1627,Products!A1627:A2126,Products!D1627:D2126,"Price Missing",0)</f>
        <v>Price Missing</v>
      </c>
      <c r="J1627" s="19">
        <f t="shared" si="25"/>
        <v>0</v>
      </c>
    </row>
    <row r="1628" spans="1:10" x14ac:dyDescent="0.35">
      <c r="A1628" s="4" t="s">
        <v>5648</v>
      </c>
      <c r="B1628" s="7" t="s">
        <v>1388</v>
      </c>
      <c r="C1628" s="7" t="s">
        <v>3754</v>
      </c>
      <c r="D1628" s="5">
        <v>6</v>
      </c>
      <c r="E1628" s="7" t="str">
        <f>_xlfn.XLOOKUP(B1628,Customers!A1628:A2627,Customers!B1628:B2627,"Customer Not Found",0)</f>
        <v>Customer Not Found</v>
      </c>
      <c r="F1628" s="7" t="str">
        <f>_xlfn.XLOOKUP(Orders!B1628,Customers!A1628:A2627,Customers!C1628:C2627,"Country not Found",0)</f>
        <v>Country not Found</v>
      </c>
      <c r="G1628" s="7" t="str">
        <f>_xlfn.XLOOKUP(C1628,Products!A1628:A2127,Products!B1628:B2127,"Product Missing",0)</f>
        <v>Product Missing</v>
      </c>
      <c r="H1628" s="7" t="str">
        <f>_xlfn.XLOOKUP(C1628,Products!A1628:A2127,Products!C1628:C2127,"Category Missing",0)</f>
        <v>Category Missing</v>
      </c>
      <c r="I1628" s="11" t="str">
        <f>_xlfn.XLOOKUP(Orders!C1628,Products!A1628:A2127,Products!D1628:D2127,"Price Missing",0)</f>
        <v>Price Missing</v>
      </c>
      <c r="J1628" s="19">
        <f t="shared" si="25"/>
        <v>0</v>
      </c>
    </row>
    <row r="1629" spans="1:10" x14ac:dyDescent="0.35">
      <c r="A1629" s="4" t="s">
        <v>5649</v>
      </c>
      <c r="B1629" s="7" t="s">
        <v>1844</v>
      </c>
      <c r="C1629" s="7" t="s">
        <v>3576</v>
      </c>
      <c r="D1629" s="5">
        <v>3</v>
      </c>
      <c r="E1629" s="7" t="str">
        <f>_xlfn.XLOOKUP(B1629,Customers!A1629:A2628,Customers!B1629:B2628,"Customer Not Found",0)</f>
        <v>Customer Not Found</v>
      </c>
      <c r="F1629" s="7" t="str">
        <f>_xlfn.XLOOKUP(Orders!B1629,Customers!A1629:A2628,Customers!C1629:C2628,"Country not Found",0)</f>
        <v>Country not Found</v>
      </c>
      <c r="G1629" s="7" t="str">
        <f>_xlfn.XLOOKUP(C1629,Products!A1629:A2128,Products!B1629:B2128,"Product Missing",0)</f>
        <v>Product Missing</v>
      </c>
      <c r="H1629" s="7" t="str">
        <f>_xlfn.XLOOKUP(C1629,Products!A1629:A2128,Products!C1629:C2128,"Category Missing",0)</f>
        <v>Category Missing</v>
      </c>
      <c r="I1629" s="11" t="str">
        <f>_xlfn.XLOOKUP(Orders!C1629,Products!A1629:A2128,Products!D1629:D2128,"Price Missing",0)</f>
        <v>Price Missing</v>
      </c>
      <c r="J1629" s="19">
        <f t="shared" si="25"/>
        <v>0</v>
      </c>
    </row>
    <row r="1630" spans="1:10" x14ac:dyDescent="0.35">
      <c r="A1630" s="4" t="s">
        <v>5650</v>
      </c>
      <c r="B1630" s="7" t="s">
        <v>971</v>
      </c>
      <c r="C1630" s="7" t="s">
        <v>3108</v>
      </c>
      <c r="D1630" s="5">
        <v>8</v>
      </c>
      <c r="E1630" s="7" t="str">
        <f>_xlfn.XLOOKUP(B1630,Customers!A1630:A2629,Customers!B1630:B2629,"Customer Not Found",0)</f>
        <v>Customer Not Found</v>
      </c>
      <c r="F1630" s="7" t="str">
        <f>_xlfn.XLOOKUP(Orders!B1630,Customers!A1630:A2629,Customers!C1630:C2629,"Country not Found",0)</f>
        <v>Country not Found</v>
      </c>
      <c r="G1630" s="7" t="str">
        <f>_xlfn.XLOOKUP(C1630,Products!A1630:A2129,Products!B1630:B2129,"Product Missing",0)</f>
        <v>Product Missing</v>
      </c>
      <c r="H1630" s="7" t="str">
        <f>_xlfn.XLOOKUP(C1630,Products!A1630:A2129,Products!C1630:C2129,"Category Missing",0)</f>
        <v>Category Missing</v>
      </c>
      <c r="I1630" s="11" t="str">
        <f>_xlfn.XLOOKUP(Orders!C1630,Products!A1630:A2129,Products!D1630:D2129,"Price Missing",0)</f>
        <v>Price Missing</v>
      </c>
      <c r="J1630" s="19">
        <f t="shared" si="25"/>
        <v>0</v>
      </c>
    </row>
    <row r="1631" spans="1:10" x14ac:dyDescent="0.35">
      <c r="A1631" s="4" t="s">
        <v>5651</v>
      </c>
      <c r="B1631" s="7" t="s">
        <v>1817</v>
      </c>
      <c r="C1631" s="7" t="s">
        <v>3426</v>
      </c>
      <c r="D1631" s="5">
        <v>2</v>
      </c>
      <c r="E1631" s="7" t="str">
        <f>_xlfn.XLOOKUP(B1631,Customers!A1631:A2630,Customers!B1631:B2630,"Customer Not Found",0)</f>
        <v>Customer Not Found</v>
      </c>
      <c r="F1631" s="7" t="str">
        <f>_xlfn.XLOOKUP(Orders!B1631,Customers!A1631:A2630,Customers!C1631:C2630,"Country not Found",0)</f>
        <v>Country not Found</v>
      </c>
      <c r="G1631" s="7" t="str">
        <f>_xlfn.XLOOKUP(C1631,Products!A1631:A2130,Products!B1631:B2130,"Product Missing",0)</f>
        <v>Product Missing</v>
      </c>
      <c r="H1631" s="7" t="str">
        <f>_xlfn.XLOOKUP(C1631,Products!A1631:A2130,Products!C1631:C2130,"Category Missing",0)</f>
        <v>Category Missing</v>
      </c>
      <c r="I1631" s="11" t="str">
        <f>_xlfn.XLOOKUP(Orders!C1631,Products!A1631:A2130,Products!D1631:D2130,"Price Missing",0)</f>
        <v>Price Missing</v>
      </c>
      <c r="J1631" s="19">
        <f t="shared" si="25"/>
        <v>0</v>
      </c>
    </row>
    <row r="1632" spans="1:10" x14ac:dyDescent="0.35">
      <c r="A1632" s="4" t="s">
        <v>5652</v>
      </c>
      <c r="B1632" s="7" t="s">
        <v>923</v>
      </c>
      <c r="C1632" s="7" t="s">
        <v>3850</v>
      </c>
      <c r="D1632" s="5">
        <v>1</v>
      </c>
      <c r="E1632" s="7" t="str">
        <f>_xlfn.XLOOKUP(B1632,Customers!A1632:A2631,Customers!B1632:B2631,"Customer Not Found",0)</f>
        <v>Customer Not Found</v>
      </c>
      <c r="F1632" s="7" t="str">
        <f>_xlfn.XLOOKUP(Orders!B1632,Customers!A1632:A2631,Customers!C1632:C2631,"Country not Found",0)</f>
        <v>Country not Found</v>
      </c>
      <c r="G1632" s="7" t="str">
        <f>_xlfn.XLOOKUP(C1632,Products!A1632:A2131,Products!B1632:B2131,"Product Missing",0)</f>
        <v>Product Missing</v>
      </c>
      <c r="H1632" s="7" t="str">
        <f>_xlfn.XLOOKUP(C1632,Products!A1632:A2131,Products!C1632:C2131,"Category Missing",0)</f>
        <v>Category Missing</v>
      </c>
      <c r="I1632" s="11" t="str">
        <f>_xlfn.XLOOKUP(Orders!C1632,Products!A1632:A2131,Products!D1632:D2131,"Price Missing",0)</f>
        <v>Price Missing</v>
      </c>
      <c r="J1632" s="19">
        <f t="shared" si="25"/>
        <v>0</v>
      </c>
    </row>
    <row r="1633" spans="1:10" x14ac:dyDescent="0.35">
      <c r="A1633" s="4" t="s">
        <v>5653</v>
      </c>
      <c r="B1633" s="7" t="s">
        <v>2384</v>
      </c>
      <c r="C1633" s="7" t="s">
        <v>3250</v>
      </c>
      <c r="D1633" s="5">
        <v>7</v>
      </c>
      <c r="E1633" s="7" t="str">
        <f>_xlfn.XLOOKUP(B1633,Customers!A1633:A2632,Customers!B1633:B2632,"Customer Not Found",0)</f>
        <v>Customer Not Found</v>
      </c>
      <c r="F1633" s="7" t="str">
        <f>_xlfn.XLOOKUP(Orders!B1633,Customers!A1633:A2632,Customers!C1633:C2632,"Country not Found",0)</f>
        <v>Country not Found</v>
      </c>
      <c r="G1633" s="7" t="str">
        <f>_xlfn.XLOOKUP(C1633,Products!A1633:A2132,Products!B1633:B2132,"Product Missing",0)</f>
        <v>Product Missing</v>
      </c>
      <c r="H1633" s="7" t="str">
        <f>_xlfn.XLOOKUP(C1633,Products!A1633:A2132,Products!C1633:C2132,"Category Missing",0)</f>
        <v>Category Missing</v>
      </c>
      <c r="I1633" s="11" t="str">
        <f>_xlfn.XLOOKUP(Orders!C1633,Products!A1633:A2132,Products!D1633:D2132,"Price Missing",0)</f>
        <v>Price Missing</v>
      </c>
      <c r="J1633" s="19">
        <f t="shared" si="25"/>
        <v>0</v>
      </c>
    </row>
    <row r="1634" spans="1:10" x14ac:dyDescent="0.35">
      <c r="A1634" s="4" t="s">
        <v>5654</v>
      </c>
      <c r="B1634" s="7" t="s">
        <v>1466</v>
      </c>
      <c r="C1634" s="7" t="s">
        <v>3756</v>
      </c>
      <c r="D1634" s="5">
        <v>1</v>
      </c>
      <c r="E1634" s="7" t="str">
        <f>_xlfn.XLOOKUP(B1634,Customers!A1634:A2633,Customers!B1634:B2633,"Customer Not Found",0)</f>
        <v>Customer Not Found</v>
      </c>
      <c r="F1634" s="7" t="str">
        <f>_xlfn.XLOOKUP(Orders!B1634,Customers!A1634:A2633,Customers!C1634:C2633,"Country not Found",0)</f>
        <v>Country not Found</v>
      </c>
      <c r="G1634" s="7" t="str">
        <f>_xlfn.XLOOKUP(C1634,Products!A1634:A2133,Products!B1634:B2133,"Product Missing",0)</f>
        <v>Product Missing</v>
      </c>
      <c r="H1634" s="7" t="str">
        <f>_xlfn.XLOOKUP(C1634,Products!A1634:A2133,Products!C1634:C2133,"Category Missing",0)</f>
        <v>Category Missing</v>
      </c>
      <c r="I1634" s="11" t="str">
        <f>_xlfn.XLOOKUP(Orders!C1634,Products!A1634:A2133,Products!D1634:D2133,"Price Missing",0)</f>
        <v>Price Missing</v>
      </c>
      <c r="J1634" s="19">
        <f t="shared" si="25"/>
        <v>0</v>
      </c>
    </row>
    <row r="1635" spans="1:10" x14ac:dyDescent="0.35">
      <c r="A1635" s="4" t="s">
        <v>5655</v>
      </c>
      <c r="B1635" s="7" t="s">
        <v>110</v>
      </c>
      <c r="C1635" s="7" t="s">
        <v>3770</v>
      </c>
      <c r="D1635" s="5">
        <v>2</v>
      </c>
      <c r="E1635" s="7" t="str">
        <f>_xlfn.XLOOKUP(B1635,Customers!A1635:A2634,Customers!B1635:B2634,"Customer Not Found",0)</f>
        <v>Customer Not Found</v>
      </c>
      <c r="F1635" s="7" t="str">
        <f>_xlfn.XLOOKUP(Orders!B1635,Customers!A1635:A2634,Customers!C1635:C2634,"Country not Found",0)</f>
        <v>Country not Found</v>
      </c>
      <c r="G1635" s="7" t="str">
        <f>_xlfn.XLOOKUP(C1635,Products!A1635:A2134,Products!B1635:B2134,"Product Missing",0)</f>
        <v>Product Missing</v>
      </c>
      <c r="H1635" s="7" t="str">
        <f>_xlfn.XLOOKUP(C1635,Products!A1635:A2134,Products!C1635:C2134,"Category Missing",0)</f>
        <v>Category Missing</v>
      </c>
      <c r="I1635" s="11" t="str">
        <f>_xlfn.XLOOKUP(Orders!C1635,Products!A1635:A2134,Products!D1635:D2134,"Price Missing",0)</f>
        <v>Price Missing</v>
      </c>
      <c r="J1635" s="19">
        <f t="shared" si="25"/>
        <v>0</v>
      </c>
    </row>
    <row r="1636" spans="1:10" x14ac:dyDescent="0.35">
      <c r="A1636" s="4" t="s">
        <v>5656</v>
      </c>
      <c r="B1636" s="7" t="s">
        <v>1172</v>
      </c>
      <c r="C1636" s="7" t="s">
        <v>3384</v>
      </c>
      <c r="D1636" s="5">
        <v>10</v>
      </c>
      <c r="E1636" s="7" t="str">
        <f>_xlfn.XLOOKUP(B1636,Customers!A1636:A2635,Customers!B1636:B2635,"Customer Not Found",0)</f>
        <v>Customer Not Found</v>
      </c>
      <c r="F1636" s="7" t="str">
        <f>_xlfn.XLOOKUP(Orders!B1636,Customers!A1636:A2635,Customers!C1636:C2635,"Country not Found",0)</f>
        <v>Country not Found</v>
      </c>
      <c r="G1636" s="7" t="str">
        <f>_xlfn.XLOOKUP(C1636,Products!A1636:A2135,Products!B1636:B2135,"Product Missing",0)</f>
        <v>Product Missing</v>
      </c>
      <c r="H1636" s="7" t="str">
        <f>_xlfn.XLOOKUP(C1636,Products!A1636:A2135,Products!C1636:C2135,"Category Missing",0)</f>
        <v>Category Missing</v>
      </c>
      <c r="I1636" s="11" t="str">
        <f>_xlfn.XLOOKUP(Orders!C1636,Products!A1636:A2135,Products!D1636:D2135,"Price Missing",0)</f>
        <v>Price Missing</v>
      </c>
      <c r="J1636" s="19">
        <f t="shared" si="25"/>
        <v>0</v>
      </c>
    </row>
    <row r="1637" spans="1:10" x14ac:dyDescent="0.35">
      <c r="A1637" s="4" t="s">
        <v>5657</v>
      </c>
      <c r="B1637" s="7" t="s">
        <v>1820</v>
      </c>
      <c r="C1637" s="7" t="s">
        <v>3200</v>
      </c>
      <c r="D1637" s="5">
        <v>6</v>
      </c>
      <c r="E1637" s="7" t="str">
        <f>_xlfn.XLOOKUP(B1637,Customers!A1637:A2636,Customers!B1637:B2636,"Customer Not Found",0)</f>
        <v>Customer Not Found</v>
      </c>
      <c r="F1637" s="7" t="str">
        <f>_xlfn.XLOOKUP(Orders!B1637,Customers!A1637:A2636,Customers!C1637:C2636,"Country not Found",0)</f>
        <v>Country not Found</v>
      </c>
      <c r="G1637" s="7" t="str">
        <f>_xlfn.XLOOKUP(C1637,Products!A1637:A2136,Products!B1637:B2136,"Product Missing",0)</f>
        <v>Product Missing</v>
      </c>
      <c r="H1637" s="7" t="str">
        <f>_xlfn.XLOOKUP(C1637,Products!A1637:A2136,Products!C1637:C2136,"Category Missing",0)</f>
        <v>Category Missing</v>
      </c>
      <c r="I1637" s="11" t="str">
        <f>_xlfn.XLOOKUP(Orders!C1637,Products!A1637:A2136,Products!D1637:D2136,"Price Missing",0)</f>
        <v>Price Missing</v>
      </c>
      <c r="J1637" s="19">
        <f t="shared" si="25"/>
        <v>0</v>
      </c>
    </row>
    <row r="1638" spans="1:10" x14ac:dyDescent="0.35">
      <c r="A1638" s="4" t="s">
        <v>5658</v>
      </c>
      <c r="B1638" s="7" t="s">
        <v>200</v>
      </c>
      <c r="C1638" s="7" t="s">
        <v>3318</v>
      </c>
      <c r="D1638" s="5">
        <v>6</v>
      </c>
      <c r="E1638" s="7" t="str">
        <f>_xlfn.XLOOKUP(B1638,Customers!A1638:A2637,Customers!B1638:B2637,"Customer Not Found",0)</f>
        <v>Customer Not Found</v>
      </c>
      <c r="F1638" s="7" t="str">
        <f>_xlfn.XLOOKUP(Orders!B1638,Customers!A1638:A2637,Customers!C1638:C2637,"Country not Found",0)</f>
        <v>Country not Found</v>
      </c>
      <c r="G1638" s="7" t="str">
        <f>_xlfn.XLOOKUP(C1638,Products!A1638:A2137,Products!B1638:B2137,"Product Missing",0)</f>
        <v>Product Missing</v>
      </c>
      <c r="H1638" s="7" t="str">
        <f>_xlfn.XLOOKUP(C1638,Products!A1638:A2137,Products!C1638:C2137,"Category Missing",0)</f>
        <v>Category Missing</v>
      </c>
      <c r="I1638" s="11" t="str">
        <f>_xlfn.XLOOKUP(Orders!C1638,Products!A1638:A2137,Products!D1638:D2137,"Price Missing",0)</f>
        <v>Price Missing</v>
      </c>
      <c r="J1638" s="19">
        <f t="shared" si="25"/>
        <v>0</v>
      </c>
    </row>
    <row r="1639" spans="1:10" x14ac:dyDescent="0.35">
      <c r="A1639" s="4" t="s">
        <v>5659</v>
      </c>
      <c r="B1639" s="7" t="s">
        <v>1022</v>
      </c>
      <c r="C1639" s="7" t="s">
        <v>3806</v>
      </c>
      <c r="D1639" s="5">
        <v>10</v>
      </c>
      <c r="E1639" s="7" t="str">
        <f>_xlfn.XLOOKUP(B1639,Customers!A1639:A2638,Customers!B1639:B2638,"Customer Not Found",0)</f>
        <v>Customer Not Found</v>
      </c>
      <c r="F1639" s="7" t="str">
        <f>_xlfn.XLOOKUP(Orders!B1639,Customers!A1639:A2638,Customers!C1639:C2638,"Country not Found",0)</f>
        <v>Country not Found</v>
      </c>
      <c r="G1639" s="7" t="str">
        <f>_xlfn.XLOOKUP(C1639,Products!A1639:A2138,Products!B1639:B2138,"Product Missing",0)</f>
        <v>Product Missing</v>
      </c>
      <c r="H1639" s="7" t="str">
        <f>_xlfn.XLOOKUP(C1639,Products!A1639:A2138,Products!C1639:C2138,"Category Missing",0)</f>
        <v>Category Missing</v>
      </c>
      <c r="I1639" s="11" t="str">
        <f>_xlfn.XLOOKUP(Orders!C1639,Products!A1639:A2138,Products!D1639:D2138,"Price Missing",0)</f>
        <v>Price Missing</v>
      </c>
      <c r="J1639" s="19">
        <f t="shared" si="25"/>
        <v>0</v>
      </c>
    </row>
    <row r="1640" spans="1:10" x14ac:dyDescent="0.35">
      <c r="A1640" s="4" t="s">
        <v>5660</v>
      </c>
      <c r="B1640" s="7" t="s">
        <v>545</v>
      </c>
      <c r="C1640" s="7" t="s">
        <v>3114</v>
      </c>
      <c r="D1640" s="5">
        <v>10</v>
      </c>
      <c r="E1640" s="7" t="str">
        <f>_xlfn.XLOOKUP(B1640,Customers!A1640:A2639,Customers!B1640:B2639,"Customer Not Found",0)</f>
        <v>Customer Not Found</v>
      </c>
      <c r="F1640" s="7" t="str">
        <f>_xlfn.XLOOKUP(Orders!B1640,Customers!A1640:A2639,Customers!C1640:C2639,"Country not Found",0)</f>
        <v>Country not Found</v>
      </c>
      <c r="G1640" s="7" t="str">
        <f>_xlfn.XLOOKUP(C1640,Products!A1640:A2139,Products!B1640:B2139,"Product Missing",0)</f>
        <v>Product Missing</v>
      </c>
      <c r="H1640" s="7" t="str">
        <f>_xlfn.XLOOKUP(C1640,Products!A1640:A2139,Products!C1640:C2139,"Category Missing",0)</f>
        <v>Category Missing</v>
      </c>
      <c r="I1640" s="11" t="str">
        <f>_xlfn.XLOOKUP(Orders!C1640,Products!A1640:A2139,Products!D1640:D2139,"Price Missing",0)</f>
        <v>Price Missing</v>
      </c>
      <c r="J1640" s="19">
        <f t="shared" si="25"/>
        <v>0</v>
      </c>
    </row>
    <row r="1641" spans="1:10" x14ac:dyDescent="0.35">
      <c r="A1641" s="4" t="s">
        <v>5661</v>
      </c>
      <c r="B1641" s="7" t="s">
        <v>2948</v>
      </c>
      <c r="C1641" s="7" t="s">
        <v>3037</v>
      </c>
      <c r="D1641" s="5">
        <v>7</v>
      </c>
      <c r="E1641" s="7" t="str">
        <f>_xlfn.XLOOKUP(B1641,Customers!A1641:A2640,Customers!B1641:B2640,"Customer Not Found",0)</f>
        <v>Customer Not Found</v>
      </c>
      <c r="F1641" s="7" t="str">
        <f>_xlfn.XLOOKUP(Orders!B1641,Customers!A1641:A2640,Customers!C1641:C2640,"Country not Found",0)</f>
        <v>Country not Found</v>
      </c>
      <c r="G1641" s="7" t="str">
        <f>_xlfn.XLOOKUP(C1641,Products!A1641:A2140,Products!B1641:B2140,"Product Missing",0)</f>
        <v>Product Missing</v>
      </c>
      <c r="H1641" s="7" t="str">
        <f>_xlfn.XLOOKUP(C1641,Products!A1641:A2140,Products!C1641:C2140,"Category Missing",0)</f>
        <v>Category Missing</v>
      </c>
      <c r="I1641" s="11" t="str">
        <f>_xlfn.XLOOKUP(Orders!C1641,Products!A1641:A2140,Products!D1641:D2140,"Price Missing",0)</f>
        <v>Price Missing</v>
      </c>
      <c r="J1641" s="19">
        <f t="shared" si="25"/>
        <v>0</v>
      </c>
    </row>
    <row r="1642" spans="1:10" x14ac:dyDescent="0.35">
      <c r="A1642" s="4" t="s">
        <v>5662</v>
      </c>
      <c r="B1642" s="7" t="s">
        <v>1892</v>
      </c>
      <c r="C1642" s="7" t="s">
        <v>3784</v>
      </c>
      <c r="D1642" s="5">
        <v>4</v>
      </c>
      <c r="E1642" s="7" t="str">
        <f>_xlfn.XLOOKUP(B1642,Customers!A1642:A2641,Customers!B1642:B2641,"Customer Not Found",0)</f>
        <v>Customer Not Found</v>
      </c>
      <c r="F1642" s="7" t="str">
        <f>_xlfn.XLOOKUP(Orders!B1642,Customers!A1642:A2641,Customers!C1642:C2641,"Country not Found",0)</f>
        <v>Country not Found</v>
      </c>
      <c r="G1642" s="7" t="str">
        <f>_xlfn.XLOOKUP(C1642,Products!A1642:A2141,Products!B1642:B2141,"Product Missing",0)</f>
        <v>Product Missing</v>
      </c>
      <c r="H1642" s="7" t="str">
        <f>_xlfn.XLOOKUP(C1642,Products!A1642:A2141,Products!C1642:C2141,"Category Missing",0)</f>
        <v>Category Missing</v>
      </c>
      <c r="I1642" s="11" t="str">
        <f>_xlfn.XLOOKUP(Orders!C1642,Products!A1642:A2141,Products!D1642:D2141,"Price Missing",0)</f>
        <v>Price Missing</v>
      </c>
      <c r="J1642" s="19">
        <f t="shared" si="25"/>
        <v>0</v>
      </c>
    </row>
    <row r="1643" spans="1:10" x14ac:dyDescent="0.35">
      <c r="A1643" s="4" t="s">
        <v>5663</v>
      </c>
      <c r="B1643" s="7" t="s">
        <v>1484</v>
      </c>
      <c r="C1643" s="7" t="s">
        <v>3928</v>
      </c>
      <c r="D1643" s="5">
        <v>1</v>
      </c>
      <c r="E1643" s="7" t="str">
        <f>_xlfn.XLOOKUP(B1643,Customers!A1643:A2642,Customers!B1643:B2642,"Customer Not Found",0)</f>
        <v>Customer Not Found</v>
      </c>
      <c r="F1643" s="7" t="str">
        <f>_xlfn.XLOOKUP(Orders!B1643,Customers!A1643:A2642,Customers!C1643:C2642,"Country not Found",0)</f>
        <v>Country not Found</v>
      </c>
      <c r="G1643" s="7" t="str">
        <f>_xlfn.XLOOKUP(C1643,Products!A1643:A2142,Products!B1643:B2142,"Product Missing",0)</f>
        <v>Product Missing</v>
      </c>
      <c r="H1643" s="7" t="str">
        <f>_xlfn.XLOOKUP(C1643,Products!A1643:A2142,Products!C1643:C2142,"Category Missing",0)</f>
        <v>Category Missing</v>
      </c>
      <c r="I1643" s="11" t="str">
        <f>_xlfn.XLOOKUP(Orders!C1643,Products!A1643:A2142,Products!D1643:D2142,"Price Missing",0)</f>
        <v>Price Missing</v>
      </c>
      <c r="J1643" s="19">
        <f t="shared" si="25"/>
        <v>0</v>
      </c>
    </row>
    <row r="1644" spans="1:10" x14ac:dyDescent="0.35">
      <c r="A1644" s="4" t="s">
        <v>5664</v>
      </c>
      <c r="B1644" s="7" t="s">
        <v>587</v>
      </c>
      <c r="C1644" s="7" t="s">
        <v>3816</v>
      </c>
      <c r="D1644" s="5">
        <v>8</v>
      </c>
      <c r="E1644" s="7" t="str">
        <f>_xlfn.XLOOKUP(B1644,Customers!A1644:A2643,Customers!B1644:B2643,"Customer Not Found",0)</f>
        <v>Customer Not Found</v>
      </c>
      <c r="F1644" s="7" t="str">
        <f>_xlfn.XLOOKUP(Orders!B1644,Customers!A1644:A2643,Customers!C1644:C2643,"Country not Found",0)</f>
        <v>Country not Found</v>
      </c>
      <c r="G1644" s="7" t="str">
        <f>_xlfn.XLOOKUP(C1644,Products!A1644:A2143,Products!B1644:B2143,"Product Missing",0)</f>
        <v>Product Missing</v>
      </c>
      <c r="H1644" s="7" t="str">
        <f>_xlfn.XLOOKUP(C1644,Products!A1644:A2143,Products!C1644:C2143,"Category Missing",0)</f>
        <v>Category Missing</v>
      </c>
      <c r="I1644" s="11" t="str">
        <f>_xlfn.XLOOKUP(Orders!C1644,Products!A1644:A2143,Products!D1644:D2143,"Price Missing",0)</f>
        <v>Price Missing</v>
      </c>
      <c r="J1644" s="19">
        <f t="shared" si="25"/>
        <v>0</v>
      </c>
    </row>
    <row r="1645" spans="1:10" x14ac:dyDescent="0.35">
      <c r="A1645" s="4" t="s">
        <v>5665</v>
      </c>
      <c r="B1645" s="7" t="s">
        <v>2708</v>
      </c>
      <c r="C1645" s="7" t="s">
        <v>3858</v>
      </c>
      <c r="D1645" s="5">
        <v>1</v>
      </c>
      <c r="E1645" s="7" t="str">
        <f>_xlfn.XLOOKUP(B1645,Customers!A1645:A2644,Customers!B1645:B2644,"Customer Not Found",0)</f>
        <v>Customer Not Found</v>
      </c>
      <c r="F1645" s="7" t="str">
        <f>_xlfn.XLOOKUP(Orders!B1645,Customers!A1645:A2644,Customers!C1645:C2644,"Country not Found",0)</f>
        <v>Country not Found</v>
      </c>
      <c r="G1645" s="7" t="str">
        <f>_xlfn.XLOOKUP(C1645,Products!A1645:A2144,Products!B1645:B2144,"Product Missing",0)</f>
        <v>Product Missing</v>
      </c>
      <c r="H1645" s="7" t="str">
        <f>_xlfn.XLOOKUP(C1645,Products!A1645:A2144,Products!C1645:C2144,"Category Missing",0)</f>
        <v>Category Missing</v>
      </c>
      <c r="I1645" s="11" t="str">
        <f>_xlfn.XLOOKUP(Orders!C1645,Products!A1645:A2144,Products!D1645:D2144,"Price Missing",0)</f>
        <v>Price Missing</v>
      </c>
      <c r="J1645" s="19">
        <f t="shared" si="25"/>
        <v>0</v>
      </c>
    </row>
    <row r="1646" spans="1:10" x14ac:dyDescent="0.35">
      <c r="A1646" s="4" t="s">
        <v>5666</v>
      </c>
      <c r="B1646" s="7" t="s">
        <v>1790</v>
      </c>
      <c r="C1646" s="7" t="s">
        <v>3368</v>
      </c>
      <c r="D1646" s="5">
        <v>9</v>
      </c>
      <c r="E1646" s="7" t="str">
        <f>_xlfn.XLOOKUP(B1646,Customers!A1646:A2645,Customers!B1646:B2645,"Customer Not Found",0)</f>
        <v>Customer Not Found</v>
      </c>
      <c r="F1646" s="7" t="str">
        <f>_xlfn.XLOOKUP(Orders!B1646,Customers!A1646:A2645,Customers!C1646:C2645,"Country not Found",0)</f>
        <v>Country not Found</v>
      </c>
      <c r="G1646" s="7" t="str">
        <f>_xlfn.XLOOKUP(C1646,Products!A1646:A2145,Products!B1646:B2145,"Product Missing",0)</f>
        <v>Product Missing</v>
      </c>
      <c r="H1646" s="7" t="str">
        <f>_xlfn.XLOOKUP(C1646,Products!A1646:A2145,Products!C1646:C2145,"Category Missing",0)</f>
        <v>Category Missing</v>
      </c>
      <c r="I1646" s="11" t="str">
        <f>_xlfn.XLOOKUP(Orders!C1646,Products!A1646:A2145,Products!D1646:D2145,"Price Missing",0)</f>
        <v>Price Missing</v>
      </c>
      <c r="J1646" s="19">
        <f t="shared" si="25"/>
        <v>0</v>
      </c>
    </row>
    <row r="1647" spans="1:10" x14ac:dyDescent="0.35">
      <c r="A1647" s="4" t="s">
        <v>5667</v>
      </c>
      <c r="B1647" s="7" t="s">
        <v>665</v>
      </c>
      <c r="C1647" s="7" t="s">
        <v>3794</v>
      </c>
      <c r="D1647" s="5">
        <v>9</v>
      </c>
      <c r="E1647" s="7" t="str">
        <f>_xlfn.XLOOKUP(B1647,Customers!A1647:A2646,Customers!B1647:B2646,"Customer Not Found",0)</f>
        <v>Customer Not Found</v>
      </c>
      <c r="F1647" s="7" t="str">
        <f>_xlfn.XLOOKUP(Orders!B1647,Customers!A1647:A2646,Customers!C1647:C2646,"Country not Found",0)</f>
        <v>Country not Found</v>
      </c>
      <c r="G1647" s="7" t="str">
        <f>_xlfn.XLOOKUP(C1647,Products!A1647:A2146,Products!B1647:B2146,"Product Missing",0)</f>
        <v>Product Missing</v>
      </c>
      <c r="H1647" s="7" t="str">
        <f>_xlfn.XLOOKUP(C1647,Products!A1647:A2146,Products!C1647:C2146,"Category Missing",0)</f>
        <v>Category Missing</v>
      </c>
      <c r="I1647" s="11" t="str">
        <f>_xlfn.XLOOKUP(Orders!C1647,Products!A1647:A2146,Products!D1647:D2146,"Price Missing",0)</f>
        <v>Price Missing</v>
      </c>
      <c r="J1647" s="19">
        <f t="shared" si="25"/>
        <v>0</v>
      </c>
    </row>
    <row r="1648" spans="1:10" x14ac:dyDescent="0.35">
      <c r="A1648" s="4" t="s">
        <v>5668</v>
      </c>
      <c r="B1648" s="7" t="s">
        <v>338</v>
      </c>
      <c r="C1648" s="7" t="s">
        <v>3718</v>
      </c>
      <c r="D1648" s="5">
        <v>8</v>
      </c>
      <c r="E1648" s="7" t="str">
        <f>_xlfn.XLOOKUP(B1648,Customers!A1648:A2647,Customers!B1648:B2647,"Customer Not Found",0)</f>
        <v>Customer Not Found</v>
      </c>
      <c r="F1648" s="7" t="str">
        <f>_xlfn.XLOOKUP(Orders!B1648,Customers!A1648:A2647,Customers!C1648:C2647,"Country not Found",0)</f>
        <v>Country not Found</v>
      </c>
      <c r="G1648" s="7" t="str">
        <f>_xlfn.XLOOKUP(C1648,Products!A1648:A2147,Products!B1648:B2147,"Product Missing",0)</f>
        <v>Product Missing</v>
      </c>
      <c r="H1648" s="7" t="str">
        <f>_xlfn.XLOOKUP(C1648,Products!A1648:A2147,Products!C1648:C2147,"Category Missing",0)</f>
        <v>Category Missing</v>
      </c>
      <c r="I1648" s="11" t="str">
        <f>_xlfn.XLOOKUP(Orders!C1648,Products!A1648:A2147,Products!D1648:D2147,"Price Missing",0)</f>
        <v>Price Missing</v>
      </c>
      <c r="J1648" s="19">
        <f t="shared" si="25"/>
        <v>0</v>
      </c>
    </row>
    <row r="1649" spans="1:10" x14ac:dyDescent="0.35">
      <c r="A1649" s="4" t="s">
        <v>5669</v>
      </c>
      <c r="B1649" s="7" t="s">
        <v>2390</v>
      </c>
      <c r="C1649" s="7" t="s">
        <v>3498</v>
      </c>
      <c r="D1649" s="5">
        <v>1</v>
      </c>
      <c r="E1649" s="7" t="str">
        <f>_xlfn.XLOOKUP(B1649,Customers!A1649:A2648,Customers!B1649:B2648,"Customer Not Found",0)</f>
        <v>Customer Not Found</v>
      </c>
      <c r="F1649" s="7" t="str">
        <f>_xlfn.XLOOKUP(Orders!B1649,Customers!A1649:A2648,Customers!C1649:C2648,"Country not Found",0)</f>
        <v>Country not Found</v>
      </c>
      <c r="G1649" s="7" t="str">
        <f>_xlfn.XLOOKUP(C1649,Products!A1649:A2148,Products!B1649:B2148,"Product Missing",0)</f>
        <v>Product Missing</v>
      </c>
      <c r="H1649" s="7" t="str">
        <f>_xlfn.XLOOKUP(C1649,Products!A1649:A2148,Products!C1649:C2148,"Category Missing",0)</f>
        <v>Category Missing</v>
      </c>
      <c r="I1649" s="11" t="str">
        <f>_xlfn.XLOOKUP(Orders!C1649,Products!A1649:A2148,Products!D1649:D2148,"Price Missing",0)</f>
        <v>Price Missing</v>
      </c>
      <c r="J1649" s="19">
        <f t="shared" si="25"/>
        <v>0</v>
      </c>
    </row>
    <row r="1650" spans="1:10" x14ac:dyDescent="0.35">
      <c r="A1650" s="4" t="s">
        <v>5670</v>
      </c>
      <c r="B1650" s="7" t="s">
        <v>335</v>
      </c>
      <c r="C1650" s="7" t="s">
        <v>3840</v>
      </c>
      <c r="D1650" s="5">
        <v>3</v>
      </c>
      <c r="E1650" s="7" t="str">
        <f>_xlfn.XLOOKUP(B1650,Customers!A1650:A2649,Customers!B1650:B2649,"Customer Not Found",0)</f>
        <v>Customer Not Found</v>
      </c>
      <c r="F1650" s="7" t="str">
        <f>_xlfn.XLOOKUP(Orders!B1650,Customers!A1650:A2649,Customers!C1650:C2649,"Country not Found",0)</f>
        <v>Country not Found</v>
      </c>
      <c r="G1650" s="7" t="str">
        <f>_xlfn.XLOOKUP(C1650,Products!A1650:A2149,Products!B1650:B2149,"Product Missing",0)</f>
        <v>Product Missing</v>
      </c>
      <c r="H1650" s="7" t="str">
        <f>_xlfn.XLOOKUP(C1650,Products!A1650:A2149,Products!C1650:C2149,"Category Missing",0)</f>
        <v>Category Missing</v>
      </c>
      <c r="I1650" s="11" t="str">
        <f>_xlfn.XLOOKUP(Orders!C1650,Products!A1650:A2149,Products!D1650:D2149,"Price Missing",0)</f>
        <v>Price Missing</v>
      </c>
      <c r="J1650" s="19">
        <f t="shared" si="25"/>
        <v>0</v>
      </c>
    </row>
    <row r="1651" spans="1:10" x14ac:dyDescent="0.35">
      <c r="A1651" s="4" t="s">
        <v>5671</v>
      </c>
      <c r="B1651" s="7" t="s">
        <v>956</v>
      </c>
      <c r="C1651" s="7" t="s">
        <v>3136</v>
      </c>
      <c r="D1651" s="5">
        <v>6</v>
      </c>
      <c r="E1651" s="7" t="str">
        <f>_xlfn.XLOOKUP(B1651,Customers!A1651:A2650,Customers!B1651:B2650,"Customer Not Found",0)</f>
        <v>Customer Not Found</v>
      </c>
      <c r="F1651" s="7" t="str">
        <f>_xlfn.XLOOKUP(Orders!B1651,Customers!A1651:A2650,Customers!C1651:C2650,"Country not Found",0)</f>
        <v>Country not Found</v>
      </c>
      <c r="G1651" s="7" t="str">
        <f>_xlfn.XLOOKUP(C1651,Products!A1651:A2150,Products!B1651:B2150,"Product Missing",0)</f>
        <v>Product Missing</v>
      </c>
      <c r="H1651" s="7" t="str">
        <f>_xlfn.XLOOKUP(C1651,Products!A1651:A2150,Products!C1651:C2150,"Category Missing",0)</f>
        <v>Category Missing</v>
      </c>
      <c r="I1651" s="11" t="str">
        <f>_xlfn.XLOOKUP(Orders!C1651,Products!A1651:A2150,Products!D1651:D2150,"Price Missing",0)</f>
        <v>Price Missing</v>
      </c>
      <c r="J1651" s="19">
        <f t="shared" si="25"/>
        <v>0</v>
      </c>
    </row>
    <row r="1652" spans="1:10" x14ac:dyDescent="0.35">
      <c r="A1652" s="4" t="s">
        <v>5672</v>
      </c>
      <c r="B1652" s="7" t="s">
        <v>1295</v>
      </c>
      <c r="C1652" s="7" t="s">
        <v>3041</v>
      </c>
      <c r="D1652" s="5">
        <v>9</v>
      </c>
      <c r="E1652" s="7" t="str">
        <f>_xlfn.XLOOKUP(B1652,Customers!A1652:A2651,Customers!B1652:B2651,"Customer Not Found",0)</f>
        <v>Customer Not Found</v>
      </c>
      <c r="F1652" s="7" t="str">
        <f>_xlfn.XLOOKUP(Orders!B1652,Customers!A1652:A2651,Customers!C1652:C2651,"Country not Found",0)</f>
        <v>Country not Found</v>
      </c>
      <c r="G1652" s="7" t="str">
        <f>_xlfn.XLOOKUP(C1652,Products!A1652:A2151,Products!B1652:B2151,"Product Missing",0)</f>
        <v>Product Missing</v>
      </c>
      <c r="H1652" s="7" t="str">
        <f>_xlfn.XLOOKUP(C1652,Products!A1652:A2151,Products!C1652:C2151,"Category Missing",0)</f>
        <v>Category Missing</v>
      </c>
      <c r="I1652" s="11" t="str">
        <f>_xlfn.XLOOKUP(Orders!C1652,Products!A1652:A2151,Products!D1652:D2151,"Price Missing",0)</f>
        <v>Price Missing</v>
      </c>
      <c r="J1652" s="19">
        <f t="shared" si="25"/>
        <v>0</v>
      </c>
    </row>
    <row r="1653" spans="1:10" x14ac:dyDescent="0.35">
      <c r="A1653" s="4" t="s">
        <v>5673</v>
      </c>
      <c r="B1653" s="7" t="s">
        <v>1958</v>
      </c>
      <c r="C1653" s="7" t="s">
        <v>3382</v>
      </c>
      <c r="D1653" s="5">
        <v>7</v>
      </c>
      <c r="E1653" s="7" t="str">
        <f>_xlfn.XLOOKUP(B1653,Customers!A1653:A2652,Customers!B1653:B2652,"Customer Not Found",0)</f>
        <v>Customer Not Found</v>
      </c>
      <c r="F1653" s="7" t="str">
        <f>_xlfn.XLOOKUP(Orders!B1653,Customers!A1653:A2652,Customers!C1653:C2652,"Country not Found",0)</f>
        <v>Country not Found</v>
      </c>
      <c r="G1653" s="7" t="str">
        <f>_xlfn.XLOOKUP(C1653,Products!A1653:A2152,Products!B1653:B2152,"Product Missing",0)</f>
        <v>Product Missing</v>
      </c>
      <c r="H1653" s="7" t="str">
        <f>_xlfn.XLOOKUP(C1653,Products!A1653:A2152,Products!C1653:C2152,"Category Missing",0)</f>
        <v>Category Missing</v>
      </c>
      <c r="I1653" s="11" t="str">
        <f>_xlfn.XLOOKUP(Orders!C1653,Products!A1653:A2152,Products!D1653:D2152,"Price Missing",0)</f>
        <v>Price Missing</v>
      </c>
      <c r="J1653" s="19">
        <f t="shared" si="25"/>
        <v>0</v>
      </c>
    </row>
    <row r="1654" spans="1:10" x14ac:dyDescent="0.35">
      <c r="A1654" s="4" t="s">
        <v>5674</v>
      </c>
      <c r="B1654" s="7" t="s">
        <v>554</v>
      </c>
      <c r="C1654" s="7" t="s">
        <v>3760</v>
      </c>
      <c r="D1654" s="5">
        <v>3</v>
      </c>
      <c r="E1654" s="7" t="str">
        <f>_xlfn.XLOOKUP(B1654,Customers!A1654:A2653,Customers!B1654:B2653,"Customer Not Found",0)</f>
        <v>Customer Not Found</v>
      </c>
      <c r="F1654" s="7" t="str">
        <f>_xlfn.XLOOKUP(Orders!B1654,Customers!A1654:A2653,Customers!C1654:C2653,"Country not Found",0)</f>
        <v>Country not Found</v>
      </c>
      <c r="G1654" s="7" t="str">
        <f>_xlfn.XLOOKUP(C1654,Products!A1654:A2153,Products!B1654:B2153,"Product Missing",0)</f>
        <v>Product Missing</v>
      </c>
      <c r="H1654" s="7" t="str">
        <f>_xlfn.XLOOKUP(C1654,Products!A1654:A2153,Products!C1654:C2153,"Category Missing",0)</f>
        <v>Category Missing</v>
      </c>
      <c r="I1654" s="11" t="str">
        <f>_xlfn.XLOOKUP(Orders!C1654,Products!A1654:A2153,Products!D1654:D2153,"Price Missing",0)</f>
        <v>Price Missing</v>
      </c>
      <c r="J1654" s="19">
        <f t="shared" si="25"/>
        <v>0</v>
      </c>
    </row>
    <row r="1655" spans="1:10" x14ac:dyDescent="0.35">
      <c r="A1655" s="4" t="s">
        <v>5675</v>
      </c>
      <c r="B1655" s="7" t="s">
        <v>734</v>
      </c>
      <c r="C1655" s="7" t="s">
        <v>3230</v>
      </c>
      <c r="D1655" s="5">
        <v>4</v>
      </c>
      <c r="E1655" s="7" t="str">
        <f>_xlfn.XLOOKUP(B1655,Customers!A1655:A2654,Customers!B1655:B2654,"Customer Not Found",0)</f>
        <v>Customer Not Found</v>
      </c>
      <c r="F1655" s="7" t="str">
        <f>_xlfn.XLOOKUP(Orders!B1655,Customers!A1655:A2654,Customers!C1655:C2654,"Country not Found",0)</f>
        <v>Country not Found</v>
      </c>
      <c r="G1655" s="7" t="str">
        <f>_xlfn.XLOOKUP(C1655,Products!A1655:A2154,Products!B1655:B2154,"Product Missing",0)</f>
        <v>Product Missing</v>
      </c>
      <c r="H1655" s="7" t="str">
        <f>_xlfn.XLOOKUP(C1655,Products!A1655:A2154,Products!C1655:C2154,"Category Missing",0)</f>
        <v>Category Missing</v>
      </c>
      <c r="I1655" s="11" t="str">
        <f>_xlfn.XLOOKUP(Orders!C1655,Products!A1655:A2154,Products!D1655:D2154,"Price Missing",0)</f>
        <v>Price Missing</v>
      </c>
      <c r="J1655" s="19">
        <f t="shared" si="25"/>
        <v>0</v>
      </c>
    </row>
    <row r="1656" spans="1:10" x14ac:dyDescent="0.35">
      <c r="A1656" s="4" t="s">
        <v>5676</v>
      </c>
      <c r="B1656" s="7" t="s">
        <v>662</v>
      </c>
      <c r="C1656" s="7" t="s">
        <v>3718</v>
      </c>
      <c r="D1656" s="5">
        <v>7</v>
      </c>
      <c r="E1656" s="7" t="str">
        <f>_xlfn.XLOOKUP(B1656,Customers!A1656:A2655,Customers!B1656:B2655,"Customer Not Found",0)</f>
        <v>Customer Not Found</v>
      </c>
      <c r="F1656" s="7" t="str">
        <f>_xlfn.XLOOKUP(Orders!B1656,Customers!A1656:A2655,Customers!C1656:C2655,"Country not Found",0)</f>
        <v>Country not Found</v>
      </c>
      <c r="G1656" s="7" t="str">
        <f>_xlfn.XLOOKUP(C1656,Products!A1656:A2155,Products!B1656:B2155,"Product Missing",0)</f>
        <v>Product Missing</v>
      </c>
      <c r="H1656" s="7" t="str">
        <f>_xlfn.XLOOKUP(C1656,Products!A1656:A2155,Products!C1656:C2155,"Category Missing",0)</f>
        <v>Category Missing</v>
      </c>
      <c r="I1656" s="11" t="str">
        <f>_xlfn.XLOOKUP(Orders!C1656,Products!A1656:A2155,Products!D1656:D2155,"Price Missing",0)</f>
        <v>Price Missing</v>
      </c>
      <c r="J1656" s="19">
        <f t="shared" si="25"/>
        <v>0</v>
      </c>
    </row>
    <row r="1657" spans="1:10" x14ac:dyDescent="0.35">
      <c r="A1657" s="4" t="s">
        <v>5677</v>
      </c>
      <c r="B1657" s="7" t="s">
        <v>2639</v>
      </c>
      <c r="C1657" s="7" t="s">
        <v>3694</v>
      </c>
      <c r="D1657" s="5">
        <v>5</v>
      </c>
      <c r="E1657" s="7" t="str">
        <f>_xlfn.XLOOKUP(B1657,Customers!A1657:A2656,Customers!B1657:B2656,"Customer Not Found",0)</f>
        <v>Customer Not Found</v>
      </c>
      <c r="F1657" s="7" t="str">
        <f>_xlfn.XLOOKUP(Orders!B1657,Customers!A1657:A2656,Customers!C1657:C2656,"Country not Found",0)</f>
        <v>Country not Found</v>
      </c>
      <c r="G1657" s="7" t="str">
        <f>_xlfn.XLOOKUP(C1657,Products!A1657:A2156,Products!B1657:B2156,"Product Missing",0)</f>
        <v>Product Missing</v>
      </c>
      <c r="H1657" s="7" t="str">
        <f>_xlfn.XLOOKUP(C1657,Products!A1657:A2156,Products!C1657:C2156,"Category Missing",0)</f>
        <v>Category Missing</v>
      </c>
      <c r="I1657" s="11" t="str">
        <f>_xlfn.XLOOKUP(Orders!C1657,Products!A1657:A2156,Products!D1657:D2156,"Price Missing",0)</f>
        <v>Price Missing</v>
      </c>
      <c r="J1657" s="19">
        <f t="shared" si="25"/>
        <v>0</v>
      </c>
    </row>
    <row r="1658" spans="1:10" x14ac:dyDescent="0.35">
      <c r="A1658" s="4" t="s">
        <v>5678</v>
      </c>
      <c r="B1658" s="7" t="s">
        <v>782</v>
      </c>
      <c r="C1658" s="7" t="s">
        <v>3060</v>
      </c>
      <c r="D1658" s="5">
        <v>10</v>
      </c>
      <c r="E1658" s="7" t="str">
        <f>_xlfn.XLOOKUP(B1658,Customers!A1658:A2657,Customers!B1658:B2657,"Customer Not Found",0)</f>
        <v>Customer Not Found</v>
      </c>
      <c r="F1658" s="7" t="str">
        <f>_xlfn.XLOOKUP(Orders!B1658,Customers!A1658:A2657,Customers!C1658:C2657,"Country not Found",0)</f>
        <v>Country not Found</v>
      </c>
      <c r="G1658" s="7" t="str">
        <f>_xlfn.XLOOKUP(C1658,Products!A1658:A2157,Products!B1658:B2157,"Product Missing",0)</f>
        <v>Product Missing</v>
      </c>
      <c r="H1658" s="7" t="str">
        <f>_xlfn.XLOOKUP(C1658,Products!A1658:A2157,Products!C1658:C2157,"Category Missing",0)</f>
        <v>Category Missing</v>
      </c>
      <c r="I1658" s="11" t="str">
        <f>_xlfn.XLOOKUP(Orders!C1658,Products!A1658:A2157,Products!D1658:D2157,"Price Missing",0)</f>
        <v>Price Missing</v>
      </c>
      <c r="J1658" s="19">
        <f t="shared" si="25"/>
        <v>0</v>
      </c>
    </row>
    <row r="1659" spans="1:10" x14ac:dyDescent="0.35">
      <c r="A1659" s="4" t="s">
        <v>5679</v>
      </c>
      <c r="B1659" s="7" t="s">
        <v>2288</v>
      </c>
      <c r="C1659" s="7" t="s">
        <v>3814</v>
      </c>
      <c r="D1659" s="5">
        <v>8</v>
      </c>
      <c r="E1659" s="7" t="str">
        <f>_xlfn.XLOOKUP(B1659,Customers!A1659:A2658,Customers!B1659:B2658,"Customer Not Found",0)</f>
        <v>Customer Not Found</v>
      </c>
      <c r="F1659" s="7" t="str">
        <f>_xlfn.XLOOKUP(Orders!B1659,Customers!A1659:A2658,Customers!C1659:C2658,"Country not Found",0)</f>
        <v>Country not Found</v>
      </c>
      <c r="G1659" s="7" t="str">
        <f>_xlfn.XLOOKUP(C1659,Products!A1659:A2158,Products!B1659:B2158,"Product Missing",0)</f>
        <v>Product Missing</v>
      </c>
      <c r="H1659" s="7" t="str">
        <f>_xlfn.XLOOKUP(C1659,Products!A1659:A2158,Products!C1659:C2158,"Category Missing",0)</f>
        <v>Category Missing</v>
      </c>
      <c r="I1659" s="11" t="str">
        <f>_xlfn.XLOOKUP(Orders!C1659,Products!A1659:A2158,Products!D1659:D2158,"Price Missing",0)</f>
        <v>Price Missing</v>
      </c>
      <c r="J1659" s="19">
        <f t="shared" si="25"/>
        <v>0</v>
      </c>
    </row>
    <row r="1660" spans="1:10" x14ac:dyDescent="0.35">
      <c r="A1660" s="4" t="s">
        <v>5680</v>
      </c>
      <c r="B1660" s="7" t="s">
        <v>2783</v>
      </c>
      <c r="C1660" s="7" t="s">
        <v>3130</v>
      </c>
      <c r="D1660" s="5">
        <v>1</v>
      </c>
      <c r="E1660" s="7" t="str">
        <f>_xlfn.XLOOKUP(B1660,Customers!A1660:A2659,Customers!B1660:B2659,"Customer Not Found",0)</f>
        <v>Customer Not Found</v>
      </c>
      <c r="F1660" s="7" t="str">
        <f>_xlfn.XLOOKUP(Orders!B1660,Customers!A1660:A2659,Customers!C1660:C2659,"Country not Found",0)</f>
        <v>Country not Found</v>
      </c>
      <c r="G1660" s="7" t="str">
        <f>_xlfn.XLOOKUP(C1660,Products!A1660:A2159,Products!B1660:B2159,"Product Missing",0)</f>
        <v>Product Missing</v>
      </c>
      <c r="H1660" s="7" t="str">
        <f>_xlfn.XLOOKUP(C1660,Products!A1660:A2159,Products!C1660:C2159,"Category Missing",0)</f>
        <v>Category Missing</v>
      </c>
      <c r="I1660" s="11" t="str">
        <f>_xlfn.XLOOKUP(Orders!C1660,Products!A1660:A2159,Products!D1660:D2159,"Price Missing",0)</f>
        <v>Price Missing</v>
      </c>
      <c r="J1660" s="19">
        <f t="shared" si="25"/>
        <v>0</v>
      </c>
    </row>
    <row r="1661" spans="1:10" x14ac:dyDescent="0.35">
      <c r="A1661" s="4" t="s">
        <v>5681</v>
      </c>
      <c r="B1661" s="7" t="s">
        <v>2450</v>
      </c>
      <c r="C1661" s="7" t="s">
        <v>3916</v>
      </c>
      <c r="D1661" s="5">
        <v>7</v>
      </c>
      <c r="E1661" s="7" t="str">
        <f>_xlfn.XLOOKUP(B1661,Customers!A1661:A2660,Customers!B1661:B2660,"Customer Not Found",0)</f>
        <v>Customer Not Found</v>
      </c>
      <c r="F1661" s="7" t="str">
        <f>_xlfn.XLOOKUP(Orders!B1661,Customers!A1661:A2660,Customers!C1661:C2660,"Country not Found",0)</f>
        <v>Country not Found</v>
      </c>
      <c r="G1661" s="7" t="str">
        <f>_xlfn.XLOOKUP(C1661,Products!A1661:A2160,Products!B1661:B2160,"Product Missing",0)</f>
        <v>Product Missing</v>
      </c>
      <c r="H1661" s="7" t="str">
        <f>_xlfn.XLOOKUP(C1661,Products!A1661:A2160,Products!C1661:C2160,"Category Missing",0)</f>
        <v>Category Missing</v>
      </c>
      <c r="I1661" s="11" t="str">
        <f>_xlfn.XLOOKUP(Orders!C1661,Products!A1661:A2160,Products!D1661:D2160,"Price Missing",0)</f>
        <v>Price Missing</v>
      </c>
      <c r="J1661" s="19">
        <f t="shared" si="25"/>
        <v>0</v>
      </c>
    </row>
    <row r="1662" spans="1:10" x14ac:dyDescent="0.35">
      <c r="A1662" s="4" t="s">
        <v>5682</v>
      </c>
      <c r="B1662" s="7" t="s">
        <v>1331</v>
      </c>
      <c r="C1662" s="7" t="s">
        <v>3198</v>
      </c>
      <c r="D1662" s="5">
        <v>4</v>
      </c>
      <c r="E1662" s="7" t="str">
        <f>_xlfn.XLOOKUP(B1662,Customers!A1662:A2661,Customers!B1662:B2661,"Customer Not Found",0)</f>
        <v>Customer Not Found</v>
      </c>
      <c r="F1662" s="7" t="str">
        <f>_xlfn.XLOOKUP(Orders!B1662,Customers!A1662:A2661,Customers!C1662:C2661,"Country not Found",0)</f>
        <v>Country not Found</v>
      </c>
      <c r="G1662" s="7" t="str">
        <f>_xlfn.XLOOKUP(C1662,Products!A1662:A2161,Products!B1662:B2161,"Product Missing",0)</f>
        <v>Product Missing</v>
      </c>
      <c r="H1662" s="7" t="str">
        <f>_xlfn.XLOOKUP(C1662,Products!A1662:A2161,Products!C1662:C2161,"Category Missing",0)</f>
        <v>Category Missing</v>
      </c>
      <c r="I1662" s="11" t="str">
        <f>_xlfn.XLOOKUP(Orders!C1662,Products!A1662:A2161,Products!D1662:D2161,"Price Missing",0)</f>
        <v>Price Missing</v>
      </c>
      <c r="J1662" s="19">
        <f t="shared" si="25"/>
        <v>0</v>
      </c>
    </row>
    <row r="1663" spans="1:10" x14ac:dyDescent="0.35">
      <c r="A1663" s="4" t="s">
        <v>5683</v>
      </c>
      <c r="B1663" s="7" t="s">
        <v>2078</v>
      </c>
      <c r="C1663" s="7" t="s">
        <v>3426</v>
      </c>
      <c r="D1663" s="5">
        <v>4</v>
      </c>
      <c r="E1663" s="7" t="str">
        <f>_xlfn.XLOOKUP(B1663,Customers!A1663:A2662,Customers!B1663:B2662,"Customer Not Found",0)</f>
        <v>Customer Not Found</v>
      </c>
      <c r="F1663" s="7" t="str">
        <f>_xlfn.XLOOKUP(Orders!B1663,Customers!A1663:A2662,Customers!C1663:C2662,"Country not Found",0)</f>
        <v>Country not Found</v>
      </c>
      <c r="G1663" s="7" t="str">
        <f>_xlfn.XLOOKUP(C1663,Products!A1663:A2162,Products!B1663:B2162,"Product Missing",0)</f>
        <v>Product Missing</v>
      </c>
      <c r="H1663" s="7" t="str">
        <f>_xlfn.XLOOKUP(C1663,Products!A1663:A2162,Products!C1663:C2162,"Category Missing",0)</f>
        <v>Category Missing</v>
      </c>
      <c r="I1663" s="11" t="str">
        <f>_xlfn.XLOOKUP(Orders!C1663,Products!A1663:A2162,Products!D1663:D2162,"Price Missing",0)</f>
        <v>Price Missing</v>
      </c>
      <c r="J1663" s="19">
        <f t="shared" si="25"/>
        <v>0</v>
      </c>
    </row>
    <row r="1664" spans="1:10" x14ac:dyDescent="0.35">
      <c r="A1664" s="4" t="s">
        <v>5684</v>
      </c>
      <c r="B1664" s="7" t="s">
        <v>569</v>
      </c>
      <c r="C1664" s="7" t="s">
        <v>3744</v>
      </c>
      <c r="D1664" s="5">
        <v>4</v>
      </c>
      <c r="E1664" s="7" t="str">
        <f>_xlfn.XLOOKUP(B1664,Customers!A1664:A2663,Customers!B1664:B2663,"Customer Not Found",0)</f>
        <v>Customer Not Found</v>
      </c>
      <c r="F1664" s="7" t="str">
        <f>_xlfn.XLOOKUP(Orders!B1664,Customers!A1664:A2663,Customers!C1664:C2663,"Country not Found",0)</f>
        <v>Country not Found</v>
      </c>
      <c r="G1664" s="7" t="str">
        <f>_xlfn.XLOOKUP(C1664,Products!A1664:A2163,Products!B1664:B2163,"Product Missing",0)</f>
        <v>Product Missing</v>
      </c>
      <c r="H1664" s="7" t="str">
        <f>_xlfn.XLOOKUP(C1664,Products!A1664:A2163,Products!C1664:C2163,"Category Missing",0)</f>
        <v>Category Missing</v>
      </c>
      <c r="I1664" s="11" t="str">
        <f>_xlfn.XLOOKUP(Orders!C1664,Products!A1664:A2163,Products!D1664:D2163,"Price Missing",0)</f>
        <v>Price Missing</v>
      </c>
      <c r="J1664" s="19">
        <f t="shared" si="25"/>
        <v>0</v>
      </c>
    </row>
    <row r="1665" spans="1:10" x14ac:dyDescent="0.35">
      <c r="A1665" s="4" t="s">
        <v>5685</v>
      </c>
      <c r="B1665" s="7" t="s">
        <v>986</v>
      </c>
      <c r="C1665" s="7" t="s">
        <v>3340</v>
      </c>
      <c r="D1665" s="5">
        <v>5</v>
      </c>
      <c r="E1665" s="7" t="str">
        <f>_xlfn.XLOOKUP(B1665,Customers!A1665:A2664,Customers!B1665:B2664,"Customer Not Found",0)</f>
        <v>Customer Not Found</v>
      </c>
      <c r="F1665" s="7" t="str">
        <f>_xlfn.XLOOKUP(Orders!B1665,Customers!A1665:A2664,Customers!C1665:C2664,"Country not Found",0)</f>
        <v>Country not Found</v>
      </c>
      <c r="G1665" s="7" t="str">
        <f>_xlfn.XLOOKUP(C1665,Products!A1665:A2164,Products!B1665:B2164,"Product Missing",0)</f>
        <v>Product Missing</v>
      </c>
      <c r="H1665" s="7" t="str">
        <f>_xlfn.XLOOKUP(C1665,Products!A1665:A2164,Products!C1665:C2164,"Category Missing",0)</f>
        <v>Category Missing</v>
      </c>
      <c r="I1665" s="11" t="str">
        <f>_xlfn.XLOOKUP(Orders!C1665,Products!A1665:A2164,Products!D1665:D2164,"Price Missing",0)</f>
        <v>Price Missing</v>
      </c>
      <c r="J1665" s="19">
        <f t="shared" si="25"/>
        <v>0</v>
      </c>
    </row>
    <row r="1666" spans="1:10" x14ac:dyDescent="0.35">
      <c r="A1666" s="4" t="s">
        <v>5686</v>
      </c>
      <c r="B1666" s="7" t="s">
        <v>2135</v>
      </c>
      <c r="C1666" s="7" t="s">
        <v>3698</v>
      </c>
      <c r="D1666" s="5">
        <v>5</v>
      </c>
      <c r="E1666" s="7" t="str">
        <f>_xlfn.XLOOKUP(B1666,Customers!A1666:A2665,Customers!B1666:B2665,"Customer Not Found",0)</f>
        <v>Customer Not Found</v>
      </c>
      <c r="F1666" s="7" t="str">
        <f>_xlfn.XLOOKUP(Orders!B1666,Customers!A1666:A2665,Customers!C1666:C2665,"Country not Found",0)</f>
        <v>Country not Found</v>
      </c>
      <c r="G1666" s="7" t="str">
        <f>_xlfn.XLOOKUP(C1666,Products!A1666:A2165,Products!B1666:B2165,"Product Missing",0)</f>
        <v>Product Missing</v>
      </c>
      <c r="H1666" s="7" t="str">
        <f>_xlfn.XLOOKUP(C1666,Products!A1666:A2165,Products!C1666:C2165,"Category Missing",0)</f>
        <v>Category Missing</v>
      </c>
      <c r="I1666" s="11" t="str">
        <f>_xlfn.XLOOKUP(Orders!C1666,Products!A1666:A2165,Products!D1666:D2165,"Price Missing",0)</f>
        <v>Price Missing</v>
      </c>
      <c r="J1666" s="19">
        <f t="shared" si="25"/>
        <v>0</v>
      </c>
    </row>
    <row r="1667" spans="1:10" x14ac:dyDescent="0.35">
      <c r="A1667" s="4" t="s">
        <v>5687</v>
      </c>
      <c r="B1667" s="7" t="s">
        <v>887</v>
      </c>
      <c r="C1667" s="7" t="s">
        <v>3964</v>
      </c>
      <c r="D1667" s="5">
        <v>9</v>
      </c>
      <c r="E1667" s="7" t="str">
        <f>_xlfn.XLOOKUP(B1667,Customers!A1667:A2666,Customers!B1667:B2666,"Customer Not Found",0)</f>
        <v>Customer Not Found</v>
      </c>
      <c r="F1667" s="7" t="str">
        <f>_xlfn.XLOOKUP(Orders!B1667,Customers!A1667:A2666,Customers!C1667:C2666,"Country not Found",0)</f>
        <v>Country not Found</v>
      </c>
      <c r="G1667" s="7" t="str">
        <f>_xlfn.XLOOKUP(C1667,Products!A1667:A2166,Products!B1667:B2166,"Product Missing",0)</f>
        <v>Product Missing</v>
      </c>
      <c r="H1667" s="7" t="str">
        <f>_xlfn.XLOOKUP(C1667,Products!A1667:A2166,Products!C1667:C2166,"Category Missing",0)</f>
        <v>Category Missing</v>
      </c>
      <c r="I1667" s="11" t="str">
        <f>_xlfn.XLOOKUP(Orders!C1667,Products!A1667:A2166,Products!D1667:D2166,"Price Missing",0)</f>
        <v>Price Missing</v>
      </c>
      <c r="J1667" s="19">
        <f t="shared" ref="J1667:J1730" si="26">IFERROR(I1667*D1667,0)</f>
        <v>0</v>
      </c>
    </row>
    <row r="1668" spans="1:10" x14ac:dyDescent="0.35">
      <c r="A1668" s="4" t="s">
        <v>5688</v>
      </c>
      <c r="B1668" s="7" t="s">
        <v>2312</v>
      </c>
      <c r="C1668" s="7" t="s">
        <v>3080</v>
      </c>
      <c r="D1668" s="5">
        <v>9</v>
      </c>
      <c r="E1668" s="7" t="str">
        <f>_xlfn.XLOOKUP(B1668,Customers!A1668:A2667,Customers!B1668:B2667,"Customer Not Found",0)</f>
        <v>Customer Not Found</v>
      </c>
      <c r="F1668" s="7" t="str">
        <f>_xlfn.XLOOKUP(Orders!B1668,Customers!A1668:A2667,Customers!C1668:C2667,"Country not Found",0)</f>
        <v>Country not Found</v>
      </c>
      <c r="G1668" s="7" t="str">
        <f>_xlfn.XLOOKUP(C1668,Products!A1668:A2167,Products!B1668:B2167,"Product Missing",0)</f>
        <v>Product Missing</v>
      </c>
      <c r="H1668" s="7" t="str">
        <f>_xlfn.XLOOKUP(C1668,Products!A1668:A2167,Products!C1668:C2167,"Category Missing",0)</f>
        <v>Category Missing</v>
      </c>
      <c r="I1668" s="11" t="str">
        <f>_xlfn.XLOOKUP(Orders!C1668,Products!A1668:A2167,Products!D1668:D2167,"Price Missing",0)</f>
        <v>Price Missing</v>
      </c>
      <c r="J1668" s="19">
        <f t="shared" si="26"/>
        <v>0</v>
      </c>
    </row>
    <row r="1669" spans="1:10" x14ac:dyDescent="0.35">
      <c r="A1669" s="4" t="s">
        <v>5689</v>
      </c>
      <c r="B1669" s="7" t="s">
        <v>914</v>
      </c>
      <c r="C1669" s="7" t="s">
        <v>3588</v>
      </c>
      <c r="D1669" s="5">
        <v>1</v>
      </c>
      <c r="E1669" s="7" t="str">
        <f>_xlfn.XLOOKUP(B1669,Customers!A1669:A2668,Customers!B1669:B2668,"Customer Not Found",0)</f>
        <v>Customer Not Found</v>
      </c>
      <c r="F1669" s="7" t="str">
        <f>_xlfn.XLOOKUP(Orders!B1669,Customers!A1669:A2668,Customers!C1669:C2668,"Country not Found",0)</f>
        <v>Country not Found</v>
      </c>
      <c r="G1669" s="7" t="str">
        <f>_xlfn.XLOOKUP(C1669,Products!A1669:A2168,Products!B1669:B2168,"Product Missing",0)</f>
        <v>Product Missing</v>
      </c>
      <c r="H1669" s="7" t="str">
        <f>_xlfn.XLOOKUP(C1669,Products!A1669:A2168,Products!C1669:C2168,"Category Missing",0)</f>
        <v>Category Missing</v>
      </c>
      <c r="I1669" s="11" t="str">
        <f>_xlfn.XLOOKUP(Orders!C1669,Products!A1669:A2168,Products!D1669:D2168,"Price Missing",0)</f>
        <v>Price Missing</v>
      </c>
      <c r="J1669" s="19">
        <f t="shared" si="26"/>
        <v>0</v>
      </c>
    </row>
    <row r="1670" spans="1:10" x14ac:dyDescent="0.35">
      <c r="A1670" s="4" t="s">
        <v>5690</v>
      </c>
      <c r="B1670" s="7" t="s">
        <v>953</v>
      </c>
      <c r="C1670" s="7" t="s">
        <v>3210</v>
      </c>
      <c r="D1670" s="5">
        <v>3</v>
      </c>
      <c r="E1670" s="7" t="str">
        <f>_xlfn.XLOOKUP(B1670,Customers!A1670:A2669,Customers!B1670:B2669,"Customer Not Found",0)</f>
        <v>Customer Not Found</v>
      </c>
      <c r="F1670" s="7" t="str">
        <f>_xlfn.XLOOKUP(Orders!B1670,Customers!A1670:A2669,Customers!C1670:C2669,"Country not Found",0)</f>
        <v>Country not Found</v>
      </c>
      <c r="G1670" s="7" t="str">
        <f>_xlfn.XLOOKUP(C1670,Products!A1670:A2169,Products!B1670:B2169,"Product Missing",0)</f>
        <v>Product Missing</v>
      </c>
      <c r="H1670" s="7" t="str">
        <f>_xlfn.XLOOKUP(C1670,Products!A1670:A2169,Products!C1670:C2169,"Category Missing",0)</f>
        <v>Category Missing</v>
      </c>
      <c r="I1670" s="11" t="str">
        <f>_xlfn.XLOOKUP(Orders!C1670,Products!A1670:A2169,Products!D1670:D2169,"Price Missing",0)</f>
        <v>Price Missing</v>
      </c>
      <c r="J1670" s="19">
        <f t="shared" si="26"/>
        <v>0</v>
      </c>
    </row>
    <row r="1671" spans="1:10" x14ac:dyDescent="0.35">
      <c r="A1671" s="4" t="s">
        <v>5691</v>
      </c>
      <c r="B1671" s="7" t="s">
        <v>2036</v>
      </c>
      <c r="C1671" s="7" t="s">
        <v>3178</v>
      </c>
      <c r="D1671" s="5">
        <v>10</v>
      </c>
      <c r="E1671" s="7" t="str">
        <f>_xlfn.XLOOKUP(B1671,Customers!A1671:A2670,Customers!B1671:B2670,"Customer Not Found",0)</f>
        <v>Customer Not Found</v>
      </c>
      <c r="F1671" s="7" t="str">
        <f>_xlfn.XLOOKUP(Orders!B1671,Customers!A1671:A2670,Customers!C1671:C2670,"Country not Found",0)</f>
        <v>Country not Found</v>
      </c>
      <c r="G1671" s="7" t="str">
        <f>_xlfn.XLOOKUP(C1671,Products!A1671:A2170,Products!B1671:B2170,"Product Missing",0)</f>
        <v>Product Missing</v>
      </c>
      <c r="H1671" s="7" t="str">
        <f>_xlfn.XLOOKUP(C1671,Products!A1671:A2170,Products!C1671:C2170,"Category Missing",0)</f>
        <v>Category Missing</v>
      </c>
      <c r="I1671" s="11" t="str">
        <f>_xlfn.XLOOKUP(Orders!C1671,Products!A1671:A2170,Products!D1671:D2170,"Price Missing",0)</f>
        <v>Price Missing</v>
      </c>
      <c r="J1671" s="19">
        <f t="shared" si="26"/>
        <v>0</v>
      </c>
    </row>
    <row r="1672" spans="1:10" x14ac:dyDescent="0.35">
      <c r="A1672" s="4" t="s">
        <v>5692</v>
      </c>
      <c r="B1672" s="7" t="s">
        <v>518</v>
      </c>
      <c r="C1672" s="7" t="s">
        <v>3496</v>
      </c>
      <c r="D1672" s="5">
        <v>3</v>
      </c>
      <c r="E1672" s="7" t="str">
        <f>_xlfn.XLOOKUP(B1672,Customers!A1672:A2671,Customers!B1672:B2671,"Customer Not Found",0)</f>
        <v>Customer Not Found</v>
      </c>
      <c r="F1672" s="7" t="str">
        <f>_xlfn.XLOOKUP(Orders!B1672,Customers!A1672:A2671,Customers!C1672:C2671,"Country not Found",0)</f>
        <v>Country not Found</v>
      </c>
      <c r="G1672" s="7" t="str">
        <f>_xlfn.XLOOKUP(C1672,Products!A1672:A2171,Products!B1672:B2171,"Product Missing",0)</f>
        <v>Product Missing</v>
      </c>
      <c r="H1672" s="7" t="str">
        <f>_xlfn.XLOOKUP(C1672,Products!A1672:A2171,Products!C1672:C2171,"Category Missing",0)</f>
        <v>Category Missing</v>
      </c>
      <c r="I1672" s="11" t="str">
        <f>_xlfn.XLOOKUP(Orders!C1672,Products!A1672:A2171,Products!D1672:D2171,"Price Missing",0)</f>
        <v>Price Missing</v>
      </c>
      <c r="J1672" s="19">
        <f t="shared" si="26"/>
        <v>0</v>
      </c>
    </row>
    <row r="1673" spans="1:10" x14ac:dyDescent="0.35">
      <c r="A1673" s="4" t="s">
        <v>5693</v>
      </c>
      <c r="B1673" s="7" t="s">
        <v>419</v>
      </c>
      <c r="C1673" s="7" t="s">
        <v>3440</v>
      </c>
      <c r="D1673" s="5">
        <v>9</v>
      </c>
      <c r="E1673" s="7" t="str">
        <f>_xlfn.XLOOKUP(B1673,Customers!A1673:A2672,Customers!B1673:B2672,"Customer Not Found",0)</f>
        <v>Customer Not Found</v>
      </c>
      <c r="F1673" s="7" t="str">
        <f>_xlfn.XLOOKUP(Orders!B1673,Customers!A1673:A2672,Customers!C1673:C2672,"Country not Found",0)</f>
        <v>Country not Found</v>
      </c>
      <c r="G1673" s="7" t="str">
        <f>_xlfn.XLOOKUP(C1673,Products!A1673:A2172,Products!B1673:B2172,"Product Missing",0)</f>
        <v>Product Missing</v>
      </c>
      <c r="H1673" s="7" t="str">
        <f>_xlfn.XLOOKUP(C1673,Products!A1673:A2172,Products!C1673:C2172,"Category Missing",0)</f>
        <v>Category Missing</v>
      </c>
      <c r="I1673" s="11" t="str">
        <f>_xlfn.XLOOKUP(Orders!C1673,Products!A1673:A2172,Products!D1673:D2172,"Price Missing",0)</f>
        <v>Price Missing</v>
      </c>
      <c r="J1673" s="19">
        <f t="shared" si="26"/>
        <v>0</v>
      </c>
    </row>
    <row r="1674" spans="1:10" x14ac:dyDescent="0.35">
      <c r="A1674" s="4" t="s">
        <v>5694</v>
      </c>
      <c r="B1674" s="7" t="s">
        <v>386</v>
      </c>
      <c r="C1674" s="7" t="s">
        <v>3822</v>
      </c>
      <c r="D1674" s="5">
        <v>9</v>
      </c>
      <c r="E1674" s="7" t="str">
        <f>_xlfn.XLOOKUP(B1674,Customers!A1674:A2673,Customers!B1674:B2673,"Customer Not Found",0)</f>
        <v>Customer Not Found</v>
      </c>
      <c r="F1674" s="7" t="str">
        <f>_xlfn.XLOOKUP(Orders!B1674,Customers!A1674:A2673,Customers!C1674:C2673,"Country not Found",0)</f>
        <v>Country not Found</v>
      </c>
      <c r="G1674" s="7" t="str">
        <f>_xlfn.XLOOKUP(C1674,Products!A1674:A2173,Products!B1674:B2173,"Product Missing",0)</f>
        <v>Product Missing</v>
      </c>
      <c r="H1674" s="7" t="str">
        <f>_xlfn.XLOOKUP(C1674,Products!A1674:A2173,Products!C1674:C2173,"Category Missing",0)</f>
        <v>Category Missing</v>
      </c>
      <c r="I1674" s="11" t="str">
        <f>_xlfn.XLOOKUP(Orders!C1674,Products!A1674:A2173,Products!D1674:D2173,"Price Missing",0)</f>
        <v>Price Missing</v>
      </c>
      <c r="J1674" s="19">
        <f t="shared" si="26"/>
        <v>0</v>
      </c>
    </row>
    <row r="1675" spans="1:10" x14ac:dyDescent="0.35">
      <c r="A1675" s="4" t="s">
        <v>5695</v>
      </c>
      <c r="B1675" s="7" t="s">
        <v>2447</v>
      </c>
      <c r="C1675" s="7" t="s">
        <v>3342</v>
      </c>
      <c r="D1675" s="5">
        <v>10</v>
      </c>
      <c r="E1675" s="7" t="str">
        <f>_xlfn.XLOOKUP(B1675,Customers!A1675:A2674,Customers!B1675:B2674,"Customer Not Found",0)</f>
        <v>Customer Not Found</v>
      </c>
      <c r="F1675" s="7" t="str">
        <f>_xlfn.XLOOKUP(Orders!B1675,Customers!A1675:A2674,Customers!C1675:C2674,"Country not Found",0)</f>
        <v>Country not Found</v>
      </c>
      <c r="G1675" s="7" t="str">
        <f>_xlfn.XLOOKUP(C1675,Products!A1675:A2174,Products!B1675:B2174,"Product Missing",0)</f>
        <v>Product Missing</v>
      </c>
      <c r="H1675" s="7" t="str">
        <f>_xlfn.XLOOKUP(C1675,Products!A1675:A2174,Products!C1675:C2174,"Category Missing",0)</f>
        <v>Category Missing</v>
      </c>
      <c r="I1675" s="11" t="str">
        <f>_xlfn.XLOOKUP(Orders!C1675,Products!A1675:A2174,Products!D1675:D2174,"Price Missing",0)</f>
        <v>Price Missing</v>
      </c>
      <c r="J1675" s="19">
        <f t="shared" si="26"/>
        <v>0</v>
      </c>
    </row>
    <row r="1676" spans="1:10" x14ac:dyDescent="0.35">
      <c r="A1676" s="4" t="s">
        <v>5696</v>
      </c>
      <c r="B1676" s="7" t="s">
        <v>608</v>
      </c>
      <c r="C1676" s="7" t="s">
        <v>3740</v>
      </c>
      <c r="D1676" s="5">
        <v>6</v>
      </c>
      <c r="E1676" s="7" t="str">
        <f>_xlfn.XLOOKUP(B1676,Customers!A1676:A2675,Customers!B1676:B2675,"Customer Not Found",0)</f>
        <v>Customer Not Found</v>
      </c>
      <c r="F1676" s="7" t="str">
        <f>_xlfn.XLOOKUP(Orders!B1676,Customers!A1676:A2675,Customers!C1676:C2675,"Country not Found",0)</f>
        <v>Country not Found</v>
      </c>
      <c r="G1676" s="7" t="str">
        <f>_xlfn.XLOOKUP(C1676,Products!A1676:A2175,Products!B1676:B2175,"Product Missing",0)</f>
        <v>Product Missing</v>
      </c>
      <c r="H1676" s="7" t="str">
        <f>_xlfn.XLOOKUP(C1676,Products!A1676:A2175,Products!C1676:C2175,"Category Missing",0)</f>
        <v>Category Missing</v>
      </c>
      <c r="I1676" s="11" t="str">
        <f>_xlfn.XLOOKUP(Orders!C1676,Products!A1676:A2175,Products!D1676:D2175,"Price Missing",0)</f>
        <v>Price Missing</v>
      </c>
      <c r="J1676" s="19">
        <f t="shared" si="26"/>
        <v>0</v>
      </c>
    </row>
    <row r="1677" spans="1:10" x14ac:dyDescent="0.35">
      <c r="A1677" s="4" t="s">
        <v>5697</v>
      </c>
      <c r="B1677" s="7" t="s">
        <v>269</v>
      </c>
      <c r="C1677" s="7" t="s">
        <v>3890</v>
      </c>
      <c r="D1677" s="5">
        <v>3</v>
      </c>
      <c r="E1677" s="7" t="str">
        <f>_xlfn.XLOOKUP(B1677,Customers!A1677:A2676,Customers!B1677:B2676,"Customer Not Found",0)</f>
        <v>Customer Not Found</v>
      </c>
      <c r="F1677" s="7" t="str">
        <f>_xlfn.XLOOKUP(Orders!B1677,Customers!A1677:A2676,Customers!C1677:C2676,"Country not Found",0)</f>
        <v>Country not Found</v>
      </c>
      <c r="G1677" s="7" t="str">
        <f>_xlfn.XLOOKUP(C1677,Products!A1677:A2176,Products!B1677:B2176,"Product Missing",0)</f>
        <v>Product Missing</v>
      </c>
      <c r="H1677" s="7" t="str">
        <f>_xlfn.XLOOKUP(C1677,Products!A1677:A2176,Products!C1677:C2176,"Category Missing",0)</f>
        <v>Category Missing</v>
      </c>
      <c r="I1677" s="11" t="str">
        <f>_xlfn.XLOOKUP(Orders!C1677,Products!A1677:A2176,Products!D1677:D2176,"Price Missing",0)</f>
        <v>Price Missing</v>
      </c>
      <c r="J1677" s="19">
        <f t="shared" si="26"/>
        <v>0</v>
      </c>
    </row>
    <row r="1678" spans="1:10" x14ac:dyDescent="0.35">
      <c r="A1678" s="4" t="s">
        <v>5698</v>
      </c>
      <c r="B1678" s="7" t="s">
        <v>2576</v>
      </c>
      <c r="C1678" s="7" t="s">
        <v>3364</v>
      </c>
      <c r="D1678" s="5">
        <v>3</v>
      </c>
      <c r="E1678" s="7" t="str">
        <f>_xlfn.XLOOKUP(B1678,Customers!A1678:A2677,Customers!B1678:B2677,"Customer Not Found",0)</f>
        <v>Customer Not Found</v>
      </c>
      <c r="F1678" s="7" t="str">
        <f>_xlfn.XLOOKUP(Orders!B1678,Customers!A1678:A2677,Customers!C1678:C2677,"Country not Found",0)</f>
        <v>Country not Found</v>
      </c>
      <c r="G1678" s="7" t="str">
        <f>_xlfn.XLOOKUP(C1678,Products!A1678:A2177,Products!B1678:B2177,"Product Missing",0)</f>
        <v>Product Missing</v>
      </c>
      <c r="H1678" s="7" t="str">
        <f>_xlfn.XLOOKUP(C1678,Products!A1678:A2177,Products!C1678:C2177,"Category Missing",0)</f>
        <v>Category Missing</v>
      </c>
      <c r="I1678" s="11" t="str">
        <f>_xlfn.XLOOKUP(Orders!C1678,Products!A1678:A2177,Products!D1678:D2177,"Price Missing",0)</f>
        <v>Price Missing</v>
      </c>
      <c r="J1678" s="19">
        <f t="shared" si="26"/>
        <v>0</v>
      </c>
    </row>
    <row r="1679" spans="1:10" x14ac:dyDescent="0.35">
      <c r="A1679" s="4" t="s">
        <v>5699</v>
      </c>
      <c r="B1679" s="7" t="s">
        <v>509</v>
      </c>
      <c r="C1679" s="7" t="s">
        <v>4004</v>
      </c>
      <c r="D1679" s="5">
        <v>10</v>
      </c>
      <c r="E1679" s="7" t="str">
        <f>_xlfn.XLOOKUP(B1679,Customers!A1679:A2678,Customers!B1679:B2678,"Customer Not Found",0)</f>
        <v>Customer Not Found</v>
      </c>
      <c r="F1679" s="7" t="str">
        <f>_xlfn.XLOOKUP(Orders!B1679,Customers!A1679:A2678,Customers!C1679:C2678,"Country not Found",0)</f>
        <v>Country not Found</v>
      </c>
      <c r="G1679" s="7" t="str">
        <f>_xlfn.XLOOKUP(C1679,Products!A1679:A2178,Products!B1679:B2178,"Product Missing",0)</f>
        <v>Product Missing</v>
      </c>
      <c r="H1679" s="7" t="str">
        <f>_xlfn.XLOOKUP(C1679,Products!A1679:A2178,Products!C1679:C2178,"Category Missing",0)</f>
        <v>Category Missing</v>
      </c>
      <c r="I1679" s="11" t="str">
        <f>_xlfn.XLOOKUP(Orders!C1679,Products!A1679:A2178,Products!D1679:D2178,"Price Missing",0)</f>
        <v>Price Missing</v>
      </c>
      <c r="J1679" s="19">
        <f t="shared" si="26"/>
        <v>0</v>
      </c>
    </row>
    <row r="1680" spans="1:10" x14ac:dyDescent="0.35">
      <c r="A1680" s="4" t="s">
        <v>5700</v>
      </c>
      <c r="B1680" s="7" t="s">
        <v>1403</v>
      </c>
      <c r="C1680" s="7" t="s">
        <v>3518</v>
      </c>
      <c r="D1680" s="5">
        <v>7</v>
      </c>
      <c r="E1680" s="7" t="str">
        <f>_xlfn.XLOOKUP(B1680,Customers!A1680:A2679,Customers!B1680:B2679,"Customer Not Found",0)</f>
        <v>Customer Not Found</v>
      </c>
      <c r="F1680" s="7" t="str">
        <f>_xlfn.XLOOKUP(Orders!B1680,Customers!A1680:A2679,Customers!C1680:C2679,"Country not Found",0)</f>
        <v>Country not Found</v>
      </c>
      <c r="G1680" s="7" t="str">
        <f>_xlfn.XLOOKUP(C1680,Products!A1680:A2179,Products!B1680:B2179,"Product Missing",0)</f>
        <v>Product Missing</v>
      </c>
      <c r="H1680" s="7" t="str">
        <f>_xlfn.XLOOKUP(C1680,Products!A1680:A2179,Products!C1680:C2179,"Category Missing",0)</f>
        <v>Category Missing</v>
      </c>
      <c r="I1680" s="11" t="str">
        <f>_xlfn.XLOOKUP(Orders!C1680,Products!A1680:A2179,Products!D1680:D2179,"Price Missing",0)</f>
        <v>Price Missing</v>
      </c>
      <c r="J1680" s="19">
        <f t="shared" si="26"/>
        <v>0</v>
      </c>
    </row>
    <row r="1681" spans="1:10" x14ac:dyDescent="0.35">
      <c r="A1681" s="4" t="s">
        <v>5701</v>
      </c>
      <c r="B1681" s="7" t="s">
        <v>2438</v>
      </c>
      <c r="C1681" s="7" t="s">
        <v>3638</v>
      </c>
      <c r="D1681" s="5">
        <v>1</v>
      </c>
      <c r="E1681" s="7" t="str">
        <f>_xlfn.XLOOKUP(B1681,Customers!A1681:A2680,Customers!B1681:B2680,"Customer Not Found",0)</f>
        <v>Customer Not Found</v>
      </c>
      <c r="F1681" s="7" t="str">
        <f>_xlfn.XLOOKUP(Orders!B1681,Customers!A1681:A2680,Customers!C1681:C2680,"Country not Found",0)</f>
        <v>Country not Found</v>
      </c>
      <c r="G1681" s="7" t="str">
        <f>_xlfn.XLOOKUP(C1681,Products!A1681:A2180,Products!B1681:B2180,"Product Missing",0)</f>
        <v>Product Missing</v>
      </c>
      <c r="H1681" s="7" t="str">
        <f>_xlfn.XLOOKUP(C1681,Products!A1681:A2180,Products!C1681:C2180,"Category Missing",0)</f>
        <v>Category Missing</v>
      </c>
      <c r="I1681" s="11" t="str">
        <f>_xlfn.XLOOKUP(Orders!C1681,Products!A1681:A2180,Products!D1681:D2180,"Price Missing",0)</f>
        <v>Price Missing</v>
      </c>
      <c r="J1681" s="19">
        <f t="shared" si="26"/>
        <v>0</v>
      </c>
    </row>
    <row r="1682" spans="1:10" x14ac:dyDescent="0.35">
      <c r="A1682" s="4" t="s">
        <v>5702</v>
      </c>
      <c r="B1682" s="7" t="s">
        <v>446</v>
      </c>
      <c r="C1682" s="7" t="s">
        <v>3198</v>
      </c>
      <c r="D1682" s="5">
        <v>8</v>
      </c>
      <c r="E1682" s="7" t="str">
        <f>_xlfn.XLOOKUP(B1682,Customers!A1682:A2681,Customers!B1682:B2681,"Customer Not Found",0)</f>
        <v>Customer Not Found</v>
      </c>
      <c r="F1682" s="7" t="str">
        <f>_xlfn.XLOOKUP(Orders!B1682,Customers!A1682:A2681,Customers!C1682:C2681,"Country not Found",0)</f>
        <v>Country not Found</v>
      </c>
      <c r="G1682" s="7" t="str">
        <f>_xlfn.XLOOKUP(C1682,Products!A1682:A2181,Products!B1682:B2181,"Product Missing",0)</f>
        <v>Product Missing</v>
      </c>
      <c r="H1682" s="7" t="str">
        <f>_xlfn.XLOOKUP(C1682,Products!A1682:A2181,Products!C1682:C2181,"Category Missing",0)</f>
        <v>Category Missing</v>
      </c>
      <c r="I1682" s="11" t="str">
        <f>_xlfn.XLOOKUP(Orders!C1682,Products!A1682:A2181,Products!D1682:D2181,"Price Missing",0)</f>
        <v>Price Missing</v>
      </c>
      <c r="J1682" s="19">
        <f t="shared" si="26"/>
        <v>0</v>
      </c>
    </row>
    <row r="1683" spans="1:10" x14ac:dyDescent="0.35">
      <c r="A1683" s="4" t="s">
        <v>5703</v>
      </c>
      <c r="B1683" s="7" t="s">
        <v>1520</v>
      </c>
      <c r="C1683" s="7" t="s">
        <v>3074</v>
      </c>
      <c r="D1683" s="5">
        <v>1</v>
      </c>
      <c r="E1683" s="7" t="str">
        <f>_xlfn.XLOOKUP(B1683,Customers!A1683:A2682,Customers!B1683:B2682,"Customer Not Found",0)</f>
        <v>Customer Not Found</v>
      </c>
      <c r="F1683" s="7" t="str">
        <f>_xlfn.XLOOKUP(Orders!B1683,Customers!A1683:A2682,Customers!C1683:C2682,"Country not Found",0)</f>
        <v>Country not Found</v>
      </c>
      <c r="G1683" s="7" t="str">
        <f>_xlfn.XLOOKUP(C1683,Products!A1683:A2182,Products!B1683:B2182,"Product Missing",0)</f>
        <v>Product Missing</v>
      </c>
      <c r="H1683" s="7" t="str">
        <f>_xlfn.XLOOKUP(C1683,Products!A1683:A2182,Products!C1683:C2182,"Category Missing",0)</f>
        <v>Category Missing</v>
      </c>
      <c r="I1683" s="11" t="str">
        <f>_xlfn.XLOOKUP(Orders!C1683,Products!A1683:A2182,Products!D1683:D2182,"Price Missing",0)</f>
        <v>Price Missing</v>
      </c>
      <c r="J1683" s="19">
        <f t="shared" si="26"/>
        <v>0</v>
      </c>
    </row>
    <row r="1684" spans="1:10" x14ac:dyDescent="0.35">
      <c r="A1684" s="4" t="s">
        <v>5704</v>
      </c>
      <c r="B1684" s="7" t="s">
        <v>887</v>
      </c>
      <c r="C1684" s="7" t="s">
        <v>3678</v>
      </c>
      <c r="D1684" s="5">
        <v>1</v>
      </c>
      <c r="E1684" s="7" t="str">
        <f>_xlfn.XLOOKUP(B1684,Customers!A1684:A2683,Customers!B1684:B2683,"Customer Not Found",0)</f>
        <v>Customer Not Found</v>
      </c>
      <c r="F1684" s="7" t="str">
        <f>_xlfn.XLOOKUP(Orders!B1684,Customers!A1684:A2683,Customers!C1684:C2683,"Country not Found",0)</f>
        <v>Country not Found</v>
      </c>
      <c r="G1684" s="7" t="str">
        <f>_xlfn.XLOOKUP(C1684,Products!A1684:A2183,Products!B1684:B2183,"Product Missing",0)</f>
        <v>Product Missing</v>
      </c>
      <c r="H1684" s="7" t="str">
        <f>_xlfn.XLOOKUP(C1684,Products!A1684:A2183,Products!C1684:C2183,"Category Missing",0)</f>
        <v>Category Missing</v>
      </c>
      <c r="I1684" s="11" t="str">
        <f>_xlfn.XLOOKUP(Orders!C1684,Products!A1684:A2183,Products!D1684:D2183,"Price Missing",0)</f>
        <v>Price Missing</v>
      </c>
      <c r="J1684" s="19">
        <f t="shared" si="26"/>
        <v>0</v>
      </c>
    </row>
    <row r="1685" spans="1:10" x14ac:dyDescent="0.35">
      <c r="A1685" s="4" t="s">
        <v>5705</v>
      </c>
      <c r="B1685" s="7" t="s">
        <v>2138</v>
      </c>
      <c r="C1685" s="7" t="s">
        <v>3998</v>
      </c>
      <c r="D1685" s="5">
        <v>4</v>
      </c>
      <c r="E1685" s="7" t="str">
        <f>_xlfn.XLOOKUP(B1685,Customers!A1685:A2684,Customers!B1685:B2684,"Customer Not Found",0)</f>
        <v>Customer Not Found</v>
      </c>
      <c r="F1685" s="7" t="str">
        <f>_xlfn.XLOOKUP(Orders!B1685,Customers!A1685:A2684,Customers!C1685:C2684,"Country not Found",0)</f>
        <v>Country not Found</v>
      </c>
      <c r="G1685" s="7" t="str">
        <f>_xlfn.XLOOKUP(C1685,Products!A1685:A2184,Products!B1685:B2184,"Product Missing",0)</f>
        <v>Product Missing</v>
      </c>
      <c r="H1685" s="7" t="str">
        <f>_xlfn.XLOOKUP(C1685,Products!A1685:A2184,Products!C1685:C2184,"Category Missing",0)</f>
        <v>Category Missing</v>
      </c>
      <c r="I1685" s="11" t="str">
        <f>_xlfn.XLOOKUP(Orders!C1685,Products!A1685:A2184,Products!D1685:D2184,"Price Missing",0)</f>
        <v>Price Missing</v>
      </c>
      <c r="J1685" s="19">
        <f t="shared" si="26"/>
        <v>0</v>
      </c>
    </row>
    <row r="1686" spans="1:10" x14ac:dyDescent="0.35">
      <c r="A1686" s="4" t="s">
        <v>5706</v>
      </c>
      <c r="B1686" s="7" t="s">
        <v>629</v>
      </c>
      <c r="C1686" s="7" t="s">
        <v>3340</v>
      </c>
      <c r="D1686" s="5">
        <v>10</v>
      </c>
      <c r="E1686" s="7" t="str">
        <f>_xlfn.XLOOKUP(B1686,Customers!A1686:A2685,Customers!B1686:B2685,"Customer Not Found",0)</f>
        <v>Customer Not Found</v>
      </c>
      <c r="F1686" s="7" t="str">
        <f>_xlfn.XLOOKUP(Orders!B1686,Customers!A1686:A2685,Customers!C1686:C2685,"Country not Found",0)</f>
        <v>Country not Found</v>
      </c>
      <c r="G1686" s="7" t="str">
        <f>_xlfn.XLOOKUP(C1686,Products!A1686:A2185,Products!B1686:B2185,"Product Missing",0)</f>
        <v>Product Missing</v>
      </c>
      <c r="H1686" s="7" t="str">
        <f>_xlfn.XLOOKUP(C1686,Products!A1686:A2185,Products!C1686:C2185,"Category Missing",0)</f>
        <v>Category Missing</v>
      </c>
      <c r="I1686" s="11" t="str">
        <f>_xlfn.XLOOKUP(Orders!C1686,Products!A1686:A2185,Products!D1686:D2185,"Price Missing",0)</f>
        <v>Price Missing</v>
      </c>
      <c r="J1686" s="19">
        <f t="shared" si="26"/>
        <v>0</v>
      </c>
    </row>
    <row r="1687" spans="1:10" x14ac:dyDescent="0.35">
      <c r="A1687" s="4" t="s">
        <v>5707</v>
      </c>
      <c r="B1687" s="7" t="s">
        <v>1184</v>
      </c>
      <c r="C1687" s="7" t="s">
        <v>3688</v>
      </c>
      <c r="D1687" s="5">
        <v>5</v>
      </c>
      <c r="E1687" s="7" t="str">
        <f>_xlfn.XLOOKUP(B1687,Customers!A1687:A2686,Customers!B1687:B2686,"Customer Not Found",0)</f>
        <v>Customer Not Found</v>
      </c>
      <c r="F1687" s="7" t="str">
        <f>_xlfn.XLOOKUP(Orders!B1687,Customers!A1687:A2686,Customers!C1687:C2686,"Country not Found",0)</f>
        <v>Country not Found</v>
      </c>
      <c r="G1687" s="7" t="str">
        <f>_xlfn.XLOOKUP(C1687,Products!A1687:A2186,Products!B1687:B2186,"Product Missing",0)</f>
        <v>Product Missing</v>
      </c>
      <c r="H1687" s="7" t="str">
        <f>_xlfn.XLOOKUP(C1687,Products!A1687:A2186,Products!C1687:C2186,"Category Missing",0)</f>
        <v>Category Missing</v>
      </c>
      <c r="I1687" s="11" t="str">
        <f>_xlfn.XLOOKUP(Orders!C1687,Products!A1687:A2186,Products!D1687:D2186,"Price Missing",0)</f>
        <v>Price Missing</v>
      </c>
      <c r="J1687" s="19">
        <f t="shared" si="26"/>
        <v>0</v>
      </c>
    </row>
    <row r="1688" spans="1:10" x14ac:dyDescent="0.35">
      <c r="A1688" s="4" t="s">
        <v>5708</v>
      </c>
      <c r="B1688" s="7" t="s">
        <v>734</v>
      </c>
      <c r="C1688" s="7" t="s">
        <v>3666</v>
      </c>
      <c r="D1688" s="5">
        <v>6</v>
      </c>
      <c r="E1688" s="7" t="str">
        <f>_xlfn.XLOOKUP(B1688,Customers!A1688:A2687,Customers!B1688:B2687,"Customer Not Found",0)</f>
        <v>Customer Not Found</v>
      </c>
      <c r="F1688" s="7" t="str">
        <f>_xlfn.XLOOKUP(Orders!B1688,Customers!A1688:A2687,Customers!C1688:C2687,"Country not Found",0)</f>
        <v>Country not Found</v>
      </c>
      <c r="G1688" s="7" t="str">
        <f>_xlfn.XLOOKUP(C1688,Products!A1688:A2187,Products!B1688:B2187,"Product Missing",0)</f>
        <v>Product Missing</v>
      </c>
      <c r="H1688" s="7" t="str">
        <f>_xlfn.XLOOKUP(C1688,Products!A1688:A2187,Products!C1688:C2187,"Category Missing",0)</f>
        <v>Category Missing</v>
      </c>
      <c r="I1688" s="11" t="str">
        <f>_xlfn.XLOOKUP(Orders!C1688,Products!A1688:A2187,Products!D1688:D2187,"Price Missing",0)</f>
        <v>Price Missing</v>
      </c>
      <c r="J1688" s="19">
        <f t="shared" si="26"/>
        <v>0</v>
      </c>
    </row>
    <row r="1689" spans="1:10" x14ac:dyDescent="0.35">
      <c r="A1689" s="4" t="s">
        <v>5709</v>
      </c>
      <c r="B1689" s="7" t="s">
        <v>431</v>
      </c>
      <c r="C1689" s="7" t="s">
        <v>3998</v>
      </c>
      <c r="D1689" s="5">
        <v>6</v>
      </c>
      <c r="E1689" s="7" t="str">
        <f>_xlfn.XLOOKUP(B1689,Customers!A1689:A2688,Customers!B1689:B2688,"Customer Not Found",0)</f>
        <v>Customer Not Found</v>
      </c>
      <c r="F1689" s="7" t="str">
        <f>_xlfn.XLOOKUP(Orders!B1689,Customers!A1689:A2688,Customers!C1689:C2688,"Country not Found",0)</f>
        <v>Country not Found</v>
      </c>
      <c r="G1689" s="7" t="str">
        <f>_xlfn.XLOOKUP(C1689,Products!A1689:A2188,Products!B1689:B2188,"Product Missing",0)</f>
        <v>Product Missing</v>
      </c>
      <c r="H1689" s="7" t="str">
        <f>_xlfn.XLOOKUP(C1689,Products!A1689:A2188,Products!C1689:C2188,"Category Missing",0)</f>
        <v>Category Missing</v>
      </c>
      <c r="I1689" s="11" t="str">
        <f>_xlfn.XLOOKUP(Orders!C1689,Products!A1689:A2188,Products!D1689:D2188,"Price Missing",0)</f>
        <v>Price Missing</v>
      </c>
      <c r="J1689" s="19">
        <f t="shared" si="26"/>
        <v>0</v>
      </c>
    </row>
    <row r="1690" spans="1:10" x14ac:dyDescent="0.35">
      <c r="A1690" s="4" t="s">
        <v>5710</v>
      </c>
      <c r="B1690" s="7" t="s">
        <v>383</v>
      </c>
      <c r="C1690" s="7" t="s">
        <v>3832</v>
      </c>
      <c r="D1690" s="5">
        <v>2</v>
      </c>
      <c r="E1690" s="7" t="str">
        <f>_xlfn.XLOOKUP(B1690,Customers!A1690:A2689,Customers!B1690:B2689,"Customer Not Found",0)</f>
        <v>Customer Not Found</v>
      </c>
      <c r="F1690" s="7" t="str">
        <f>_xlfn.XLOOKUP(Orders!B1690,Customers!A1690:A2689,Customers!C1690:C2689,"Country not Found",0)</f>
        <v>Country not Found</v>
      </c>
      <c r="G1690" s="7" t="str">
        <f>_xlfn.XLOOKUP(C1690,Products!A1690:A2189,Products!B1690:B2189,"Product Missing",0)</f>
        <v>Product Missing</v>
      </c>
      <c r="H1690" s="7" t="str">
        <f>_xlfn.XLOOKUP(C1690,Products!A1690:A2189,Products!C1690:C2189,"Category Missing",0)</f>
        <v>Category Missing</v>
      </c>
      <c r="I1690" s="11" t="str">
        <f>_xlfn.XLOOKUP(Orders!C1690,Products!A1690:A2189,Products!D1690:D2189,"Price Missing",0)</f>
        <v>Price Missing</v>
      </c>
      <c r="J1690" s="19">
        <f t="shared" si="26"/>
        <v>0</v>
      </c>
    </row>
    <row r="1691" spans="1:10" x14ac:dyDescent="0.35">
      <c r="A1691" s="4" t="s">
        <v>5711</v>
      </c>
      <c r="B1691" s="7" t="s">
        <v>2600</v>
      </c>
      <c r="C1691" s="7" t="s">
        <v>3198</v>
      </c>
      <c r="D1691" s="5">
        <v>2</v>
      </c>
      <c r="E1691" s="7" t="str">
        <f>_xlfn.XLOOKUP(B1691,Customers!A1691:A2690,Customers!B1691:B2690,"Customer Not Found",0)</f>
        <v>Customer Not Found</v>
      </c>
      <c r="F1691" s="7" t="str">
        <f>_xlfn.XLOOKUP(Orders!B1691,Customers!A1691:A2690,Customers!C1691:C2690,"Country not Found",0)</f>
        <v>Country not Found</v>
      </c>
      <c r="G1691" s="7" t="str">
        <f>_xlfn.XLOOKUP(C1691,Products!A1691:A2190,Products!B1691:B2190,"Product Missing",0)</f>
        <v>Product Missing</v>
      </c>
      <c r="H1691" s="7" t="str">
        <f>_xlfn.XLOOKUP(C1691,Products!A1691:A2190,Products!C1691:C2190,"Category Missing",0)</f>
        <v>Category Missing</v>
      </c>
      <c r="I1691" s="11" t="str">
        <f>_xlfn.XLOOKUP(Orders!C1691,Products!A1691:A2190,Products!D1691:D2190,"Price Missing",0)</f>
        <v>Price Missing</v>
      </c>
      <c r="J1691" s="19">
        <f t="shared" si="26"/>
        <v>0</v>
      </c>
    </row>
    <row r="1692" spans="1:10" x14ac:dyDescent="0.35">
      <c r="A1692" s="4" t="s">
        <v>5712</v>
      </c>
      <c r="B1692" s="7" t="s">
        <v>671</v>
      </c>
      <c r="C1692" s="7" t="s">
        <v>3634</v>
      </c>
      <c r="D1692" s="5">
        <v>1</v>
      </c>
      <c r="E1692" s="7" t="str">
        <f>_xlfn.XLOOKUP(B1692,Customers!A1692:A2691,Customers!B1692:B2691,"Customer Not Found",0)</f>
        <v>Customer Not Found</v>
      </c>
      <c r="F1692" s="7" t="str">
        <f>_xlfn.XLOOKUP(Orders!B1692,Customers!A1692:A2691,Customers!C1692:C2691,"Country not Found",0)</f>
        <v>Country not Found</v>
      </c>
      <c r="G1692" s="7" t="str">
        <f>_xlfn.XLOOKUP(C1692,Products!A1692:A2191,Products!B1692:B2191,"Product Missing",0)</f>
        <v>Product Missing</v>
      </c>
      <c r="H1692" s="7" t="str">
        <f>_xlfn.XLOOKUP(C1692,Products!A1692:A2191,Products!C1692:C2191,"Category Missing",0)</f>
        <v>Category Missing</v>
      </c>
      <c r="I1692" s="11" t="str">
        <f>_xlfn.XLOOKUP(Orders!C1692,Products!A1692:A2191,Products!D1692:D2191,"Price Missing",0)</f>
        <v>Price Missing</v>
      </c>
      <c r="J1692" s="19">
        <f t="shared" si="26"/>
        <v>0</v>
      </c>
    </row>
    <row r="1693" spans="1:10" x14ac:dyDescent="0.35">
      <c r="A1693" s="4" t="s">
        <v>5713</v>
      </c>
      <c r="B1693" s="7" t="s">
        <v>1418</v>
      </c>
      <c r="C1693" s="7" t="s">
        <v>3626</v>
      </c>
      <c r="D1693" s="5">
        <v>4</v>
      </c>
      <c r="E1693" s="7" t="str">
        <f>_xlfn.XLOOKUP(B1693,Customers!A1693:A2692,Customers!B1693:B2692,"Customer Not Found",0)</f>
        <v>Customer Not Found</v>
      </c>
      <c r="F1693" s="7" t="str">
        <f>_xlfn.XLOOKUP(Orders!B1693,Customers!A1693:A2692,Customers!C1693:C2692,"Country not Found",0)</f>
        <v>Country not Found</v>
      </c>
      <c r="G1693" s="7" t="str">
        <f>_xlfn.XLOOKUP(C1693,Products!A1693:A2192,Products!B1693:B2192,"Product Missing",0)</f>
        <v>Product Missing</v>
      </c>
      <c r="H1693" s="7" t="str">
        <f>_xlfn.XLOOKUP(C1693,Products!A1693:A2192,Products!C1693:C2192,"Category Missing",0)</f>
        <v>Category Missing</v>
      </c>
      <c r="I1693" s="11" t="str">
        <f>_xlfn.XLOOKUP(Orders!C1693,Products!A1693:A2192,Products!D1693:D2192,"Price Missing",0)</f>
        <v>Price Missing</v>
      </c>
      <c r="J1693" s="19">
        <f t="shared" si="26"/>
        <v>0</v>
      </c>
    </row>
    <row r="1694" spans="1:10" x14ac:dyDescent="0.35">
      <c r="A1694" s="4" t="s">
        <v>5714</v>
      </c>
      <c r="B1694" s="7" t="s">
        <v>2357</v>
      </c>
      <c r="C1694" s="7" t="s">
        <v>3960</v>
      </c>
      <c r="D1694" s="5">
        <v>5</v>
      </c>
      <c r="E1694" s="7" t="str">
        <f>_xlfn.XLOOKUP(B1694,Customers!A1694:A2693,Customers!B1694:B2693,"Customer Not Found",0)</f>
        <v>Customer Not Found</v>
      </c>
      <c r="F1694" s="7" t="str">
        <f>_xlfn.XLOOKUP(Orders!B1694,Customers!A1694:A2693,Customers!C1694:C2693,"Country not Found",0)</f>
        <v>Country not Found</v>
      </c>
      <c r="G1694" s="7" t="str">
        <f>_xlfn.XLOOKUP(C1694,Products!A1694:A2193,Products!B1694:B2193,"Product Missing",0)</f>
        <v>Product Missing</v>
      </c>
      <c r="H1694" s="7" t="str">
        <f>_xlfn.XLOOKUP(C1694,Products!A1694:A2193,Products!C1694:C2193,"Category Missing",0)</f>
        <v>Category Missing</v>
      </c>
      <c r="I1694" s="11" t="str">
        <f>_xlfn.XLOOKUP(Orders!C1694,Products!A1694:A2193,Products!D1694:D2193,"Price Missing",0)</f>
        <v>Price Missing</v>
      </c>
      <c r="J1694" s="19">
        <f t="shared" si="26"/>
        <v>0</v>
      </c>
    </row>
    <row r="1695" spans="1:10" x14ac:dyDescent="0.35">
      <c r="A1695" s="4" t="s">
        <v>5715</v>
      </c>
      <c r="B1695" s="7" t="s">
        <v>2381</v>
      </c>
      <c r="C1695" s="7" t="s">
        <v>3830</v>
      </c>
      <c r="D1695" s="5">
        <v>8</v>
      </c>
      <c r="E1695" s="7" t="str">
        <f>_xlfn.XLOOKUP(B1695,Customers!A1695:A2694,Customers!B1695:B2694,"Customer Not Found",0)</f>
        <v>Customer Not Found</v>
      </c>
      <c r="F1695" s="7" t="str">
        <f>_xlfn.XLOOKUP(Orders!B1695,Customers!A1695:A2694,Customers!C1695:C2694,"Country not Found",0)</f>
        <v>Country not Found</v>
      </c>
      <c r="G1695" s="7" t="str">
        <f>_xlfn.XLOOKUP(C1695,Products!A1695:A2194,Products!B1695:B2194,"Product Missing",0)</f>
        <v>Product Missing</v>
      </c>
      <c r="H1695" s="7" t="str">
        <f>_xlfn.XLOOKUP(C1695,Products!A1695:A2194,Products!C1695:C2194,"Category Missing",0)</f>
        <v>Category Missing</v>
      </c>
      <c r="I1695" s="11" t="str">
        <f>_xlfn.XLOOKUP(Orders!C1695,Products!A1695:A2194,Products!D1695:D2194,"Price Missing",0)</f>
        <v>Price Missing</v>
      </c>
      <c r="J1695" s="19">
        <f t="shared" si="26"/>
        <v>0</v>
      </c>
    </row>
    <row r="1696" spans="1:10" x14ac:dyDescent="0.35">
      <c r="A1696" s="4" t="s">
        <v>5716</v>
      </c>
      <c r="B1696" s="7" t="s">
        <v>677</v>
      </c>
      <c r="C1696" s="7" t="s">
        <v>3746</v>
      </c>
      <c r="D1696" s="5">
        <v>8</v>
      </c>
      <c r="E1696" s="7" t="str">
        <f>_xlfn.XLOOKUP(B1696,Customers!A1696:A2695,Customers!B1696:B2695,"Customer Not Found",0)</f>
        <v>Customer Not Found</v>
      </c>
      <c r="F1696" s="7" t="str">
        <f>_xlfn.XLOOKUP(Orders!B1696,Customers!A1696:A2695,Customers!C1696:C2695,"Country not Found",0)</f>
        <v>Country not Found</v>
      </c>
      <c r="G1696" s="7" t="str">
        <f>_xlfn.XLOOKUP(C1696,Products!A1696:A2195,Products!B1696:B2195,"Product Missing",0)</f>
        <v>Product Missing</v>
      </c>
      <c r="H1696" s="7" t="str">
        <f>_xlfn.XLOOKUP(C1696,Products!A1696:A2195,Products!C1696:C2195,"Category Missing",0)</f>
        <v>Category Missing</v>
      </c>
      <c r="I1696" s="11" t="str">
        <f>_xlfn.XLOOKUP(Orders!C1696,Products!A1696:A2195,Products!D1696:D2195,"Price Missing",0)</f>
        <v>Price Missing</v>
      </c>
      <c r="J1696" s="19">
        <f t="shared" si="26"/>
        <v>0</v>
      </c>
    </row>
    <row r="1697" spans="1:10" x14ac:dyDescent="0.35">
      <c r="A1697" s="4" t="s">
        <v>5717</v>
      </c>
      <c r="B1697" s="7" t="s">
        <v>758</v>
      </c>
      <c r="C1697" s="7" t="s">
        <v>3492</v>
      </c>
      <c r="D1697" s="5">
        <v>8</v>
      </c>
      <c r="E1697" s="7" t="str">
        <f>_xlfn.XLOOKUP(B1697,Customers!A1697:A2696,Customers!B1697:B2696,"Customer Not Found",0)</f>
        <v>Customer Not Found</v>
      </c>
      <c r="F1697" s="7" t="str">
        <f>_xlfn.XLOOKUP(Orders!B1697,Customers!A1697:A2696,Customers!C1697:C2696,"Country not Found",0)</f>
        <v>Country not Found</v>
      </c>
      <c r="G1697" s="7" t="str">
        <f>_xlfn.XLOOKUP(C1697,Products!A1697:A2196,Products!B1697:B2196,"Product Missing",0)</f>
        <v>Product Missing</v>
      </c>
      <c r="H1697" s="7" t="str">
        <f>_xlfn.XLOOKUP(C1697,Products!A1697:A2196,Products!C1697:C2196,"Category Missing",0)</f>
        <v>Category Missing</v>
      </c>
      <c r="I1697" s="11" t="str">
        <f>_xlfn.XLOOKUP(Orders!C1697,Products!A1697:A2196,Products!D1697:D2196,"Price Missing",0)</f>
        <v>Price Missing</v>
      </c>
      <c r="J1697" s="19">
        <f t="shared" si="26"/>
        <v>0</v>
      </c>
    </row>
    <row r="1698" spans="1:10" x14ac:dyDescent="0.35">
      <c r="A1698" s="4" t="s">
        <v>5718</v>
      </c>
      <c r="B1698" s="7" t="s">
        <v>1847</v>
      </c>
      <c r="C1698" s="7" t="s">
        <v>3300</v>
      </c>
      <c r="D1698" s="5">
        <v>5</v>
      </c>
      <c r="E1698" s="7" t="str">
        <f>_xlfn.XLOOKUP(B1698,Customers!A1698:A2697,Customers!B1698:B2697,"Customer Not Found",0)</f>
        <v>Customer Not Found</v>
      </c>
      <c r="F1698" s="7" t="str">
        <f>_xlfn.XLOOKUP(Orders!B1698,Customers!A1698:A2697,Customers!C1698:C2697,"Country not Found",0)</f>
        <v>Country not Found</v>
      </c>
      <c r="G1698" s="7" t="str">
        <f>_xlfn.XLOOKUP(C1698,Products!A1698:A2197,Products!B1698:B2197,"Product Missing",0)</f>
        <v>Product Missing</v>
      </c>
      <c r="H1698" s="7" t="str">
        <f>_xlfn.XLOOKUP(C1698,Products!A1698:A2197,Products!C1698:C2197,"Category Missing",0)</f>
        <v>Category Missing</v>
      </c>
      <c r="I1698" s="11" t="str">
        <f>_xlfn.XLOOKUP(Orders!C1698,Products!A1698:A2197,Products!D1698:D2197,"Price Missing",0)</f>
        <v>Price Missing</v>
      </c>
      <c r="J1698" s="19">
        <f t="shared" si="26"/>
        <v>0</v>
      </c>
    </row>
    <row r="1699" spans="1:10" x14ac:dyDescent="0.35">
      <c r="A1699" s="4" t="s">
        <v>5719</v>
      </c>
      <c r="B1699" s="7" t="s">
        <v>1598</v>
      </c>
      <c r="C1699" s="7" t="s">
        <v>3776</v>
      </c>
      <c r="D1699" s="5">
        <v>6</v>
      </c>
      <c r="E1699" s="7" t="str">
        <f>_xlfn.XLOOKUP(B1699,Customers!A1699:A2698,Customers!B1699:B2698,"Customer Not Found",0)</f>
        <v>Customer Not Found</v>
      </c>
      <c r="F1699" s="7" t="str">
        <f>_xlfn.XLOOKUP(Orders!B1699,Customers!A1699:A2698,Customers!C1699:C2698,"Country not Found",0)</f>
        <v>Country not Found</v>
      </c>
      <c r="G1699" s="7" t="str">
        <f>_xlfn.XLOOKUP(C1699,Products!A1699:A2198,Products!B1699:B2198,"Product Missing",0)</f>
        <v>Product Missing</v>
      </c>
      <c r="H1699" s="7" t="str">
        <f>_xlfn.XLOOKUP(C1699,Products!A1699:A2198,Products!C1699:C2198,"Category Missing",0)</f>
        <v>Category Missing</v>
      </c>
      <c r="I1699" s="11" t="str">
        <f>_xlfn.XLOOKUP(Orders!C1699,Products!A1699:A2198,Products!D1699:D2198,"Price Missing",0)</f>
        <v>Price Missing</v>
      </c>
      <c r="J1699" s="19">
        <f t="shared" si="26"/>
        <v>0</v>
      </c>
    </row>
    <row r="1700" spans="1:10" x14ac:dyDescent="0.35">
      <c r="A1700" s="4" t="s">
        <v>5720</v>
      </c>
      <c r="B1700" s="7" t="s">
        <v>1388</v>
      </c>
      <c r="C1700" s="7" t="s">
        <v>3288</v>
      </c>
      <c r="D1700" s="5">
        <v>4</v>
      </c>
      <c r="E1700" s="7" t="str">
        <f>_xlfn.XLOOKUP(B1700,Customers!A1700:A2699,Customers!B1700:B2699,"Customer Not Found",0)</f>
        <v>Customer Not Found</v>
      </c>
      <c r="F1700" s="7" t="str">
        <f>_xlfn.XLOOKUP(Orders!B1700,Customers!A1700:A2699,Customers!C1700:C2699,"Country not Found",0)</f>
        <v>Country not Found</v>
      </c>
      <c r="G1700" s="7" t="str">
        <f>_xlfn.XLOOKUP(C1700,Products!A1700:A2199,Products!B1700:B2199,"Product Missing",0)</f>
        <v>Product Missing</v>
      </c>
      <c r="H1700" s="7" t="str">
        <f>_xlfn.XLOOKUP(C1700,Products!A1700:A2199,Products!C1700:C2199,"Category Missing",0)</f>
        <v>Category Missing</v>
      </c>
      <c r="I1700" s="11" t="str">
        <f>_xlfn.XLOOKUP(Orders!C1700,Products!A1700:A2199,Products!D1700:D2199,"Price Missing",0)</f>
        <v>Price Missing</v>
      </c>
      <c r="J1700" s="19">
        <f t="shared" si="26"/>
        <v>0</v>
      </c>
    </row>
    <row r="1701" spans="1:10" x14ac:dyDescent="0.35">
      <c r="A1701" s="4" t="s">
        <v>5721</v>
      </c>
      <c r="B1701" s="7" t="s">
        <v>1526</v>
      </c>
      <c r="C1701" s="7" t="s">
        <v>3058</v>
      </c>
      <c r="D1701" s="5">
        <v>7</v>
      </c>
      <c r="E1701" s="7" t="str">
        <f>_xlfn.XLOOKUP(B1701,Customers!A1701:A2700,Customers!B1701:B2700,"Customer Not Found",0)</f>
        <v>Customer Not Found</v>
      </c>
      <c r="F1701" s="7" t="str">
        <f>_xlfn.XLOOKUP(Orders!B1701,Customers!A1701:A2700,Customers!C1701:C2700,"Country not Found",0)</f>
        <v>Country not Found</v>
      </c>
      <c r="G1701" s="7" t="str">
        <f>_xlfn.XLOOKUP(C1701,Products!A1701:A2200,Products!B1701:B2200,"Product Missing",0)</f>
        <v>Product Missing</v>
      </c>
      <c r="H1701" s="7" t="str">
        <f>_xlfn.XLOOKUP(C1701,Products!A1701:A2200,Products!C1701:C2200,"Category Missing",0)</f>
        <v>Category Missing</v>
      </c>
      <c r="I1701" s="11" t="str">
        <f>_xlfn.XLOOKUP(Orders!C1701,Products!A1701:A2200,Products!D1701:D2200,"Price Missing",0)</f>
        <v>Price Missing</v>
      </c>
      <c r="J1701" s="19">
        <f t="shared" si="26"/>
        <v>0</v>
      </c>
    </row>
    <row r="1702" spans="1:10" x14ac:dyDescent="0.35">
      <c r="A1702" s="4" t="s">
        <v>5722</v>
      </c>
      <c r="B1702" s="7" t="s">
        <v>971</v>
      </c>
      <c r="C1702" s="7" t="s">
        <v>3166</v>
      </c>
      <c r="D1702" s="5">
        <v>1</v>
      </c>
      <c r="E1702" s="7" t="str">
        <f>_xlfn.XLOOKUP(B1702,Customers!A1702:A2701,Customers!B1702:B2701,"Customer Not Found",0)</f>
        <v>Customer Not Found</v>
      </c>
      <c r="F1702" s="7" t="str">
        <f>_xlfn.XLOOKUP(Orders!B1702,Customers!A1702:A2701,Customers!C1702:C2701,"Country not Found",0)</f>
        <v>Country not Found</v>
      </c>
      <c r="G1702" s="7" t="str">
        <f>_xlfn.XLOOKUP(C1702,Products!A1702:A2201,Products!B1702:B2201,"Product Missing",0)</f>
        <v>Product Missing</v>
      </c>
      <c r="H1702" s="7" t="str">
        <f>_xlfn.XLOOKUP(C1702,Products!A1702:A2201,Products!C1702:C2201,"Category Missing",0)</f>
        <v>Category Missing</v>
      </c>
      <c r="I1702" s="11" t="str">
        <f>_xlfn.XLOOKUP(Orders!C1702,Products!A1702:A2201,Products!D1702:D2201,"Price Missing",0)</f>
        <v>Price Missing</v>
      </c>
      <c r="J1702" s="19">
        <f t="shared" si="26"/>
        <v>0</v>
      </c>
    </row>
    <row r="1703" spans="1:10" x14ac:dyDescent="0.35">
      <c r="A1703" s="4" t="s">
        <v>5723</v>
      </c>
      <c r="B1703" s="7" t="s">
        <v>932</v>
      </c>
      <c r="C1703" s="7" t="s">
        <v>3888</v>
      </c>
      <c r="D1703" s="5">
        <v>2</v>
      </c>
      <c r="E1703" s="7" t="str">
        <f>_xlfn.XLOOKUP(B1703,Customers!A1703:A2702,Customers!B1703:B2702,"Customer Not Found",0)</f>
        <v>Customer Not Found</v>
      </c>
      <c r="F1703" s="7" t="str">
        <f>_xlfn.XLOOKUP(Orders!B1703,Customers!A1703:A2702,Customers!C1703:C2702,"Country not Found",0)</f>
        <v>Country not Found</v>
      </c>
      <c r="G1703" s="7" t="str">
        <f>_xlfn.XLOOKUP(C1703,Products!A1703:A2202,Products!B1703:B2202,"Product Missing",0)</f>
        <v>Product Missing</v>
      </c>
      <c r="H1703" s="7" t="str">
        <f>_xlfn.XLOOKUP(C1703,Products!A1703:A2202,Products!C1703:C2202,"Category Missing",0)</f>
        <v>Category Missing</v>
      </c>
      <c r="I1703" s="11" t="str">
        <f>_xlfn.XLOOKUP(Orders!C1703,Products!A1703:A2202,Products!D1703:D2202,"Price Missing",0)</f>
        <v>Price Missing</v>
      </c>
      <c r="J1703" s="19">
        <f t="shared" si="26"/>
        <v>0</v>
      </c>
    </row>
    <row r="1704" spans="1:10" x14ac:dyDescent="0.35">
      <c r="A1704" s="4" t="s">
        <v>5724</v>
      </c>
      <c r="B1704" s="7" t="s">
        <v>1040</v>
      </c>
      <c r="C1704" s="7" t="s">
        <v>3478</v>
      </c>
      <c r="D1704" s="5">
        <v>7</v>
      </c>
      <c r="E1704" s="7" t="str">
        <f>_xlfn.XLOOKUP(B1704,Customers!A1704:A2703,Customers!B1704:B2703,"Customer Not Found",0)</f>
        <v>Customer Not Found</v>
      </c>
      <c r="F1704" s="7" t="str">
        <f>_xlfn.XLOOKUP(Orders!B1704,Customers!A1704:A2703,Customers!C1704:C2703,"Country not Found",0)</f>
        <v>Country not Found</v>
      </c>
      <c r="G1704" s="7" t="str">
        <f>_xlfn.XLOOKUP(C1704,Products!A1704:A2203,Products!B1704:B2203,"Product Missing",0)</f>
        <v>Product Missing</v>
      </c>
      <c r="H1704" s="7" t="str">
        <f>_xlfn.XLOOKUP(C1704,Products!A1704:A2203,Products!C1704:C2203,"Category Missing",0)</f>
        <v>Category Missing</v>
      </c>
      <c r="I1704" s="11" t="str">
        <f>_xlfn.XLOOKUP(Orders!C1704,Products!A1704:A2203,Products!D1704:D2203,"Price Missing",0)</f>
        <v>Price Missing</v>
      </c>
      <c r="J1704" s="19">
        <f t="shared" si="26"/>
        <v>0</v>
      </c>
    </row>
    <row r="1705" spans="1:10" x14ac:dyDescent="0.35">
      <c r="A1705" s="4" t="s">
        <v>5725</v>
      </c>
      <c r="B1705" s="7" t="s">
        <v>95</v>
      </c>
      <c r="C1705" s="7" t="s">
        <v>3406</v>
      </c>
      <c r="D1705" s="5">
        <v>9</v>
      </c>
      <c r="E1705" s="7" t="str">
        <f>_xlfn.XLOOKUP(B1705,Customers!A1705:A2704,Customers!B1705:B2704,"Customer Not Found",0)</f>
        <v>Customer Not Found</v>
      </c>
      <c r="F1705" s="7" t="str">
        <f>_xlfn.XLOOKUP(Orders!B1705,Customers!A1705:A2704,Customers!C1705:C2704,"Country not Found",0)</f>
        <v>Country not Found</v>
      </c>
      <c r="G1705" s="7" t="str">
        <f>_xlfn.XLOOKUP(C1705,Products!A1705:A2204,Products!B1705:B2204,"Product Missing",0)</f>
        <v>Product Missing</v>
      </c>
      <c r="H1705" s="7" t="str">
        <f>_xlfn.XLOOKUP(C1705,Products!A1705:A2204,Products!C1705:C2204,"Category Missing",0)</f>
        <v>Category Missing</v>
      </c>
      <c r="I1705" s="11" t="str">
        <f>_xlfn.XLOOKUP(Orders!C1705,Products!A1705:A2204,Products!D1705:D2204,"Price Missing",0)</f>
        <v>Price Missing</v>
      </c>
      <c r="J1705" s="19">
        <f t="shared" si="26"/>
        <v>0</v>
      </c>
    </row>
    <row r="1706" spans="1:10" x14ac:dyDescent="0.35">
      <c r="A1706" s="4" t="s">
        <v>5726</v>
      </c>
      <c r="B1706" s="7" t="s">
        <v>2909</v>
      </c>
      <c r="C1706" s="7" t="s">
        <v>3380</v>
      </c>
      <c r="D1706" s="5">
        <v>10</v>
      </c>
      <c r="E1706" s="7" t="str">
        <f>_xlfn.XLOOKUP(B1706,Customers!A1706:A2705,Customers!B1706:B2705,"Customer Not Found",0)</f>
        <v>Customer Not Found</v>
      </c>
      <c r="F1706" s="7" t="str">
        <f>_xlfn.XLOOKUP(Orders!B1706,Customers!A1706:A2705,Customers!C1706:C2705,"Country not Found",0)</f>
        <v>Country not Found</v>
      </c>
      <c r="G1706" s="7" t="str">
        <f>_xlfn.XLOOKUP(C1706,Products!A1706:A2205,Products!B1706:B2205,"Product Missing",0)</f>
        <v>Product Missing</v>
      </c>
      <c r="H1706" s="7" t="str">
        <f>_xlfn.XLOOKUP(C1706,Products!A1706:A2205,Products!C1706:C2205,"Category Missing",0)</f>
        <v>Category Missing</v>
      </c>
      <c r="I1706" s="11" t="str">
        <f>_xlfn.XLOOKUP(Orders!C1706,Products!A1706:A2205,Products!D1706:D2205,"Price Missing",0)</f>
        <v>Price Missing</v>
      </c>
      <c r="J1706" s="19">
        <f t="shared" si="26"/>
        <v>0</v>
      </c>
    </row>
    <row r="1707" spans="1:10" x14ac:dyDescent="0.35">
      <c r="A1707" s="4" t="s">
        <v>5727</v>
      </c>
      <c r="B1707" s="7" t="s">
        <v>1307</v>
      </c>
      <c r="C1707" s="7" t="s">
        <v>3412</v>
      </c>
      <c r="D1707" s="5">
        <v>5</v>
      </c>
      <c r="E1707" s="7" t="str">
        <f>_xlfn.XLOOKUP(B1707,Customers!A1707:A2706,Customers!B1707:B2706,"Customer Not Found",0)</f>
        <v>Customer Not Found</v>
      </c>
      <c r="F1707" s="7" t="str">
        <f>_xlfn.XLOOKUP(Orders!B1707,Customers!A1707:A2706,Customers!C1707:C2706,"Country not Found",0)</f>
        <v>Country not Found</v>
      </c>
      <c r="G1707" s="7" t="str">
        <f>_xlfn.XLOOKUP(C1707,Products!A1707:A2206,Products!B1707:B2206,"Product Missing",0)</f>
        <v>Product Missing</v>
      </c>
      <c r="H1707" s="7" t="str">
        <f>_xlfn.XLOOKUP(C1707,Products!A1707:A2206,Products!C1707:C2206,"Category Missing",0)</f>
        <v>Category Missing</v>
      </c>
      <c r="I1707" s="11" t="str">
        <f>_xlfn.XLOOKUP(Orders!C1707,Products!A1707:A2206,Products!D1707:D2206,"Price Missing",0)</f>
        <v>Price Missing</v>
      </c>
      <c r="J1707" s="19">
        <f t="shared" si="26"/>
        <v>0</v>
      </c>
    </row>
    <row r="1708" spans="1:10" x14ac:dyDescent="0.35">
      <c r="A1708" s="4" t="s">
        <v>5728</v>
      </c>
      <c r="B1708" s="7" t="s">
        <v>1484</v>
      </c>
      <c r="C1708" s="7" t="s">
        <v>3140</v>
      </c>
      <c r="D1708" s="5">
        <v>4</v>
      </c>
      <c r="E1708" s="7" t="str">
        <f>_xlfn.XLOOKUP(B1708,Customers!A1708:A2707,Customers!B1708:B2707,"Customer Not Found",0)</f>
        <v>Customer Not Found</v>
      </c>
      <c r="F1708" s="7" t="str">
        <f>_xlfn.XLOOKUP(Orders!B1708,Customers!A1708:A2707,Customers!C1708:C2707,"Country not Found",0)</f>
        <v>Country not Found</v>
      </c>
      <c r="G1708" s="7" t="str">
        <f>_xlfn.XLOOKUP(C1708,Products!A1708:A2207,Products!B1708:B2207,"Product Missing",0)</f>
        <v>Product Missing</v>
      </c>
      <c r="H1708" s="7" t="str">
        <f>_xlfn.XLOOKUP(C1708,Products!A1708:A2207,Products!C1708:C2207,"Category Missing",0)</f>
        <v>Category Missing</v>
      </c>
      <c r="I1708" s="11" t="str">
        <f>_xlfn.XLOOKUP(Orders!C1708,Products!A1708:A2207,Products!D1708:D2207,"Price Missing",0)</f>
        <v>Price Missing</v>
      </c>
      <c r="J1708" s="19">
        <f t="shared" si="26"/>
        <v>0</v>
      </c>
    </row>
    <row r="1709" spans="1:10" x14ac:dyDescent="0.35">
      <c r="A1709" s="4" t="s">
        <v>5729</v>
      </c>
      <c r="B1709" s="7" t="s">
        <v>2300</v>
      </c>
      <c r="C1709" s="7" t="s">
        <v>3258</v>
      </c>
      <c r="D1709" s="5">
        <v>4</v>
      </c>
      <c r="E1709" s="7" t="str">
        <f>_xlfn.XLOOKUP(B1709,Customers!A1709:A2708,Customers!B1709:B2708,"Customer Not Found",0)</f>
        <v>Customer Not Found</v>
      </c>
      <c r="F1709" s="7" t="str">
        <f>_xlfn.XLOOKUP(Orders!B1709,Customers!A1709:A2708,Customers!C1709:C2708,"Country not Found",0)</f>
        <v>Country not Found</v>
      </c>
      <c r="G1709" s="7" t="str">
        <f>_xlfn.XLOOKUP(C1709,Products!A1709:A2208,Products!B1709:B2208,"Product Missing",0)</f>
        <v>Product Missing</v>
      </c>
      <c r="H1709" s="7" t="str">
        <f>_xlfn.XLOOKUP(C1709,Products!A1709:A2208,Products!C1709:C2208,"Category Missing",0)</f>
        <v>Category Missing</v>
      </c>
      <c r="I1709" s="11" t="str">
        <f>_xlfn.XLOOKUP(Orders!C1709,Products!A1709:A2208,Products!D1709:D2208,"Price Missing",0)</f>
        <v>Price Missing</v>
      </c>
      <c r="J1709" s="19">
        <f t="shared" si="26"/>
        <v>0</v>
      </c>
    </row>
    <row r="1710" spans="1:10" x14ac:dyDescent="0.35">
      <c r="A1710" s="4" t="s">
        <v>5730</v>
      </c>
      <c r="B1710" s="7" t="s">
        <v>1997</v>
      </c>
      <c r="C1710" s="7" t="s">
        <v>3302</v>
      </c>
      <c r="D1710" s="5">
        <v>10</v>
      </c>
      <c r="E1710" s="7" t="str">
        <f>_xlfn.XLOOKUP(B1710,Customers!A1710:A2709,Customers!B1710:B2709,"Customer Not Found",0)</f>
        <v>Customer Not Found</v>
      </c>
      <c r="F1710" s="7" t="str">
        <f>_xlfn.XLOOKUP(Orders!B1710,Customers!A1710:A2709,Customers!C1710:C2709,"Country not Found",0)</f>
        <v>Country not Found</v>
      </c>
      <c r="G1710" s="7" t="str">
        <f>_xlfn.XLOOKUP(C1710,Products!A1710:A2209,Products!B1710:B2209,"Product Missing",0)</f>
        <v>Product Missing</v>
      </c>
      <c r="H1710" s="7" t="str">
        <f>_xlfn.XLOOKUP(C1710,Products!A1710:A2209,Products!C1710:C2209,"Category Missing",0)</f>
        <v>Category Missing</v>
      </c>
      <c r="I1710" s="11" t="str">
        <f>_xlfn.XLOOKUP(Orders!C1710,Products!A1710:A2209,Products!D1710:D2209,"Price Missing",0)</f>
        <v>Price Missing</v>
      </c>
      <c r="J1710" s="19">
        <f t="shared" si="26"/>
        <v>0</v>
      </c>
    </row>
    <row r="1711" spans="1:10" x14ac:dyDescent="0.35">
      <c r="A1711" s="4" t="s">
        <v>5731</v>
      </c>
      <c r="B1711" s="7" t="s">
        <v>2789</v>
      </c>
      <c r="C1711" s="7" t="s">
        <v>3842</v>
      </c>
      <c r="D1711" s="5">
        <v>6</v>
      </c>
      <c r="E1711" s="7" t="str">
        <f>_xlfn.XLOOKUP(B1711,Customers!A1711:A2710,Customers!B1711:B2710,"Customer Not Found",0)</f>
        <v>Customer Not Found</v>
      </c>
      <c r="F1711" s="7" t="str">
        <f>_xlfn.XLOOKUP(Orders!B1711,Customers!A1711:A2710,Customers!C1711:C2710,"Country not Found",0)</f>
        <v>Country not Found</v>
      </c>
      <c r="G1711" s="7" t="str">
        <f>_xlfn.XLOOKUP(C1711,Products!A1711:A2210,Products!B1711:B2210,"Product Missing",0)</f>
        <v>Product Missing</v>
      </c>
      <c r="H1711" s="7" t="str">
        <f>_xlfn.XLOOKUP(C1711,Products!A1711:A2210,Products!C1711:C2210,"Category Missing",0)</f>
        <v>Category Missing</v>
      </c>
      <c r="I1711" s="11" t="str">
        <f>_xlfn.XLOOKUP(Orders!C1711,Products!A1711:A2210,Products!D1711:D2210,"Price Missing",0)</f>
        <v>Price Missing</v>
      </c>
      <c r="J1711" s="19">
        <f t="shared" si="26"/>
        <v>0</v>
      </c>
    </row>
    <row r="1712" spans="1:10" x14ac:dyDescent="0.35">
      <c r="A1712" s="4" t="s">
        <v>5732</v>
      </c>
      <c r="B1712" s="7" t="s">
        <v>1505</v>
      </c>
      <c r="C1712" s="7" t="s">
        <v>3378</v>
      </c>
      <c r="D1712" s="5">
        <v>5</v>
      </c>
      <c r="E1712" s="7" t="str">
        <f>_xlfn.XLOOKUP(B1712,Customers!A1712:A2711,Customers!B1712:B2711,"Customer Not Found",0)</f>
        <v>Customer Not Found</v>
      </c>
      <c r="F1712" s="7" t="str">
        <f>_xlfn.XLOOKUP(Orders!B1712,Customers!A1712:A2711,Customers!C1712:C2711,"Country not Found",0)</f>
        <v>Country not Found</v>
      </c>
      <c r="G1712" s="7" t="str">
        <f>_xlfn.XLOOKUP(C1712,Products!A1712:A2211,Products!B1712:B2211,"Product Missing",0)</f>
        <v>Product Missing</v>
      </c>
      <c r="H1712" s="7" t="str">
        <f>_xlfn.XLOOKUP(C1712,Products!A1712:A2211,Products!C1712:C2211,"Category Missing",0)</f>
        <v>Category Missing</v>
      </c>
      <c r="I1712" s="11" t="str">
        <f>_xlfn.XLOOKUP(Orders!C1712,Products!A1712:A2211,Products!D1712:D2211,"Price Missing",0)</f>
        <v>Price Missing</v>
      </c>
      <c r="J1712" s="19">
        <f t="shared" si="26"/>
        <v>0</v>
      </c>
    </row>
    <row r="1713" spans="1:10" x14ac:dyDescent="0.35">
      <c r="A1713" s="4" t="s">
        <v>5733</v>
      </c>
      <c r="B1713" s="7" t="s">
        <v>1544</v>
      </c>
      <c r="C1713" s="7" t="s">
        <v>3560</v>
      </c>
      <c r="D1713" s="5">
        <v>2</v>
      </c>
      <c r="E1713" s="7" t="str">
        <f>_xlfn.XLOOKUP(B1713,Customers!A1713:A2712,Customers!B1713:B2712,"Customer Not Found",0)</f>
        <v>Customer Not Found</v>
      </c>
      <c r="F1713" s="7" t="str">
        <f>_xlfn.XLOOKUP(Orders!B1713,Customers!A1713:A2712,Customers!C1713:C2712,"Country not Found",0)</f>
        <v>Country not Found</v>
      </c>
      <c r="G1713" s="7" t="str">
        <f>_xlfn.XLOOKUP(C1713,Products!A1713:A2212,Products!B1713:B2212,"Product Missing",0)</f>
        <v>Product Missing</v>
      </c>
      <c r="H1713" s="7" t="str">
        <f>_xlfn.XLOOKUP(C1713,Products!A1713:A2212,Products!C1713:C2212,"Category Missing",0)</f>
        <v>Category Missing</v>
      </c>
      <c r="I1713" s="11" t="str">
        <f>_xlfn.XLOOKUP(Orders!C1713,Products!A1713:A2212,Products!D1713:D2212,"Price Missing",0)</f>
        <v>Price Missing</v>
      </c>
      <c r="J1713" s="19">
        <f t="shared" si="26"/>
        <v>0</v>
      </c>
    </row>
    <row r="1714" spans="1:10" x14ac:dyDescent="0.35">
      <c r="A1714" s="4" t="s">
        <v>5734</v>
      </c>
      <c r="B1714" s="7" t="s">
        <v>1424</v>
      </c>
      <c r="C1714" s="7" t="s">
        <v>3984</v>
      </c>
      <c r="D1714" s="5">
        <v>10</v>
      </c>
      <c r="E1714" s="7" t="str">
        <f>_xlfn.XLOOKUP(B1714,Customers!A1714:A2713,Customers!B1714:B2713,"Customer Not Found",0)</f>
        <v>Customer Not Found</v>
      </c>
      <c r="F1714" s="7" t="str">
        <f>_xlfn.XLOOKUP(Orders!B1714,Customers!A1714:A2713,Customers!C1714:C2713,"Country not Found",0)</f>
        <v>Country not Found</v>
      </c>
      <c r="G1714" s="7" t="str">
        <f>_xlfn.XLOOKUP(C1714,Products!A1714:A2213,Products!B1714:B2213,"Product Missing",0)</f>
        <v>Product Missing</v>
      </c>
      <c r="H1714" s="7" t="str">
        <f>_xlfn.XLOOKUP(C1714,Products!A1714:A2213,Products!C1714:C2213,"Category Missing",0)</f>
        <v>Category Missing</v>
      </c>
      <c r="I1714" s="11" t="str">
        <f>_xlfn.XLOOKUP(Orders!C1714,Products!A1714:A2213,Products!D1714:D2213,"Price Missing",0)</f>
        <v>Price Missing</v>
      </c>
      <c r="J1714" s="19">
        <f t="shared" si="26"/>
        <v>0</v>
      </c>
    </row>
    <row r="1715" spans="1:10" x14ac:dyDescent="0.35">
      <c r="A1715" s="4" t="s">
        <v>5735</v>
      </c>
      <c r="B1715" s="7" t="s">
        <v>2795</v>
      </c>
      <c r="C1715" s="7" t="s">
        <v>3414</v>
      </c>
      <c r="D1715" s="5">
        <v>1</v>
      </c>
      <c r="E1715" s="7" t="str">
        <f>_xlfn.XLOOKUP(B1715,Customers!A1715:A2714,Customers!B1715:B2714,"Customer Not Found",0)</f>
        <v>Customer Not Found</v>
      </c>
      <c r="F1715" s="7" t="str">
        <f>_xlfn.XLOOKUP(Orders!B1715,Customers!A1715:A2714,Customers!C1715:C2714,"Country not Found",0)</f>
        <v>Country not Found</v>
      </c>
      <c r="G1715" s="7" t="str">
        <f>_xlfn.XLOOKUP(C1715,Products!A1715:A2214,Products!B1715:B2214,"Product Missing",0)</f>
        <v>Product Missing</v>
      </c>
      <c r="H1715" s="7" t="str">
        <f>_xlfn.XLOOKUP(C1715,Products!A1715:A2214,Products!C1715:C2214,"Category Missing",0)</f>
        <v>Category Missing</v>
      </c>
      <c r="I1715" s="11" t="str">
        <f>_xlfn.XLOOKUP(Orders!C1715,Products!A1715:A2214,Products!D1715:D2214,"Price Missing",0)</f>
        <v>Price Missing</v>
      </c>
      <c r="J1715" s="19">
        <f t="shared" si="26"/>
        <v>0</v>
      </c>
    </row>
    <row r="1716" spans="1:10" x14ac:dyDescent="0.35">
      <c r="A1716" s="4" t="s">
        <v>5736</v>
      </c>
      <c r="B1716" s="7" t="s">
        <v>2501</v>
      </c>
      <c r="C1716" s="7" t="s">
        <v>3822</v>
      </c>
      <c r="D1716" s="5">
        <v>8</v>
      </c>
      <c r="E1716" s="7" t="str">
        <f>_xlfn.XLOOKUP(B1716,Customers!A1716:A2715,Customers!B1716:B2715,"Customer Not Found",0)</f>
        <v>Customer Not Found</v>
      </c>
      <c r="F1716" s="7" t="str">
        <f>_xlfn.XLOOKUP(Orders!B1716,Customers!A1716:A2715,Customers!C1716:C2715,"Country not Found",0)</f>
        <v>Country not Found</v>
      </c>
      <c r="G1716" s="7" t="str">
        <f>_xlfn.XLOOKUP(C1716,Products!A1716:A2215,Products!B1716:B2215,"Product Missing",0)</f>
        <v>Product Missing</v>
      </c>
      <c r="H1716" s="7" t="str">
        <f>_xlfn.XLOOKUP(C1716,Products!A1716:A2215,Products!C1716:C2215,"Category Missing",0)</f>
        <v>Category Missing</v>
      </c>
      <c r="I1716" s="11" t="str">
        <f>_xlfn.XLOOKUP(Orders!C1716,Products!A1716:A2215,Products!D1716:D2215,"Price Missing",0)</f>
        <v>Price Missing</v>
      </c>
      <c r="J1716" s="19">
        <f t="shared" si="26"/>
        <v>0</v>
      </c>
    </row>
    <row r="1717" spans="1:10" x14ac:dyDescent="0.35">
      <c r="A1717" s="4" t="s">
        <v>5737</v>
      </c>
      <c r="B1717" s="7" t="s">
        <v>1787</v>
      </c>
      <c r="C1717" s="7" t="s">
        <v>3080</v>
      </c>
      <c r="D1717" s="5">
        <v>7</v>
      </c>
      <c r="E1717" s="7" t="str">
        <f>_xlfn.XLOOKUP(B1717,Customers!A1717:A2716,Customers!B1717:B2716,"Customer Not Found",0)</f>
        <v>Customer Not Found</v>
      </c>
      <c r="F1717" s="7" t="str">
        <f>_xlfn.XLOOKUP(Orders!B1717,Customers!A1717:A2716,Customers!C1717:C2716,"Country not Found",0)</f>
        <v>Country not Found</v>
      </c>
      <c r="G1717" s="7" t="str">
        <f>_xlfn.XLOOKUP(C1717,Products!A1717:A2216,Products!B1717:B2216,"Product Missing",0)</f>
        <v>Product Missing</v>
      </c>
      <c r="H1717" s="7" t="str">
        <f>_xlfn.XLOOKUP(C1717,Products!A1717:A2216,Products!C1717:C2216,"Category Missing",0)</f>
        <v>Category Missing</v>
      </c>
      <c r="I1717" s="11" t="str">
        <f>_xlfn.XLOOKUP(Orders!C1717,Products!A1717:A2216,Products!D1717:D2216,"Price Missing",0)</f>
        <v>Price Missing</v>
      </c>
      <c r="J1717" s="19">
        <f t="shared" si="26"/>
        <v>0</v>
      </c>
    </row>
    <row r="1718" spans="1:10" x14ac:dyDescent="0.35">
      <c r="A1718" s="4" t="s">
        <v>5738</v>
      </c>
      <c r="B1718" s="7" t="s">
        <v>2228</v>
      </c>
      <c r="C1718" s="7" t="s">
        <v>3268</v>
      </c>
      <c r="D1718" s="5">
        <v>4</v>
      </c>
      <c r="E1718" s="7" t="str">
        <f>_xlfn.XLOOKUP(B1718,Customers!A1718:A2717,Customers!B1718:B2717,"Customer Not Found",0)</f>
        <v>Customer Not Found</v>
      </c>
      <c r="F1718" s="7" t="str">
        <f>_xlfn.XLOOKUP(Orders!B1718,Customers!A1718:A2717,Customers!C1718:C2717,"Country not Found",0)</f>
        <v>Country not Found</v>
      </c>
      <c r="G1718" s="7" t="str">
        <f>_xlfn.XLOOKUP(C1718,Products!A1718:A2217,Products!B1718:B2217,"Product Missing",0)</f>
        <v>Product Missing</v>
      </c>
      <c r="H1718" s="7" t="str">
        <f>_xlfn.XLOOKUP(C1718,Products!A1718:A2217,Products!C1718:C2217,"Category Missing",0)</f>
        <v>Category Missing</v>
      </c>
      <c r="I1718" s="11" t="str">
        <f>_xlfn.XLOOKUP(Orders!C1718,Products!A1718:A2217,Products!D1718:D2217,"Price Missing",0)</f>
        <v>Price Missing</v>
      </c>
      <c r="J1718" s="19">
        <f t="shared" si="26"/>
        <v>0</v>
      </c>
    </row>
    <row r="1719" spans="1:10" x14ac:dyDescent="0.35">
      <c r="A1719" s="4" t="s">
        <v>5739</v>
      </c>
      <c r="B1719" s="7" t="s">
        <v>2948</v>
      </c>
      <c r="C1719" s="7" t="s">
        <v>3294</v>
      </c>
      <c r="D1719" s="5">
        <v>2</v>
      </c>
      <c r="E1719" s="7" t="str">
        <f>_xlfn.XLOOKUP(B1719,Customers!A1719:A2718,Customers!B1719:B2718,"Customer Not Found",0)</f>
        <v>Customer Not Found</v>
      </c>
      <c r="F1719" s="7" t="str">
        <f>_xlfn.XLOOKUP(Orders!B1719,Customers!A1719:A2718,Customers!C1719:C2718,"Country not Found",0)</f>
        <v>Country not Found</v>
      </c>
      <c r="G1719" s="7" t="str">
        <f>_xlfn.XLOOKUP(C1719,Products!A1719:A2218,Products!B1719:B2218,"Product Missing",0)</f>
        <v>Product Missing</v>
      </c>
      <c r="H1719" s="7" t="str">
        <f>_xlfn.XLOOKUP(C1719,Products!A1719:A2218,Products!C1719:C2218,"Category Missing",0)</f>
        <v>Category Missing</v>
      </c>
      <c r="I1719" s="11" t="str">
        <f>_xlfn.XLOOKUP(Orders!C1719,Products!A1719:A2218,Products!D1719:D2218,"Price Missing",0)</f>
        <v>Price Missing</v>
      </c>
      <c r="J1719" s="19">
        <f t="shared" si="26"/>
        <v>0</v>
      </c>
    </row>
    <row r="1720" spans="1:10" x14ac:dyDescent="0.35">
      <c r="A1720" s="4" t="s">
        <v>5740</v>
      </c>
      <c r="B1720" s="7" t="s">
        <v>1511</v>
      </c>
      <c r="C1720" s="7" t="s">
        <v>3234</v>
      </c>
      <c r="D1720" s="5">
        <v>5</v>
      </c>
      <c r="E1720" s="7" t="str">
        <f>_xlfn.XLOOKUP(B1720,Customers!A1720:A2719,Customers!B1720:B2719,"Customer Not Found",0)</f>
        <v>Customer Not Found</v>
      </c>
      <c r="F1720" s="7" t="str">
        <f>_xlfn.XLOOKUP(Orders!B1720,Customers!A1720:A2719,Customers!C1720:C2719,"Country not Found",0)</f>
        <v>Country not Found</v>
      </c>
      <c r="G1720" s="7" t="str">
        <f>_xlfn.XLOOKUP(C1720,Products!A1720:A2219,Products!B1720:B2219,"Product Missing",0)</f>
        <v>Product Missing</v>
      </c>
      <c r="H1720" s="7" t="str">
        <f>_xlfn.XLOOKUP(C1720,Products!A1720:A2219,Products!C1720:C2219,"Category Missing",0)</f>
        <v>Category Missing</v>
      </c>
      <c r="I1720" s="11" t="str">
        <f>_xlfn.XLOOKUP(Orders!C1720,Products!A1720:A2219,Products!D1720:D2219,"Price Missing",0)</f>
        <v>Price Missing</v>
      </c>
      <c r="J1720" s="19">
        <f t="shared" si="26"/>
        <v>0</v>
      </c>
    </row>
    <row r="1721" spans="1:10" x14ac:dyDescent="0.35">
      <c r="A1721" s="4" t="s">
        <v>5741</v>
      </c>
      <c r="B1721" s="7" t="s">
        <v>413</v>
      </c>
      <c r="C1721" s="7" t="s">
        <v>3940</v>
      </c>
      <c r="D1721" s="5">
        <v>1</v>
      </c>
      <c r="E1721" s="7" t="str">
        <f>_xlfn.XLOOKUP(B1721,Customers!A1721:A2720,Customers!B1721:B2720,"Customer Not Found",0)</f>
        <v>Customer Not Found</v>
      </c>
      <c r="F1721" s="7" t="str">
        <f>_xlfn.XLOOKUP(Orders!B1721,Customers!A1721:A2720,Customers!C1721:C2720,"Country not Found",0)</f>
        <v>Country not Found</v>
      </c>
      <c r="G1721" s="7" t="str">
        <f>_xlfn.XLOOKUP(C1721,Products!A1721:A2220,Products!B1721:B2220,"Product Missing",0)</f>
        <v>Product Missing</v>
      </c>
      <c r="H1721" s="7" t="str">
        <f>_xlfn.XLOOKUP(C1721,Products!A1721:A2220,Products!C1721:C2220,"Category Missing",0)</f>
        <v>Category Missing</v>
      </c>
      <c r="I1721" s="11" t="str">
        <f>_xlfn.XLOOKUP(Orders!C1721,Products!A1721:A2220,Products!D1721:D2220,"Price Missing",0)</f>
        <v>Price Missing</v>
      </c>
      <c r="J1721" s="19">
        <f t="shared" si="26"/>
        <v>0</v>
      </c>
    </row>
    <row r="1722" spans="1:10" x14ac:dyDescent="0.35">
      <c r="A1722" s="4" t="s">
        <v>5742</v>
      </c>
      <c r="B1722" s="7" t="s">
        <v>812</v>
      </c>
      <c r="C1722" s="7" t="s">
        <v>3912</v>
      </c>
      <c r="D1722" s="5">
        <v>5</v>
      </c>
      <c r="E1722" s="7" t="str">
        <f>_xlfn.XLOOKUP(B1722,Customers!A1722:A2721,Customers!B1722:B2721,"Customer Not Found",0)</f>
        <v>Customer Not Found</v>
      </c>
      <c r="F1722" s="7" t="str">
        <f>_xlfn.XLOOKUP(Orders!B1722,Customers!A1722:A2721,Customers!C1722:C2721,"Country not Found",0)</f>
        <v>Country not Found</v>
      </c>
      <c r="G1722" s="7" t="str">
        <f>_xlfn.XLOOKUP(C1722,Products!A1722:A2221,Products!B1722:B2221,"Product Missing",0)</f>
        <v>Product Missing</v>
      </c>
      <c r="H1722" s="7" t="str">
        <f>_xlfn.XLOOKUP(C1722,Products!A1722:A2221,Products!C1722:C2221,"Category Missing",0)</f>
        <v>Category Missing</v>
      </c>
      <c r="I1722" s="11" t="str">
        <f>_xlfn.XLOOKUP(Orders!C1722,Products!A1722:A2221,Products!D1722:D2221,"Price Missing",0)</f>
        <v>Price Missing</v>
      </c>
      <c r="J1722" s="19">
        <f t="shared" si="26"/>
        <v>0</v>
      </c>
    </row>
    <row r="1723" spans="1:10" x14ac:dyDescent="0.35">
      <c r="A1723" s="4" t="s">
        <v>5743</v>
      </c>
      <c r="B1723" s="7" t="s">
        <v>2123</v>
      </c>
      <c r="C1723" s="7" t="s">
        <v>3324</v>
      </c>
      <c r="D1723" s="5">
        <v>3</v>
      </c>
      <c r="E1723" s="7" t="str">
        <f>_xlfn.XLOOKUP(B1723,Customers!A1723:A2722,Customers!B1723:B2722,"Customer Not Found",0)</f>
        <v>Customer Not Found</v>
      </c>
      <c r="F1723" s="7" t="str">
        <f>_xlfn.XLOOKUP(Orders!B1723,Customers!A1723:A2722,Customers!C1723:C2722,"Country not Found",0)</f>
        <v>Country not Found</v>
      </c>
      <c r="G1723" s="7" t="str">
        <f>_xlfn.XLOOKUP(C1723,Products!A1723:A2222,Products!B1723:B2222,"Product Missing",0)</f>
        <v>Product Missing</v>
      </c>
      <c r="H1723" s="7" t="str">
        <f>_xlfn.XLOOKUP(C1723,Products!A1723:A2222,Products!C1723:C2222,"Category Missing",0)</f>
        <v>Category Missing</v>
      </c>
      <c r="I1723" s="11" t="str">
        <f>_xlfn.XLOOKUP(Orders!C1723,Products!A1723:A2222,Products!D1723:D2222,"Price Missing",0)</f>
        <v>Price Missing</v>
      </c>
      <c r="J1723" s="19">
        <f t="shared" si="26"/>
        <v>0</v>
      </c>
    </row>
    <row r="1724" spans="1:10" x14ac:dyDescent="0.35">
      <c r="A1724" s="4" t="s">
        <v>5744</v>
      </c>
      <c r="B1724" s="7" t="s">
        <v>491</v>
      </c>
      <c r="C1724" s="7" t="s">
        <v>3214</v>
      </c>
      <c r="D1724" s="5">
        <v>10</v>
      </c>
      <c r="E1724" s="7" t="str">
        <f>_xlfn.XLOOKUP(B1724,Customers!A1724:A2723,Customers!B1724:B2723,"Customer Not Found",0)</f>
        <v>Customer Not Found</v>
      </c>
      <c r="F1724" s="7" t="str">
        <f>_xlfn.XLOOKUP(Orders!B1724,Customers!A1724:A2723,Customers!C1724:C2723,"Country not Found",0)</f>
        <v>Country not Found</v>
      </c>
      <c r="G1724" s="7" t="str">
        <f>_xlfn.XLOOKUP(C1724,Products!A1724:A2223,Products!B1724:B2223,"Product Missing",0)</f>
        <v>Product Missing</v>
      </c>
      <c r="H1724" s="7" t="str">
        <f>_xlfn.XLOOKUP(C1724,Products!A1724:A2223,Products!C1724:C2223,"Category Missing",0)</f>
        <v>Category Missing</v>
      </c>
      <c r="I1724" s="11" t="str">
        <f>_xlfn.XLOOKUP(Orders!C1724,Products!A1724:A2223,Products!D1724:D2223,"Price Missing",0)</f>
        <v>Price Missing</v>
      </c>
      <c r="J1724" s="19">
        <f t="shared" si="26"/>
        <v>0</v>
      </c>
    </row>
    <row r="1725" spans="1:10" x14ac:dyDescent="0.35">
      <c r="A1725" s="4" t="s">
        <v>5745</v>
      </c>
      <c r="B1725" s="7" t="s">
        <v>764</v>
      </c>
      <c r="C1725" s="7" t="s">
        <v>3906</v>
      </c>
      <c r="D1725" s="5">
        <v>6</v>
      </c>
      <c r="E1725" s="7" t="str">
        <f>_xlfn.XLOOKUP(B1725,Customers!A1725:A2724,Customers!B1725:B2724,"Customer Not Found",0)</f>
        <v>Customer Not Found</v>
      </c>
      <c r="F1725" s="7" t="str">
        <f>_xlfn.XLOOKUP(Orders!B1725,Customers!A1725:A2724,Customers!C1725:C2724,"Country not Found",0)</f>
        <v>Country not Found</v>
      </c>
      <c r="G1725" s="7" t="str">
        <f>_xlfn.XLOOKUP(C1725,Products!A1725:A2224,Products!B1725:B2224,"Product Missing",0)</f>
        <v>Product Missing</v>
      </c>
      <c r="H1725" s="7" t="str">
        <f>_xlfn.XLOOKUP(C1725,Products!A1725:A2224,Products!C1725:C2224,"Category Missing",0)</f>
        <v>Category Missing</v>
      </c>
      <c r="I1725" s="11" t="str">
        <f>_xlfn.XLOOKUP(Orders!C1725,Products!A1725:A2224,Products!D1725:D2224,"Price Missing",0)</f>
        <v>Price Missing</v>
      </c>
      <c r="J1725" s="19">
        <f t="shared" si="26"/>
        <v>0</v>
      </c>
    </row>
    <row r="1726" spans="1:10" x14ac:dyDescent="0.35">
      <c r="A1726" s="4" t="s">
        <v>5746</v>
      </c>
      <c r="B1726" s="7" t="s">
        <v>1334</v>
      </c>
      <c r="C1726" s="7" t="s">
        <v>3450</v>
      </c>
      <c r="D1726" s="5">
        <v>10</v>
      </c>
      <c r="E1726" s="7" t="str">
        <f>_xlfn.XLOOKUP(B1726,Customers!A1726:A2725,Customers!B1726:B2725,"Customer Not Found",0)</f>
        <v>Customer Not Found</v>
      </c>
      <c r="F1726" s="7" t="str">
        <f>_xlfn.XLOOKUP(Orders!B1726,Customers!A1726:A2725,Customers!C1726:C2725,"Country not Found",0)</f>
        <v>Country not Found</v>
      </c>
      <c r="G1726" s="7" t="str">
        <f>_xlfn.XLOOKUP(C1726,Products!A1726:A2225,Products!B1726:B2225,"Product Missing",0)</f>
        <v>Product Missing</v>
      </c>
      <c r="H1726" s="7" t="str">
        <f>_xlfn.XLOOKUP(C1726,Products!A1726:A2225,Products!C1726:C2225,"Category Missing",0)</f>
        <v>Category Missing</v>
      </c>
      <c r="I1726" s="11" t="str">
        <f>_xlfn.XLOOKUP(Orders!C1726,Products!A1726:A2225,Products!D1726:D2225,"Price Missing",0)</f>
        <v>Price Missing</v>
      </c>
      <c r="J1726" s="19">
        <f t="shared" si="26"/>
        <v>0</v>
      </c>
    </row>
    <row r="1727" spans="1:10" x14ac:dyDescent="0.35">
      <c r="A1727" s="4" t="s">
        <v>5747</v>
      </c>
      <c r="B1727" s="7" t="s">
        <v>323</v>
      </c>
      <c r="C1727" s="7" t="s">
        <v>3660</v>
      </c>
      <c r="D1727" s="5">
        <v>6</v>
      </c>
      <c r="E1727" s="7" t="str">
        <f>_xlfn.XLOOKUP(B1727,Customers!A1727:A2726,Customers!B1727:B2726,"Customer Not Found",0)</f>
        <v>Customer Not Found</v>
      </c>
      <c r="F1727" s="7" t="str">
        <f>_xlfn.XLOOKUP(Orders!B1727,Customers!A1727:A2726,Customers!C1727:C2726,"Country not Found",0)</f>
        <v>Country not Found</v>
      </c>
      <c r="G1727" s="7" t="str">
        <f>_xlfn.XLOOKUP(C1727,Products!A1727:A2226,Products!B1727:B2226,"Product Missing",0)</f>
        <v>Product Missing</v>
      </c>
      <c r="H1727" s="7" t="str">
        <f>_xlfn.XLOOKUP(C1727,Products!A1727:A2226,Products!C1727:C2226,"Category Missing",0)</f>
        <v>Category Missing</v>
      </c>
      <c r="I1727" s="11" t="str">
        <f>_xlfn.XLOOKUP(Orders!C1727,Products!A1727:A2226,Products!D1727:D2226,"Price Missing",0)</f>
        <v>Price Missing</v>
      </c>
      <c r="J1727" s="19">
        <f t="shared" si="26"/>
        <v>0</v>
      </c>
    </row>
    <row r="1728" spans="1:10" x14ac:dyDescent="0.35">
      <c r="A1728" s="4" t="s">
        <v>5748</v>
      </c>
      <c r="B1728" s="7" t="s">
        <v>52</v>
      </c>
      <c r="C1728" s="7" t="s">
        <v>3164</v>
      </c>
      <c r="D1728" s="5">
        <v>8</v>
      </c>
      <c r="E1728" s="7" t="str">
        <f>_xlfn.XLOOKUP(B1728,Customers!A1728:A2727,Customers!B1728:B2727,"Customer Not Found",0)</f>
        <v>Customer Not Found</v>
      </c>
      <c r="F1728" s="7" t="str">
        <f>_xlfn.XLOOKUP(Orders!B1728,Customers!A1728:A2727,Customers!C1728:C2727,"Country not Found",0)</f>
        <v>Country not Found</v>
      </c>
      <c r="G1728" s="7" t="str">
        <f>_xlfn.XLOOKUP(C1728,Products!A1728:A2227,Products!B1728:B2227,"Product Missing",0)</f>
        <v>Product Missing</v>
      </c>
      <c r="H1728" s="7" t="str">
        <f>_xlfn.XLOOKUP(C1728,Products!A1728:A2227,Products!C1728:C2227,"Category Missing",0)</f>
        <v>Category Missing</v>
      </c>
      <c r="I1728" s="11" t="str">
        <f>_xlfn.XLOOKUP(Orders!C1728,Products!A1728:A2227,Products!D1728:D2227,"Price Missing",0)</f>
        <v>Price Missing</v>
      </c>
      <c r="J1728" s="19">
        <f t="shared" si="26"/>
        <v>0</v>
      </c>
    </row>
    <row r="1729" spans="1:10" x14ac:dyDescent="0.35">
      <c r="A1729" s="4" t="s">
        <v>5749</v>
      </c>
      <c r="B1729" s="7" t="s">
        <v>188</v>
      </c>
      <c r="C1729" s="7" t="s">
        <v>3622</v>
      </c>
      <c r="D1729" s="5">
        <v>5</v>
      </c>
      <c r="E1729" s="7" t="str">
        <f>_xlfn.XLOOKUP(B1729,Customers!A1729:A2728,Customers!B1729:B2728,"Customer Not Found",0)</f>
        <v>Customer Not Found</v>
      </c>
      <c r="F1729" s="7" t="str">
        <f>_xlfn.XLOOKUP(Orders!B1729,Customers!A1729:A2728,Customers!C1729:C2728,"Country not Found",0)</f>
        <v>Country not Found</v>
      </c>
      <c r="G1729" s="7" t="str">
        <f>_xlfn.XLOOKUP(C1729,Products!A1729:A2228,Products!B1729:B2228,"Product Missing",0)</f>
        <v>Product Missing</v>
      </c>
      <c r="H1729" s="7" t="str">
        <f>_xlfn.XLOOKUP(C1729,Products!A1729:A2228,Products!C1729:C2228,"Category Missing",0)</f>
        <v>Category Missing</v>
      </c>
      <c r="I1729" s="11" t="str">
        <f>_xlfn.XLOOKUP(Orders!C1729,Products!A1729:A2228,Products!D1729:D2228,"Price Missing",0)</f>
        <v>Price Missing</v>
      </c>
      <c r="J1729" s="19">
        <f t="shared" si="26"/>
        <v>0</v>
      </c>
    </row>
    <row r="1730" spans="1:10" x14ac:dyDescent="0.35">
      <c r="A1730" s="4" t="s">
        <v>5750</v>
      </c>
      <c r="B1730" s="7" t="s">
        <v>2822</v>
      </c>
      <c r="C1730" s="7" t="s">
        <v>3756</v>
      </c>
      <c r="D1730" s="5">
        <v>2</v>
      </c>
      <c r="E1730" s="7" t="str">
        <f>_xlfn.XLOOKUP(B1730,Customers!A1730:A2729,Customers!B1730:B2729,"Customer Not Found",0)</f>
        <v>Customer Not Found</v>
      </c>
      <c r="F1730" s="7" t="str">
        <f>_xlfn.XLOOKUP(Orders!B1730,Customers!A1730:A2729,Customers!C1730:C2729,"Country not Found",0)</f>
        <v>Country not Found</v>
      </c>
      <c r="G1730" s="7" t="str">
        <f>_xlfn.XLOOKUP(C1730,Products!A1730:A2229,Products!B1730:B2229,"Product Missing",0)</f>
        <v>Product Missing</v>
      </c>
      <c r="H1730" s="7" t="str">
        <f>_xlfn.XLOOKUP(C1730,Products!A1730:A2229,Products!C1730:C2229,"Category Missing",0)</f>
        <v>Category Missing</v>
      </c>
      <c r="I1730" s="11" t="str">
        <f>_xlfn.XLOOKUP(Orders!C1730,Products!A1730:A2229,Products!D1730:D2229,"Price Missing",0)</f>
        <v>Price Missing</v>
      </c>
      <c r="J1730" s="19">
        <f t="shared" si="26"/>
        <v>0</v>
      </c>
    </row>
    <row r="1731" spans="1:10" x14ac:dyDescent="0.35">
      <c r="A1731" s="4" t="s">
        <v>5751</v>
      </c>
      <c r="B1731" s="7" t="s">
        <v>779</v>
      </c>
      <c r="C1731" s="7" t="s">
        <v>3214</v>
      </c>
      <c r="D1731" s="5">
        <v>9</v>
      </c>
      <c r="E1731" s="7" t="str">
        <f>_xlfn.XLOOKUP(B1731,Customers!A1731:A2730,Customers!B1731:B2730,"Customer Not Found",0)</f>
        <v>Customer Not Found</v>
      </c>
      <c r="F1731" s="7" t="str">
        <f>_xlfn.XLOOKUP(Orders!B1731,Customers!A1731:A2730,Customers!C1731:C2730,"Country not Found",0)</f>
        <v>Country not Found</v>
      </c>
      <c r="G1731" s="7" t="str">
        <f>_xlfn.XLOOKUP(C1731,Products!A1731:A2230,Products!B1731:B2230,"Product Missing",0)</f>
        <v>Product Missing</v>
      </c>
      <c r="H1731" s="7" t="str">
        <f>_xlfn.XLOOKUP(C1731,Products!A1731:A2230,Products!C1731:C2230,"Category Missing",0)</f>
        <v>Category Missing</v>
      </c>
      <c r="I1731" s="11" t="str">
        <f>_xlfn.XLOOKUP(Orders!C1731,Products!A1731:A2230,Products!D1731:D2230,"Price Missing",0)</f>
        <v>Price Missing</v>
      </c>
      <c r="J1731" s="19">
        <f t="shared" ref="J1731:J1794" si="27">IFERROR(I1731*D1731,0)</f>
        <v>0</v>
      </c>
    </row>
    <row r="1732" spans="1:10" x14ac:dyDescent="0.35">
      <c r="A1732" s="4" t="s">
        <v>5752</v>
      </c>
      <c r="B1732" s="7" t="s">
        <v>596</v>
      </c>
      <c r="C1732" s="7" t="s">
        <v>3664</v>
      </c>
      <c r="D1732" s="5">
        <v>10</v>
      </c>
      <c r="E1732" s="7" t="str">
        <f>_xlfn.XLOOKUP(B1732,Customers!A1732:A2731,Customers!B1732:B2731,"Customer Not Found",0)</f>
        <v>Customer Not Found</v>
      </c>
      <c r="F1732" s="7" t="str">
        <f>_xlfn.XLOOKUP(Orders!B1732,Customers!A1732:A2731,Customers!C1732:C2731,"Country not Found",0)</f>
        <v>Country not Found</v>
      </c>
      <c r="G1732" s="7" t="str">
        <f>_xlfn.XLOOKUP(C1732,Products!A1732:A2231,Products!B1732:B2231,"Product Missing",0)</f>
        <v>Product Missing</v>
      </c>
      <c r="H1732" s="7" t="str">
        <f>_xlfn.XLOOKUP(C1732,Products!A1732:A2231,Products!C1732:C2231,"Category Missing",0)</f>
        <v>Category Missing</v>
      </c>
      <c r="I1732" s="11" t="str">
        <f>_xlfn.XLOOKUP(Orders!C1732,Products!A1732:A2231,Products!D1732:D2231,"Price Missing",0)</f>
        <v>Price Missing</v>
      </c>
      <c r="J1732" s="19">
        <f t="shared" si="27"/>
        <v>0</v>
      </c>
    </row>
    <row r="1733" spans="1:10" x14ac:dyDescent="0.35">
      <c r="A1733" s="4" t="s">
        <v>5753</v>
      </c>
      <c r="B1733" s="7" t="s">
        <v>1265</v>
      </c>
      <c r="C1733" s="7" t="s">
        <v>3684</v>
      </c>
      <c r="D1733" s="5">
        <v>8</v>
      </c>
      <c r="E1733" s="7" t="str">
        <f>_xlfn.XLOOKUP(B1733,Customers!A1733:A2732,Customers!B1733:B2732,"Customer Not Found",0)</f>
        <v>Customer Not Found</v>
      </c>
      <c r="F1733" s="7" t="str">
        <f>_xlfn.XLOOKUP(Orders!B1733,Customers!A1733:A2732,Customers!C1733:C2732,"Country not Found",0)</f>
        <v>Country not Found</v>
      </c>
      <c r="G1733" s="7" t="str">
        <f>_xlfn.XLOOKUP(C1733,Products!A1733:A2232,Products!B1733:B2232,"Product Missing",0)</f>
        <v>Product Missing</v>
      </c>
      <c r="H1733" s="7" t="str">
        <f>_xlfn.XLOOKUP(C1733,Products!A1733:A2232,Products!C1733:C2232,"Category Missing",0)</f>
        <v>Category Missing</v>
      </c>
      <c r="I1733" s="11" t="str">
        <f>_xlfn.XLOOKUP(Orders!C1733,Products!A1733:A2232,Products!D1733:D2232,"Price Missing",0)</f>
        <v>Price Missing</v>
      </c>
      <c r="J1733" s="19">
        <f t="shared" si="27"/>
        <v>0</v>
      </c>
    </row>
    <row r="1734" spans="1:10" x14ac:dyDescent="0.35">
      <c r="A1734" s="4" t="s">
        <v>5754</v>
      </c>
      <c r="B1734" s="7" t="s">
        <v>2150</v>
      </c>
      <c r="C1734" s="7" t="s">
        <v>3068</v>
      </c>
      <c r="D1734" s="5">
        <v>6</v>
      </c>
      <c r="E1734" s="7" t="str">
        <f>_xlfn.XLOOKUP(B1734,Customers!A1734:A2733,Customers!B1734:B2733,"Customer Not Found",0)</f>
        <v>Customer Not Found</v>
      </c>
      <c r="F1734" s="7" t="str">
        <f>_xlfn.XLOOKUP(Orders!B1734,Customers!A1734:A2733,Customers!C1734:C2733,"Country not Found",0)</f>
        <v>Country not Found</v>
      </c>
      <c r="G1734" s="7" t="str">
        <f>_xlfn.XLOOKUP(C1734,Products!A1734:A2233,Products!B1734:B2233,"Product Missing",0)</f>
        <v>Product Missing</v>
      </c>
      <c r="H1734" s="7" t="str">
        <f>_xlfn.XLOOKUP(C1734,Products!A1734:A2233,Products!C1734:C2233,"Category Missing",0)</f>
        <v>Category Missing</v>
      </c>
      <c r="I1734" s="11" t="str">
        <f>_xlfn.XLOOKUP(Orders!C1734,Products!A1734:A2233,Products!D1734:D2233,"Price Missing",0)</f>
        <v>Price Missing</v>
      </c>
      <c r="J1734" s="19">
        <f t="shared" si="27"/>
        <v>0</v>
      </c>
    </row>
    <row r="1735" spans="1:10" x14ac:dyDescent="0.35">
      <c r="A1735" s="4" t="s">
        <v>5755</v>
      </c>
      <c r="B1735" s="7" t="s">
        <v>2855</v>
      </c>
      <c r="C1735" s="7" t="s">
        <v>3264</v>
      </c>
      <c r="D1735" s="5">
        <v>7</v>
      </c>
      <c r="E1735" s="7" t="str">
        <f>_xlfn.XLOOKUP(B1735,Customers!A1735:A2734,Customers!B1735:B2734,"Customer Not Found",0)</f>
        <v>Customer Not Found</v>
      </c>
      <c r="F1735" s="7" t="str">
        <f>_xlfn.XLOOKUP(Orders!B1735,Customers!A1735:A2734,Customers!C1735:C2734,"Country not Found",0)</f>
        <v>Country not Found</v>
      </c>
      <c r="G1735" s="7" t="str">
        <f>_xlfn.XLOOKUP(C1735,Products!A1735:A2234,Products!B1735:B2234,"Product Missing",0)</f>
        <v>Product Missing</v>
      </c>
      <c r="H1735" s="7" t="str">
        <f>_xlfn.XLOOKUP(C1735,Products!A1735:A2234,Products!C1735:C2234,"Category Missing",0)</f>
        <v>Category Missing</v>
      </c>
      <c r="I1735" s="11" t="str">
        <f>_xlfn.XLOOKUP(Orders!C1735,Products!A1735:A2234,Products!D1735:D2234,"Price Missing",0)</f>
        <v>Price Missing</v>
      </c>
      <c r="J1735" s="19">
        <f t="shared" si="27"/>
        <v>0</v>
      </c>
    </row>
    <row r="1736" spans="1:10" x14ac:dyDescent="0.35">
      <c r="A1736" s="4" t="s">
        <v>5756</v>
      </c>
      <c r="B1736" s="7" t="s">
        <v>2948</v>
      </c>
      <c r="C1736" s="7" t="s">
        <v>3426</v>
      </c>
      <c r="D1736" s="5">
        <v>4</v>
      </c>
      <c r="E1736" s="7" t="str">
        <f>_xlfn.XLOOKUP(B1736,Customers!A1736:A2735,Customers!B1736:B2735,"Customer Not Found",0)</f>
        <v>Customer Not Found</v>
      </c>
      <c r="F1736" s="7" t="str">
        <f>_xlfn.XLOOKUP(Orders!B1736,Customers!A1736:A2735,Customers!C1736:C2735,"Country not Found",0)</f>
        <v>Country not Found</v>
      </c>
      <c r="G1736" s="7" t="str">
        <f>_xlfn.XLOOKUP(C1736,Products!A1736:A2235,Products!B1736:B2235,"Product Missing",0)</f>
        <v>Product Missing</v>
      </c>
      <c r="H1736" s="7" t="str">
        <f>_xlfn.XLOOKUP(C1736,Products!A1736:A2235,Products!C1736:C2235,"Category Missing",0)</f>
        <v>Category Missing</v>
      </c>
      <c r="I1736" s="11" t="str">
        <f>_xlfn.XLOOKUP(Orders!C1736,Products!A1736:A2235,Products!D1736:D2235,"Price Missing",0)</f>
        <v>Price Missing</v>
      </c>
      <c r="J1736" s="19">
        <f t="shared" si="27"/>
        <v>0</v>
      </c>
    </row>
    <row r="1737" spans="1:10" x14ac:dyDescent="0.35">
      <c r="A1737" s="4" t="s">
        <v>5757</v>
      </c>
      <c r="B1737" s="7" t="s">
        <v>854</v>
      </c>
      <c r="C1737" s="7" t="s">
        <v>3164</v>
      </c>
      <c r="D1737" s="5">
        <v>3</v>
      </c>
      <c r="E1737" s="7" t="str">
        <f>_xlfn.XLOOKUP(B1737,Customers!A1737:A2736,Customers!B1737:B2736,"Customer Not Found",0)</f>
        <v>Customer Not Found</v>
      </c>
      <c r="F1737" s="7" t="str">
        <f>_xlfn.XLOOKUP(Orders!B1737,Customers!A1737:A2736,Customers!C1737:C2736,"Country not Found",0)</f>
        <v>Country not Found</v>
      </c>
      <c r="G1737" s="7" t="str">
        <f>_xlfn.XLOOKUP(C1737,Products!A1737:A2236,Products!B1737:B2236,"Product Missing",0)</f>
        <v>Product Missing</v>
      </c>
      <c r="H1737" s="7" t="str">
        <f>_xlfn.XLOOKUP(C1737,Products!A1737:A2236,Products!C1737:C2236,"Category Missing",0)</f>
        <v>Category Missing</v>
      </c>
      <c r="I1737" s="11" t="str">
        <f>_xlfn.XLOOKUP(Orders!C1737,Products!A1737:A2236,Products!D1737:D2236,"Price Missing",0)</f>
        <v>Price Missing</v>
      </c>
      <c r="J1737" s="19">
        <f t="shared" si="27"/>
        <v>0</v>
      </c>
    </row>
    <row r="1738" spans="1:10" x14ac:dyDescent="0.35">
      <c r="A1738" s="4" t="s">
        <v>5758</v>
      </c>
      <c r="B1738" s="7" t="s">
        <v>1184</v>
      </c>
      <c r="C1738" s="7" t="s">
        <v>3396</v>
      </c>
      <c r="D1738" s="5">
        <v>6</v>
      </c>
      <c r="E1738" s="7" t="str">
        <f>_xlfn.XLOOKUP(B1738,Customers!A1738:A2737,Customers!B1738:B2737,"Customer Not Found",0)</f>
        <v>Customer Not Found</v>
      </c>
      <c r="F1738" s="7" t="str">
        <f>_xlfn.XLOOKUP(Orders!B1738,Customers!A1738:A2737,Customers!C1738:C2737,"Country not Found",0)</f>
        <v>Country not Found</v>
      </c>
      <c r="G1738" s="7" t="str">
        <f>_xlfn.XLOOKUP(C1738,Products!A1738:A2237,Products!B1738:B2237,"Product Missing",0)</f>
        <v>Product Missing</v>
      </c>
      <c r="H1738" s="7" t="str">
        <f>_xlfn.XLOOKUP(C1738,Products!A1738:A2237,Products!C1738:C2237,"Category Missing",0)</f>
        <v>Category Missing</v>
      </c>
      <c r="I1738" s="11" t="str">
        <f>_xlfn.XLOOKUP(Orders!C1738,Products!A1738:A2237,Products!D1738:D2237,"Price Missing",0)</f>
        <v>Price Missing</v>
      </c>
      <c r="J1738" s="19">
        <f t="shared" si="27"/>
        <v>0</v>
      </c>
    </row>
    <row r="1739" spans="1:10" x14ac:dyDescent="0.35">
      <c r="A1739" s="4" t="s">
        <v>5759</v>
      </c>
      <c r="B1739" s="7" t="s">
        <v>2942</v>
      </c>
      <c r="C1739" s="7" t="s">
        <v>3362</v>
      </c>
      <c r="D1739" s="5">
        <v>4</v>
      </c>
      <c r="E1739" s="7" t="str">
        <f>_xlfn.XLOOKUP(B1739,Customers!A1739:A2738,Customers!B1739:B2738,"Customer Not Found",0)</f>
        <v>Customer Not Found</v>
      </c>
      <c r="F1739" s="7" t="str">
        <f>_xlfn.XLOOKUP(Orders!B1739,Customers!A1739:A2738,Customers!C1739:C2738,"Country not Found",0)</f>
        <v>Country not Found</v>
      </c>
      <c r="G1739" s="7" t="str">
        <f>_xlfn.XLOOKUP(C1739,Products!A1739:A2238,Products!B1739:B2238,"Product Missing",0)</f>
        <v>Product Missing</v>
      </c>
      <c r="H1739" s="7" t="str">
        <f>_xlfn.XLOOKUP(C1739,Products!A1739:A2238,Products!C1739:C2238,"Category Missing",0)</f>
        <v>Category Missing</v>
      </c>
      <c r="I1739" s="11" t="str">
        <f>_xlfn.XLOOKUP(Orders!C1739,Products!A1739:A2238,Products!D1739:D2238,"Price Missing",0)</f>
        <v>Price Missing</v>
      </c>
      <c r="J1739" s="19">
        <f t="shared" si="27"/>
        <v>0</v>
      </c>
    </row>
    <row r="1740" spans="1:10" x14ac:dyDescent="0.35">
      <c r="A1740" s="4" t="s">
        <v>5760</v>
      </c>
      <c r="B1740" s="7" t="s">
        <v>119</v>
      </c>
      <c r="C1740" s="7" t="s">
        <v>3288</v>
      </c>
      <c r="D1740" s="5">
        <v>5</v>
      </c>
      <c r="E1740" s="7" t="str">
        <f>_xlfn.XLOOKUP(B1740,Customers!A1740:A2739,Customers!B1740:B2739,"Customer Not Found",0)</f>
        <v>Customer Not Found</v>
      </c>
      <c r="F1740" s="7" t="str">
        <f>_xlfn.XLOOKUP(Orders!B1740,Customers!A1740:A2739,Customers!C1740:C2739,"Country not Found",0)</f>
        <v>Country not Found</v>
      </c>
      <c r="G1740" s="7" t="str">
        <f>_xlfn.XLOOKUP(C1740,Products!A1740:A2239,Products!B1740:B2239,"Product Missing",0)</f>
        <v>Product Missing</v>
      </c>
      <c r="H1740" s="7" t="str">
        <f>_xlfn.XLOOKUP(C1740,Products!A1740:A2239,Products!C1740:C2239,"Category Missing",0)</f>
        <v>Category Missing</v>
      </c>
      <c r="I1740" s="11" t="str">
        <f>_xlfn.XLOOKUP(Orders!C1740,Products!A1740:A2239,Products!D1740:D2239,"Price Missing",0)</f>
        <v>Price Missing</v>
      </c>
      <c r="J1740" s="19">
        <f t="shared" si="27"/>
        <v>0</v>
      </c>
    </row>
    <row r="1741" spans="1:10" x14ac:dyDescent="0.35">
      <c r="A1741" s="4" t="s">
        <v>5761</v>
      </c>
      <c r="B1741" s="7" t="s">
        <v>1622</v>
      </c>
      <c r="C1741" s="7" t="s">
        <v>3092</v>
      </c>
      <c r="D1741" s="5">
        <v>1</v>
      </c>
      <c r="E1741" s="7" t="str">
        <f>_xlfn.XLOOKUP(B1741,Customers!A1741:A2740,Customers!B1741:B2740,"Customer Not Found",0)</f>
        <v>Customer Not Found</v>
      </c>
      <c r="F1741" s="7" t="str">
        <f>_xlfn.XLOOKUP(Orders!B1741,Customers!A1741:A2740,Customers!C1741:C2740,"Country not Found",0)</f>
        <v>Country not Found</v>
      </c>
      <c r="G1741" s="7" t="str">
        <f>_xlfn.XLOOKUP(C1741,Products!A1741:A2240,Products!B1741:B2240,"Product Missing",0)</f>
        <v>Product Missing</v>
      </c>
      <c r="H1741" s="7" t="str">
        <f>_xlfn.XLOOKUP(C1741,Products!A1741:A2240,Products!C1741:C2240,"Category Missing",0)</f>
        <v>Category Missing</v>
      </c>
      <c r="I1741" s="11" t="str">
        <f>_xlfn.XLOOKUP(Orders!C1741,Products!A1741:A2240,Products!D1741:D2240,"Price Missing",0)</f>
        <v>Price Missing</v>
      </c>
      <c r="J1741" s="19">
        <f t="shared" si="27"/>
        <v>0</v>
      </c>
    </row>
    <row r="1742" spans="1:10" x14ac:dyDescent="0.35">
      <c r="A1742" s="4" t="s">
        <v>5762</v>
      </c>
      <c r="B1742" s="7" t="s">
        <v>2096</v>
      </c>
      <c r="C1742" s="7" t="s">
        <v>3148</v>
      </c>
      <c r="D1742" s="5">
        <v>2</v>
      </c>
      <c r="E1742" s="7" t="str">
        <f>_xlfn.XLOOKUP(B1742,Customers!A1742:A2741,Customers!B1742:B2741,"Customer Not Found",0)</f>
        <v>Customer Not Found</v>
      </c>
      <c r="F1742" s="7" t="str">
        <f>_xlfn.XLOOKUP(Orders!B1742,Customers!A1742:A2741,Customers!C1742:C2741,"Country not Found",0)</f>
        <v>Country not Found</v>
      </c>
      <c r="G1742" s="7" t="str">
        <f>_xlfn.XLOOKUP(C1742,Products!A1742:A2241,Products!B1742:B2241,"Product Missing",0)</f>
        <v>Product Missing</v>
      </c>
      <c r="H1742" s="7" t="str">
        <f>_xlfn.XLOOKUP(C1742,Products!A1742:A2241,Products!C1742:C2241,"Category Missing",0)</f>
        <v>Category Missing</v>
      </c>
      <c r="I1742" s="11" t="str">
        <f>_xlfn.XLOOKUP(Orders!C1742,Products!A1742:A2241,Products!D1742:D2241,"Price Missing",0)</f>
        <v>Price Missing</v>
      </c>
      <c r="J1742" s="19">
        <f t="shared" si="27"/>
        <v>0</v>
      </c>
    </row>
    <row r="1743" spans="1:10" x14ac:dyDescent="0.35">
      <c r="A1743" s="4" t="s">
        <v>5763</v>
      </c>
      <c r="B1743" s="7" t="s">
        <v>881</v>
      </c>
      <c r="C1743" s="7" t="s">
        <v>3037</v>
      </c>
      <c r="D1743" s="5">
        <v>7</v>
      </c>
      <c r="E1743" s="7" t="str">
        <f>_xlfn.XLOOKUP(B1743,Customers!A1743:A2742,Customers!B1743:B2742,"Customer Not Found",0)</f>
        <v>Customer Not Found</v>
      </c>
      <c r="F1743" s="7" t="str">
        <f>_xlfn.XLOOKUP(Orders!B1743,Customers!A1743:A2742,Customers!C1743:C2742,"Country not Found",0)</f>
        <v>Country not Found</v>
      </c>
      <c r="G1743" s="7" t="str">
        <f>_xlfn.XLOOKUP(C1743,Products!A1743:A2242,Products!B1743:B2242,"Product Missing",0)</f>
        <v>Product Missing</v>
      </c>
      <c r="H1743" s="7" t="str">
        <f>_xlfn.XLOOKUP(C1743,Products!A1743:A2242,Products!C1743:C2242,"Category Missing",0)</f>
        <v>Category Missing</v>
      </c>
      <c r="I1743" s="11" t="str">
        <f>_xlfn.XLOOKUP(Orders!C1743,Products!A1743:A2242,Products!D1743:D2242,"Price Missing",0)</f>
        <v>Price Missing</v>
      </c>
      <c r="J1743" s="19">
        <f t="shared" si="27"/>
        <v>0</v>
      </c>
    </row>
    <row r="1744" spans="1:10" x14ac:dyDescent="0.35">
      <c r="A1744" s="4" t="s">
        <v>5764</v>
      </c>
      <c r="B1744" s="7" t="s">
        <v>635</v>
      </c>
      <c r="C1744" s="7" t="s">
        <v>3045</v>
      </c>
      <c r="D1744" s="5">
        <v>1</v>
      </c>
      <c r="E1744" s="7" t="str">
        <f>_xlfn.XLOOKUP(B1744,Customers!A1744:A2743,Customers!B1744:B2743,"Customer Not Found",0)</f>
        <v>Customer Not Found</v>
      </c>
      <c r="F1744" s="7" t="str">
        <f>_xlfn.XLOOKUP(Orders!B1744,Customers!A1744:A2743,Customers!C1744:C2743,"Country not Found",0)</f>
        <v>Country not Found</v>
      </c>
      <c r="G1744" s="7" t="str">
        <f>_xlfn.XLOOKUP(C1744,Products!A1744:A2243,Products!B1744:B2243,"Product Missing",0)</f>
        <v>Product Missing</v>
      </c>
      <c r="H1744" s="7" t="str">
        <f>_xlfn.XLOOKUP(C1744,Products!A1744:A2243,Products!C1744:C2243,"Category Missing",0)</f>
        <v>Category Missing</v>
      </c>
      <c r="I1744" s="11" t="str">
        <f>_xlfn.XLOOKUP(Orders!C1744,Products!A1744:A2243,Products!D1744:D2243,"Price Missing",0)</f>
        <v>Price Missing</v>
      </c>
      <c r="J1744" s="19">
        <f t="shared" si="27"/>
        <v>0</v>
      </c>
    </row>
    <row r="1745" spans="1:10" x14ac:dyDescent="0.35">
      <c r="A1745" s="4" t="s">
        <v>5765</v>
      </c>
      <c r="B1745" s="7" t="s">
        <v>2051</v>
      </c>
      <c r="C1745" s="7" t="s">
        <v>3808</v>
      </c>
      <c r="D1745" s="5">
        <v>10</v>
      </c>
      <c r="E1745" s="7" t="str">
        <f>_xlfn.XLOOKUP(B1745,Customers!A1745:A2744,Customers!B1745:B2744,"Customer Not Found",0)</f>
        <v>Customer Not Found</v>
      </c>
      <c r="F1745" s="7" t="str">
        <f>_xlfn.XLOOKUP(Orders!B1745,Customers!A1745:A2744,Customers!C1745:C2744,"Country not Found",0)</f>
        <v>Country not Found</v>
      </c>
      <c r="G1745" s="7" t="str">
        <f>_xlfn.XLOOKUP(C1745,Products!A1745:A2244,Products!B1745:B2244,"Product Missing",0)</f>
        <v>Product Missing</v>
      </c>
      <c r="H1745" s="7" t="str">
        <f>_xlfn.XLOOKUP(C1745,Products!A1745:A2244,Products!C1745:C2244,"Category Missing",0)</f>
        <v>Category Missing</v>
      </c>
      <c r="I1745" s="11" t="str">
        <f>_xlfn.XLOOKUP(Orders!C1745,Products!A1745:A2244,Products!D1745:D2244,"Price Missing",0)</f>
        <v>Price Missing</v>
      </c>
      <c r="J1745" s="19">
        <f t="shared" si="27"/>
        <v>0</v>
      </c>
    </row>
    <row r="1746" spans="1:10" x14ac:dyDescent="0.35">
      <c r="A1746" s="4" t="s">
        <v>5766</v>
      </c>
      <c r="B1746" s="7" t="s">
        <v>2801</v>
      </c>
      <c r="C1746" s="7" t="s">
        <v>3402</v>
      </c>
      <c r="D1746" s="5">
        <v>6</v>
      </c>
      <c r="E1746" s="7" t="str">
        <f>_xlfn.XLOOKUP(B1746,Customers!A1746:A2745,Customers!B1746:B2745,"Customer Not Found",0)</f>
        <v>Customer Not Found</v>
      </c>
      <c r="F1746" s="7" t="str">
        <f>_xlfn.XLOOKUP(Orders!B1746,Customers!A1746:A2745,Customers!C1746:C2745,"Country not Found",0)</f>
        <v>Country not Found</v>
      </c>
      <c r="G1746" s="7" t="str">
        <f>_xlfn.XLOOKUP(C1746,Products!A1746:A2245,Products!B1746:B2245,"Product Missing",0)</f>
        <v>Product Missing</v>
      </c>
      <c r="H1746" s="7" t="str">
        <f>_xlfn.XLOOKUP(C1746,Products!A1746:A2245,Products!C1746:C2245,"Category Missing",0)</f>
        <v>Category Missing</v>
      </c>
      <c r="I1746" s="11" t="str">
        <f>_xlfn.XLOOKUP(Orders!C1746,Products!A1746:A2245,Products!D1746:D2245,"Price Missing",0)</f>
        <v>Price Missing</v>
      </c>
      <c r="J1746" s="19">
        <f t="shared" si="27"/>
        <v>0</v>
      </c>
    </row>
    <row r="1747" spans="1:10" x14ac:dyDescent="0.35">
      <c r="A1747" s="4" t="s">
        <v>5767</v>
      </c>
      <c r="B1747" s="7" t="s">
        <v>1952</v>
      </c>
      <c r="C1747" s="7" t="s">
        <v>3986</v>
      </c>
      <c r="D1747" s="5">
        <v>9</v>
      </c>
      <c r="E1747" s="7" t="str">
        <f>_xlfn.XLOOKUP(B1747,Customers!A1747:A2746,Customers!B1747:B2746,"Customer Not Found",0)</f>
        <v>Customer Not Found</v>
      </c>
      <c r="F1747" s="7" t="str">
        <f>_xlfn.XLOOKUP(Orders!B1747,Customers!A1747:A2746,Customers!C1747:C2746,"Country not Found",0)</f>
        <v>Country not Found</v>
      </c>
      <c r="G1747" s="7" t="str">
        <f>_xlfn.XLOOKUP(C1747,Products!A1747:A2246,Products!B1747:B2246,"Product Missing",0)</f>
        <v>Product Missing</v>
      </c>
      <c r="H1747" s="7" t="str">
        <f>_xlfn.XLOOKUP(C1747,Products!A1747:A2246,Products!C1747:C2246,"Category Missing",0)</f>
        <v>Category Missing</v>
      </c>
      <c r="I1747" s="11" t="str">
        <f>_xlfn.XLOOKUP(Orders!C1747,Products!A1747:A2246,Products!D1747:D2246,"Price Missing",0)</f>
        <v>Price Missing</v>
      </c>
      <c r="J1747" s="19">
        <f t="shared" si="27"/>
        <v>0</v>
      </c>
    </row>
    <row r="1748" spans="1:10" x14ac:dyDescent="0.35">
      <c r="A1748" s="4" t="s">
        <v>5768</v>
      </c>
      <c r="B1748" s="7" t="s">
        <v>1049</v>
      </c>
      <c r="C1748" s="7" t="s">
        <v>3914</v>
      </c>
      <c r="D1748" s="5">
        <v>5</v>
      </c>
      <c r="E1748" s="7" t="str">
        <f>_xlfn.XLOOKUP(B1748,Customers!A1748:A2747,Customers!B1748:B2747,"Customer Not Found",0)</f>
        <v>Customer Not Found</v>
      </c>
      <c r="F1748" s="7" t="str">
        <f>_xlfn.XLOOKUP(Orders!B1748,Customers!A1748:A2747,Customers!C1748:C2747,"Country not Found",0)</f>
        <v>Country not Found</v>
      </c>
      <c r="G1748" s="7" t="str">
        <f>_xlfn.XLOOKUP(C1748,Products!A1748:A2247,Products!B1748:B2247,"Product Missing",0)</f>
        <v>Product Missing</v>
      </c>
      <c r="H1748" s="7" t="str">
        <f>_xlfn.XLOOKUP(C1748,Products!A1748:A2247,Products!C1748:C2247,"Category Missing",0)</f>
        <v>Category Missing</v>
      </c>
      <c r="I1748" s="11" t="str">
        <f>_xlfn.XLOOKUP(Orders!C1748,Products!A1748:A2247,Products!D1748:D2247,"Price Missing",0)</f>
        <v>Price Missing</v>
      </c>
      <c r="J1748" s="19">
        <f t="shared" si="27"/>
        <v>0</v>
      </c>
    </row>
    <row r="1749" spans="1:10" x14ac:dyDescent="0.35">
      <c r="A1749" s="4" t="s">
        <v>5769</v>
      </c>
      <c r="B1749" s="7" t="s">
        <v>695</v>
      </c>
      <c r="C1749" s="7" t="s">
        <v>3270</v>
      </c>
      <c r="D1749" s="5">
        <v>3</v>
      </c>
      <c r="E1749" s="7" t="str">
        <f>_xlfn.XLOOKUP(B1749,Customers!A1749:A2748,Customers!B1749:B2748,"Customer Not Found",0)</f>
        <v>Customer Not Found</v>
      </c>
      <c r="F1749" s="7" t="str">
        <f>_xlfn.XLOOKUP(Orders!B1749,Customers!A1749:A2748,Customers!C1749:C2748,"Country not Found",0)</f>
        <v>Country not Found</v>
      </c>
      <c r="G1749" s="7" t="str">
        <f>_xlfn.XLOOKUP(C1749,Products!A1749:A2248,Products!B1749:B2248,"Product Missing",0)</f>
        <v>Product Missing</v>
      </c>
      <c r="H1749" s="7" t="str">
        <f>_xlfn.XLOOKUP(C1749,Products!A1749:A2248,Products!C1749:C2248,"Category Missing",0)</f>
        <v>Category Missing</v>
      </c>
      <c r="I1749" s="11" t="str">
        <f>_xlfn.XLOOKUP(Orders!C1749,Products!A1749:A2248,Products!D1749:D2248,"Price Missing",0)</f>
        <v>Price Missing</v>
      </c>
      <c r="J1749" s="19">
        <f t="shared" si="27"/>
        <v>0</v>
      </c>
    </row>
    <row r="1750" spans="1:10" x14ac:dyDescent="0.35">
      <c r="A1750" s="4" t="s">
        <v>5770</v>
      </c>
      <c r="B1750" s="7" t="s">
        <v>263</v>
      </c>
      <c r="C1750" s="7" t="s">
        <v>3474</v>
      </c>
      <c r="D1750" s="5">
        <v>10</v>
      </c>
      <c r="E1750" s="7" t="str">
        <f>_xlfn.XLOOKUP(B1750,Customers!A1750:A2749,Customers!B1750:B2749,"Customer Not Found",0)</f>
        <v>Customer Not Found</v>
      </c>
      <c r="F1750" s="7" t="str">
        <f>_xlfn.XLOOKUP(Orders!B1750,Customers!A1750:A2749,Customers!C1750:C2749,"Country not Found",0)</f>
        <v>Country not Found</v>
      </c>
      <c r="G1750" s="7" t="str">
        <f>_xlfn.XLOOKUP(C1750,Products!A1750:A2249,Products!B1750:B2249,"Product Missing",0)</f>
        <v>Product Missing</v>
      </c>
      <c r="H1750" s="7" t="str">
        <f>_xlfn.XLOOKUP(C1750,Products!A1750:A2249,Products!C1750:C2249,"Category Missing",0)</f>
        <v>Category Missing</v>
      </c>
      <c r="I1750" s="11" t="str">
        <f>_xlfn.XLOOKUP(Orders!C1750,Products!A1750:A2249,Products!D1750:D2249,"Price Missing",0)</f>
        <v>Price Missing</v>
      </c>
      <c r="J1750" s="19">
        <f t="shared" si="27"/>
        <v>0</v>
      </c>
    </row>
    <row r="1751" spans="1:10" x14ac:dyDescent="0.35">
      <c r="A1751" s="4" t="s">
        <v>5771</v>
      </c>
      <c r="B1751" s="7" t="s">
        <v>785</v>
      </c>
      <c r="C1751" s="7" t="s">
        <v>3066</v>
      </c>
      <c r="D1751" s="5">
        <v>4</v>
      </c>
      <c r="E1751" s="7" t="str">
        <f>_xlfn.XLOOKUP(B1751,Customers!A1751:A2750,Customers!B1751:B2750,"Customer Not Found",0)</f>
        <v>Customer Not Found</v>
      </c>
      <c r="F1751" s="7" t="str">
        <f>_xlfn.XLOOKUP(Orders!B1751,Customers!A1751:A2750,Customers!C1751:C2750,"Country not Found",0)</f>
        <v>Country not Found</v>
      </c>
      <c r="G1751" s="7" t="str">
        <f>_xlfn.XLOOKUP(C1751,Products!A1751:A2250,Products!B1751:B2250,"Product Missing",0)</f>
        <v>Product Missing</v>
      </c>
      <c r="H1751" s="7" t="str">
        <f>_xlfn.XLOOKUP(C1751,Products!A1751:A2250,Products!C1751:C2250,"Category Missing",0)</f>
        <v>Category Missing</v>
      </c>
      <c r="I1751" s="11" t="str">
        <f>_xlfn.XLOOKUP(Orders!C1751,Products!A1751:A2250,Products!D1751:D2250,"Price Missing",0)</f>
        <v>Price Missing</v>
      </c>
      <c r="J1751" s="19">
        <f t="shared" si="27"/>
        <v>0</v>
      </c>
    </row>
    <row r="1752" spans="1:10" x14ac:dyDescent="0.35">
      <c r="A1752" s="4" t="s">
        <v>5772</v>
      </c>
      <c r="B1752" s="7" t="s">
        <v>98</v>
      </c>
      <c r="C1752" s="7" t="s">
        <v>3382</v>
      </c>
      <c r="D1752" s="5">
        <v>5</v>
      </c>
      <c r="E1752" s="7" t="str">
        <f>_xlfn.XLOOKUP(B1752,Customers!A1752:A2751,Customers!B1752:B2751,"Customer Not Found",0)</f>
        <v>Customer Not Found</v>
      </c>
      <c r="F1752" s="7" t="str">
        <f>_xlfn.XLOOKUP(Orders!B1752,Customers!A1752:A2751,Customers!C1752:C2751,"Country not Found",0)</f>
        <v>Country not Found</v>
      </c>
      <c r="G1752" s="7" t="str">
        <f>_xlfn.XLOOKUP(C1752,Products!A1752:A2251,Products!B1752:B2251,"Product Missing",0)</f>
        <v>Product Missing</v>
      </c>
      <c r="H1752" s="7" t="str">
        <f>_xlfn.XLOOKUP(C1752,Products!A1752:A2251,Products!C1752:C2251,"Category Missing",0)</f>
        <v>Category Missing</v>
      </c>
      <c r="I1752" s="11" t="str">
        <f>_xlfn.XLOOKUP(Orders!C1752,Products!A1752:A2251,Products!D1752:D2251,"Price Missing",0)</f>
        <v>Price Missing</v>
      </c>
      <c r="J1752" s="19">
        <f t="shared" si="27"/>
        <v>0</v>
      </c>
    </row>
    <row r="1753" spans="1:10" x14ac:dyDescent="0.35">
      <c r="A1753" s="4" t="s">
        <v>5773</v>
      </c>
      <c r="B1753" s="7" t="s">
        <v>707</v>
      </c>
      <c r="C1753" s="7" t="s">
        <v>3168</v>
      </c>
      <c r="D1753" s="5">
        <v>7</v>
      </c>
      <c r="E1753" s="7" t="str">
        <f>_xlfn.XLOOKUP(B1753,Customers!A1753:A2752,Customers!B1753:B2752,"Customer Not Found",0)</f>
        <v>Customer Not Found</v>
      </c>
      <c r="F1753" s="7" t="str">
        <f>_xlfn.XLOOKUP(Orders!B1753,Customers!A1753:A2752,Customers!C1753:C2752,"Country not Found",0)</f>
        <v>Country not Found</v>
      </c>
      <c r="G1753" s="7" t="str">
        <f>_xlfn.XLOOKUP(C1753,Products!A1753:A2252,Products!B1753:B2252,"Product Missing",0)</f>
        <v>Product Missing</v>
      </c>
      <c r="H1753" s="7" t="str">
        <f>_xlfn.XLOOKUP(C1753,Products!A1753:A2252,Products!C1753:C2252,"Category Missing",0)</f>
        <v>Category Missing</v>
      </c>
      <c r="I1753" s="11" t="str">
        <f>_xlfn.XLOOKUP(Orders!C1753,Products!A1753:A2252,Products!D1753:D2252,"Price Missing",0)</f>
        <v>Price Missing</v>
      </c>
      <c r="J1753" s="19">
        <f t="shared" si="27"/>
        <v>0</v>
      </c>
    </row>
    <row r="1754" spans="1:10" x14ac:dyDescent="0.35">
      <c r="A1754" s="4" t="s">
        <v>5774</v>
      </c>
      <c r="B1754" s="7" t="s">
        <v>2348</v>
      </c>
      <c r="C1754" s="7" t="s">
        <v>3302</v>
      </c>
      <c r="D1754" s="5">
        <v>6</v>
      </c>
      <c r="E1754" s="7" t="str">
        <f>_xlfn.XLOOKUP(B1754,Customers!A1754:A2753,Customers!B1754:B2753,"Customer Not Found",0)</f>
        <v>Customer Not Found</v>
      </c>
      <c r="F1754" s="7" t="str">
        <f>_xlfn.XLOOKUP(Orders!B1754,Customers!A1754:A2753,Customers!C1754:C2753,"Country not Found",0)</f>
        <v>Country not Found</v>
      </c>
      <c r="G1754" s="7" t="str">
        <f>_xlfn.XLOOKUP(C1754,Products!A1754:A2253,Products!B1754:B2253,"Product Missing",0)</f>
        <v>Product Missing</v>
      </c>
      <c r="H1754" s="7" t="str">
        <f>_xlfn.XLOOKUP(C1754,Products!A1754:A2253,Products!C1754:C2253,"Category Missing",0)</f>
        <v>Category Missing</v>
      </c>
      <c r="I1754" s="11" t="str">
        <f>_xlfn.XLOOKUP(Orders!C1754,Products!A1754:A2253,Products!D1754:D2253,"Price Missing",0)</f>
        <v>Price Missing</v>
      </c>
      <c r="J1754" s="19">
        <f t="shared" si="27"/>
        <v>0</v>
      </c>
    </row>
    <row r="1755" spans="1:10" x14ac:dyDescent="0.35">
      <c r="A1755" s="4" t="s">
        <v>5775</v>
      </c>
      <c r="B1755" s="7" t="s">
        <v>2855</v>
      </c>
      <c r="C1755" s="7" t="s">
        <v>3982</v>
      </c>
      <c r="D1755" s="5">
        <v>8</v>
      </c>
      <c r="E1755" s="7" t="str">
        <f>_xlfn.XLOOKUP(B1755,Customers!A1755:A2754,Customers!B1755:B2754,"Customer Not Found",0)</f>
        <v>Customer Not Found</v>
      </c>
      <c r="F1755" s="7" t="str">
        <f>_xlfn.XLOOKUP(Orders!B1755,Customers!A1755:A2754,Customers!C1755:C2754,"Country not Found",0)</f>
        <v>Country not Found</v>
      </c>
      <c r="G1755" s="7" t="str">
        <f>_xlfn.XLOOKUP(C1755,Products!A1755:A2254,Products!B1755:B2254,"Product Missing",0)</f>
        <v>Product Missing</v>
      </c>
      <c r="H1755" s="7" t="str">
        <f>_xlfn.XLOOKUP(C1755,Products!A1755:A2254,Products!C1755:C2254,"Category Missing",0)</f>
        <v>Category Missing</v>
      </c>
      <c r="I1755" s="11" t="str">
        <f>_xlfn.XLOOKUP(Orders!C1755,Products!A1755:A2254,Products!D1755:D2254,"Price Missing",0)</f>
        <v>Price Missing</v>
      </c>
      <c r="J1755" s="19">
        <f t="shared" si="27"/>
        <v>0</v>
      </c>
    </row>
    <row r="1756" spans="1:10" x14ac:dyDescent="0.35">
      <c r="A1756" s="4" t="s">
        <v>5776</v>
      </c>
      <c r="B1756" s="7" t="s">
        <v>1679</v>
      </c>
      <c r="C1756" s="7" t="s">
        <v>3144</v>
      </c>
      <c r="D1756" s="5">
        <v>2</v>
      </c>
      <c r="E1756" s="7" t="str">
        <f>_xlfn.XLOOKUP(B1756,Customers!A1756:A2755,Customers!B1756:B2755,"Customer Not Found",0)</f>
        <v>Customer Not Found</v>
      </c>
      <c r="F1756" s="7" t="str">
        <f>_xlfn.XLOOKUP(Orders!B1756,Customers!A1756:A2755,Customers!C1756:C2755,"Country not Found",0)</f>
        <v>Country not Found</v>
      </c>
      <c r="G1756" s="7" t="str">
        <f>_xlfn.XLOOKUP(C1756,Products!A1756:A2255,Products!B1756:B2255,"Product Missing",0)</f>
        <v>Product Missing</v>
      </c>
      <c r="H1756" s="7" t="str">
        <f>_xlfn.XLOOKUP(C1756,Products!A1756:A2255,Products!C1756:C2255,"Category Missing",0)</f>
        <v>Category Missing</v>
      </c>
      <c r="I1756" s="11" t="str">
        <f>_xlfn.XLOOKUP(Orders!C1756,Products!A1756:A2255,Products!D1756:D2255,"Price Missing",0)</f>
        <v>Price Missing</v>
      </c>
      <c r="J1756" s="19">
        <f t="shared" si="27"/>
        <v>0</v>
      </c>
    </row>
    <row r="1757" spans="1:10" x14ac:dyDescent="0.35">
      <c r="A1757" s="4" t="s">
        <v>5777</v>
      </c>
      <c r="B1757" s="7" t="s">
        <v>320</v>
      </c>
      <c r="C1757" s="7" t="s">
        <v>3041</v>
      </c>
      <c r="D1757" s="5">
        <v>8</v>
      </c>
      <c r="E1757" s="7" t="str">
        <f>_xlfn.XLOOKUP(B1757,Customers!A1757:A2756,Customers!B1757:B2756,"Customer Not Found",0)</f>
        <v>Customer Not Found</v>
      </c>
      <c r="F1757" s="7" t="str">
        <f>_xlfn.XLOOKUP(Orders!B1757,Customers!A1757:A2756,Customers!C1757:C2756,"Country not Found",0)</f>
        <v>Country not Found</v>
      </c>
      <c r="G1757" s="7" t="str">
        <f>_xlfn.XLOOKUP(C1757,Products!A1757:A2256,Products!B1757:B2256,"Product Missing",0)</f>
        <v>Product Missing</v>
      </c>
      <c r="H1757" s="7" t="str">
        <f>_xlfn.XLOOKUP(C1757,Products!A1757:A2256,Products!C1757:C2256,"Category Missing",0)</f>
        <v>Category Missing</v>
      </c>
      <c r="I1757" s="11" t="str">
        <f>_xlfn.XLOOKUP(Orders!C1757,Products!A1757:A2256,Products!D1757:D2256,"Price Missing",0)</f>
        <v>Price Missing</v>
      </c>
      <c r="J1757" s="19">
        <f t="shared" si="27"/>
        <v>0</v>
      </c>
    </row>
    <row r="1758" spans="1:10" x14ac:dyDescent="0.35">
      <c r="A1758" s="4" t="s">
        <v>5778</v>
      </c>
      <c r="B1758" s="7" t="s">
        <v>2582</v>
      </c>
      <c r="C1758" s="7" t="s">
        <v>3936</v>
      </c>
      <c r="D1758" s="5">
        <v>6</v>
      </c>
      <c r="E1758" s="7" t="str">
        <f>_xlfn.XLOOKUP(B1758,Customers!A1758:A2757,Customers!B1758:B2757,"Customer Not Found",0)</f>
        <v>Customer Not Found</v>
      </c>
      <c r="F1758" s="7" t="str">
        <f>_xlfn.XLOOKUP(Orders!B1758,Customers!A1758:A2757,Customers!C1758:C2757,"Country not Found",0)</f>
        <v>Country not Found</v>
      </c>
      <c r="G1758" s="7" t="str">
        <f>_xlfn.XLOOKUP(C1758,Products!A1758:A2257,Products!B1758:B2257,"Product Missing",0)</f>
        <v>Product Missing</v>
      </c>
      <c r="H1758" s="7" t="str">
        <f>_xlfn.XLOOKUP(C1758,Products!A1758:A2257,Products!C1758:C2257,"Category Missing",0)</f>
        <v>Category Missing</v>
      </c>
      <c r="I1758" s="11" t="str">
        <f>_xlfn.XLOOKUP(Orders!C1758,Products!A1758:A2257,Products!D1758:D2257,"Price Missing",0)</f>
        <v>Price Missing</v>
      </c>
      <c r="J1758" s="19">
        <f t="shared" si="27"/>
        <v>0</v>
      </c>
    </row>
    <row r="1759" spans="1:10" x14ac:dyDescent="0.35">
      <c r="A1759" s="4" t="s">
        <v>5779</v>
      </c>
      <c r="B1759" s="7" t="s">
        <v>1079</v>
      </c>
      <c r="C1759" s="7" t="s">
        <v>3502</v>
      </c>
      <c r="D1759" s="5">
        <v>5</v>
      </c>
      <c r="E1759" s="7" t="str">
        <f>_xlfn.XLOOKUP(B1759,Customers!A1759:A2758,Customers!B1759:B2758,"Customer Not Found",0)</f>
        <v>Customer Not Found</v>
      </c>
      <c r="F1759" s="7" t="str">
        <f>_xlfn.XLOOKUP(Orders!B1759,Customers!A1759:A2758,Customers!C1759:C2758,"Country not Found",0)</f>
        <v>Country not Found</v>
      </c>
      <c r="G1759" s="7" t="str">
        <f>_xlfn.XLOOKUP(C1759,Products!A1759:A2258,Products!B1759:B2258,"Product Missing",0)</f>
        <v>Product Missing</v>
      </c>
      <c r="H1759" s="7" t="str">
        <f>_xlfn.XLOOKUP(C1759,Products!A1759:A2258,Products!C1759:C2258,"Category Missing",0)</f>
        <v>Category Missing</v>
      </c>
      <c r="I1759" s="11" t="str">
        <f>_xlfn.XLOOKUP(Orders!C1759,Products!A1759:A2258,Products!D1759:D2258,"Price Missing",0)</f>
        <v>Price Missing</v>
      </c>
      <c r="J1759" s="19">
        <f t="shared" si="27"/>
        <v>0</v>
      </c>
    </row>
    <row r="1760" spans="1:10" x14ac:dyDescent="0.35">
      <c r="A1760" s="4" t="s">
        <v>5780</v>
      </c>
      <c r="B1760" s="7" t="s">
        <v>668</v>
      </c>
      <c r="C1760" s="7" t="s">
        <v>3148</v>
      </c>
      <c r="D1760" s="5">
        <v>8</v>
      </c>
      <c r="E1760" s="7" t="str">
        <f>_xlfn.XLOOKUP(B1760,Customers!A1760:A2759,Customers!B1760:B2759,"Customer Not Found",0)</f>
        <v>Customer Not Found</v>
      </c>
      <c r="F1760" s="7" t="str">
        <f>_xlfn.XLOOKUP(Orders!B1760,Customers!A1760:A2759,Customers!C1760:C2759,"Country not Found",0)</f>
        <v>Country not Found</v>
      </c>
      <c r="G1760" s="7" t="str">
        <f>_xlfn.XLOOKUP(C1760,Products!A1760:A2259,Products!B1760:B2259,"Product Missing",0)</f>
        <v>Product Missing</v>
      </c>
      <c r="H1760" s="7" t="str">
        <f>_xlfn.XLOOKUP(C1760,Products!A1760:A2259,Products!C1760:C2259,"Category Missing",0)</f>
        <v>Category Missing</v>
      </c>
      <c r="I1760" s="11" t="str">
        <f>_xlfn.XLOOKUP(Orders!C1760,Products!A1760:A2259,Products!D1760:D2259,"Price Missing",0)</f>
        <v>Price Missing</v>
      </c>
      <c r="J1760" s="19">
        <f t="shared" si="27"/>
        <v>0</v>
      </c>
    </row>
    <row r="1761" spans="1:10" x14ac:dyDescent="0.35">
      <c r="A1761" s="4" t="s">
        <v>5781</v>
      </c>
      <c r="B1761" s="7" t="s">
        <v>1334</v>
      </c>
      <c r="C1761" s="7" t="s">
        <v>3760</v>
      </c>
      <c r="D1761" s="5">
        <v>5</v>
      </c>
      <c r="E1761" s="7" t="str">
        <f>_xlfn.XLOOKUP(B1761,Customers!A1761:A2760,Customers!B1761:B2760,"Customer Not Found",0)</f>
        <v>Customer Not Found</v>
      </c>
      <c r="F1761" s="7" t="str">
        <f>_xlfn.XLOOKUP(Orders!B1761,Customers!A1761:A2760,Customers!C1761:C2760,"Country not Found",0)</f>
        <v>Country not Found</v>
      </c>
      <c r="G1761" s="7" t="str">
        <f>_xlfn.XLOOKUP(C1761,Products!A1761:A2260,Products!B1761:B2260,"Product Missing",0)</f>
        <v>Product Missing</v>
      </c>
      <c r="H1761" s="7" t="str">
        <f>_xlfn.XLOOKUP(C1761,Products!A1761:A2260,Products!C1761:C2260,"Category Missing",0)</f>
        <v>Category Missing</v>
      </c>
      <c r="I1761" s="11" t="str">
        <f>_xlfn.XLOOKUP(Orders!C1761,Products!A1761:A2260,Products!D1761:D2260,"Price Missing",0)</f>
        <v>Price Missing</v>
      </c>
      <c r="J1761" s="19">
        <f t="shared" si="27"/>
        <v>0</v>
      </c>
    </row>
    <row r="1762" spans="1:10" x14ac:dyDescent="0.35">
      <c r="A1762" s="4" t="s">
        <v>5782</v>
      </c>
      <c r="B1762" s="7" t="s">
        <v>728</v>
      </c>
      <c r="C1762" s="7" t="s">
        <v>3890</v>
      </c>
      <c r="D1762" s="5">
        <v>7</v>
      </c>
      <c r="E1762" s="7" t="str">
        <f>_xlfn.XLOOKUP(B1762,Customers!A1762:A2761,Customers!B1762:B2761,"Customer Not Found",0)</f>
        <v>Customer Not Found</v>
      </c>
      <c r="F1762" s="7" t="str">
        <f>_xlfn.XLOOKUP(Orders!B1762,Customers!A1762:A2761,Customers!C1762:C2761,"Country not Found",0)</f>
        <v>Country not Found</v>
      </c>
      <c r="G1762" s="7" t="str">
        <f>_xlfn.XLOOKUP(C1762,Products!A1762:A2261,Products!B1762:B2261,"Product Missing",0)</f>
        <v>Product Missing</v>
      </c>
      <c r="H1762" s="7" t="str">
        <f>_xlfn.XLOOKUP(C1762,Products!A1762:A2261,Products!C1762:C2261,"Category Missing",0)</f>
        <v>Category Missing</v>
      </c>
      <c r="I1762" s="11" t="str">
        <f>_xlfn.XLOOKUP(Orders!C1762,Products!A1762:A2261,Products!D1762:D2261,"Price Missing",0)</f>
        <v>Price Missing</v>
      </c>
      <c r="J1762" s="19">
        <f t="shared" si="27"/>
        <v>0</v>
      </c>
    </row>
    <row r="1763" spans="1:10" x14ac:dyDescent="0.35">
      <c r="A1763" s="4" t="s">
        <v>5783</v>
      </c>
      <c r="B1763" s="7" t="s">
        <v>2309</v>
      </c>
      <c r="C1763" s="7" t="s">
        <v>3850</v>
      </c>
      <c r="D1763" s="5">
        <v>8</v>
      </c>
      <c r="E1763" s="7" t="str">
        <f>_xlfn.XLOOKUP(B1763,Customers!A1763:A2762,Customers!B1763:B2762,"Customer Not Found",0)</f>
        <v>Customer Not Found</v>
      </c>
      <c r="F1763" s="7" t="str">
        <f>_xlfn.XLOOKUP(Orders!B1763,Customers!A1763:A2762,Customers!C1763:C2762,"Country not Found",0)</f>
        <v>Country not Found</v>
      </c>
      <c r="G1763" s="7" t="str">
        <f>_xlfn.XLOOKUP(C1763,Products!A1763:A2262,Products!B1763:B2262,"Product Missing",0)</f>
        <v>Product Missing</v>
      </c>
      <c r="H1763" s="7" t="str">
        <f>_xlfn.XLOOKUP(C1763,Products!A1763:A2262,Products!C1763:C2262,"Category Missing",0)</f>
        <v>Category Missing</v>
      </c>
      <c r="I1763" s="11" t="str">
        <f>_xlfn.XLOOKUP(Orders!C1763,Products!A1763:A2262,Products!D1763:D2262,"Price Missing",0)</f>
        <v>Price Missing</v>
      </c>
      <c r="J1763" s="19">
        <f t="shared" si="27"/>
        <v>0</v>
      </c>
    </row>
    <row r="1764" spans="1:10" x14ac:dyDescent="0.35">
      <c r="A1764" s="4" t="s">
        <v>5784</v>
      </c>
      <c r="B1764" s="7" t="s">
        <v>2135</v>
      </c>
      <c r="C1764" s="7" t="s">
        <v>3192</v>
      </c>
      <c r="D1764" s="5">
        <v>10</v>
      </c>
      <c r="E1764" s="7" t="str">
        <f>_xlfn.XLOOKUP(B1764,Customers!A1764:A2763,Customers!B1764:B2763,"Customer Not Found",0)</f>
        <v>Customer Not Found</v>
      </c>
      <c r="F1764" s="7" t="str">
        <f>_xlfn.XLOOKUP(Orders!B1764,Customers!A1764:A2763,Customers!C1764:C2763,"Country not Found",0)</f>
        <v>Country not Found</v>
      </c>
      <c r="G1764" s="7" t="str">
        <f>_xlfn.XLOOKUP(C1764,Products!A1764:A2263,Products!B1764:B2263,"Product Missing",0)</f>
        <v>Product Missing</v>
      </c>
      <c r="H1764" s="7" t="str">
        <f>_xlfn.XLOOKUP(C1764,Products!A1764:A2263,Products!C1764:C2263,"Category Missing",0)</f>
        <v>Category Missing</v>
      </c>
      <c r="I1764" s="11" t="str">
        <f>_xlfn.XLOOKUP(Orders!C1764,Products!A1764:A2263,Products!D1764:D2263,"Price Missing",0)</f>
        <v>Price Missing</v>
      </c>
      <c r="J1764" s="19">
        <f t="shared" si="27"/>
        <v>0</v>
      </c>
    </row>
    <row r="1765" spans="1:10" x14ac:dyDescent="0.35">
      <c r="A1765" s="4" t="s">
        <v>5785</v>
      </c>
      <c r="B1765" s="7" t="s">
        <v>1610</v>
      </c>
      <c r="C1765" s="7" t="s">
        <v>3980</v>
      </c>
      <c r="D1765" s="5">
        <v>7</v>
      </c>
      <c r="E1765" s="7" t="str">
        <f>_xlfn.XLOOKUP(B1765,Customers!A1765:A2764,Customers!B1765:B2764,"Customer Not Found",0)</f>
        <v>Customer Not Found</v>
      </c>
      <c r="F1765" s="7" t="str">
        <f>_xlfn.XLOOKUP(Orders!B1765,Customers!A1765:A2764,Customers!C1765:C2764,"Country not Found",0)</f>
        <v>Country not Found</v>
      </c>
      <c r="G1765" s="7" t="str">
        <f>_xlfn.XLOOKUP(C1765,Products!A1765:A2264,Products!B1765:B2264,"Product Missing",0)</f>
        <v>Product Missing</v>
      </c>
      <c r="H1765" s="7" t="str">
        <f>_xlfn.XLOOKUP(C1765,Products!A1765:A2264,Products!C1765:C2264,"Category Missing",0)</f>
        <v>Category Missing</v>
      </c>
      <c r="I1765" s="11" t="str">
        <f>_xlfn.XLOOKUP(Orders!C1765,Products!A1765:A2264,Products!D1765:D2264,"Price Missing",0)</f>
        <v>Price Missing</v>
      </c>
      <c r="J1765" s="19">
        <f t="shared" si="27"/>
        <v>0</v>
      </c>
    </row>
    <row r="1766" spans="1:10" x14ac:dyDescent="0.35">
      <c r="A1766" s="4" t="s">
        <v>5786</v>
      </c>
      <c r="B1766" s="7" t="s">
        <v>1574</v>
      </c>
      <c r="C1766" s="7" t="s">
        <v>3862</v>
      </c>
      <c r="D1766" s="5">
        <v>1</v>
      </c>
      <c r="E1766" s="7" t="str">
        <f>_xlfn.XLOOKUP(B1766,Customers!A1766:A2765,Customers!B1766:B2765,"Customer Not Found",0)</f>
        <v>Customer Not Found</v>
      </c>
      <c r="F1766" s="7" t="str">
        <f>_xlfn.XLOOKUP(Orders!B1766,Customers!A1766:A2765,Customers!C1766:C2765,"Country not Found",0)</f>
        <v>Country not Found</v>
      </c>
      <c r="G1766" s="7" t="str">
        <f>_xlfn.XLOOKUP(C1766,Products!A1766:A2265,Products!B1766:B2265,"Product Missing",0)</f>
        <v>Product Missing</v>
      </c>
      <c r="H1766" s="7" t="str">
        <f>_xlfn.XLOOKUP(C1766,Products!A1766:A2265,Products!C1766:C2265,"Category Missing",0)</f>
        <v>Category Missing</v>
      </c>
      <c r="I1766" s="11" t="str">
        <f>_xlfn.XLOOKUP(Orders!C1766,Products!A1766:A2265,Products!D1766:D2265,"Price Missing",0)</f>
        <v>Price Missing</v>
      </c>
      <c r="J1766" s="19">
        <f t="shared" si="27"/>
        <v>0</v>
      </c>
    </row>
    <row r="1767" spans="1:10" x14ac:dyDescent="0.35">
      <c r="A1767" s="4" t="s">
        <v>5787</v>
      </c>
      <c r="B1767" s="7" t="s">
        <v>428</v>
      </c>
      <c r="C1767" s="7" t="s">
        <v>3708</v>
      </c>
      <c r="D1767" s="5">
        <v>6</v>
      </c>
      <c r="E1767" s="7" t="str">
        <f>_xlfn.XLOOKUP(B1767,Customers!A1767:A2766,Customers!B1767:B2766,"Customer Not Found",0)</f>
        <v>Customer Not Found</v>
      </c>
      <c r="F1767" s="7" t="str">
        <f>_xlfn.XLOOKUP(Orders!B1767,Customers!A1767:A2766,Customers!C1767:C2766,"Country not Found",0)</f>
        <v>Country not Found</v>
      </c>
      <c r="G1767" s="7" t="str">
        <f>_xlfn.XLOOKUP(C1767,Products!A1767:A2266,Products!B1767:B2266,"Product Missing",0)</f>
        <v>Product Missing</v>
      </c>
      <c r="H1767" s="7" t="str">
        <f>_xlfn.XLOOKUP(C1767,Products!A1767:A2266,Products!C1767:C2266,"Category Missing",0)</f>
        <v>Category Missing</v>
      </c>
      <c r="I1767" s="11" t="str">
        <f>_xlfn.XLOOKUP(Orders!C1767,Products!A1767:A2266,Products!D1767:D2266,"Price Missing",0)</f>
        <v>Price Missing</v>
      </c>
      <c r="J1767" s="19">
        <f t="shared" si="27"/>
        <v>0</v>
      </c>
    </row>
    <row r="1768" spans="1:10" x14ac:dyDescent="0.35">
      <c r="A1768" s="4" t="s">
        <v>5788</v>
      </c>
      <c r="B1768" s="7" t="s">
        <v>2774</v>
      </c>
      <c r="C1768" s="7" t="s">
        <v>3518</v>
      </c>
      <c r="D1768" s="5">
        <v>4</v>
      </c>
      <c r="E1768" s="7" t="str">
        <f>_xlfn.XLOOKUP(B1768,Customers!A1768:A2767,Customers!B1768:B2767,"Customer Not Found",0)</f>
        <v>Customer Not Found</v>
      </c>
      <c r="F1768" s="7" t="str">
        <f>_xlfn.XLOOKUP(Orders!B1768,Customers!A1768:A2767,Customers!C1768:C2767,"Country not Found",0)</f>
        <v>Country not Found</v>
      </c>
      <c r="G1768" s="7" t="str">
        <f>_xlfn.XLOOKUP(C1768,Products!A1768:A2267,Products!B1768:B2267,"Product Missing",0)</f>
        <v>Product Missing</v>
      </c>
      <c r="H1768" s="7" t="str">
        <f>_xlfn.XLOOKUP(C1768,Products!A1768:A2267,Products!C1768:C2267,"Category Missing",0)</f>
        <v>Category Missing</v>
      </c>
      <c r="I1768" s="11" t="str">
        <f>_xlfn.XLOOKUP(Orders!C1768,Products!A1768:A2267,Products!D1768:D2267,"Price Missing",0)</f>
        <v>Price Missing</v>
      </c>
      <c r="J1768" s="19">
        <f t="shared" si="27"/>
        <v>0</v>
      </c>
    </row>
    <row r="1769" spans="1:10" x14ac:dyDescent="0.35">
      <c r="A1769" s="4" t="s">
        <v>5789</v>
      </c>
      <c r="B1769" s="7" t="s">
        <v>2591</v>
      </c>
      <c r="C1769" s="7" t="s">
        <v>3994</v>
      </c>
      <c r="D1769" s="5">
        <v>5</v>
      </c>
      <c r="E1769" s="7" t="str">
        <f>_xlfn.XLOOKUP(B1769,Customers!A1769:A2768,Customers!B1769:B2768,"Customer Not Found",0)</f>
        <v>Customer Not Found</v>
      </c>
      <c r="F1769" s="7" t="str">
        <f>_xlfn.XLOOKUP(Orders!B1769,Customers!A1769:A2768,Customers!C1769:C2768,"Country not Found",0)</f>
        <v>Country not Found</v>
      </c>
      <c r="G1769" s="7" t="str">
        <f>_xlfn.XLOOKUP(C1769,Products!A1769:A2268,Products!B1769:B2268,"Product Missing",0)</f>
        <v>Product Missing</v>
      </c>
      <c r="H1769" s="7" t="str">
        <f>_xlfn.XLOOKUP(C1769,Products!A1769:A2268,Products!C1769:C2268,"Category Missing",0)</f>
        <v>Category Missing</v>
      </c>
      <c r="I1769" s="11" t="str">
        <f>_xlfn.XLOOKUP(Orders!C1769,Products!A1769:A2268,Products!D1769:D2268,"Price Missing",0)</f>
        <v>Price Missing</v>
      </c>
      <c r="J1769" s="19">
        <f t="shared" si="27"/>
        <v>0</v>
      </c>
    </row>
    <row r="1770" spans="1:10" x14ac:dyDescent="0.35">
      <c r="A1770" s="4" t="s">
        <v>5790</v>
      </c>
      <c r="B1770" s="7" t="s">
        <v>1775</v>
      </c>
      <c r="C1770" s="7" t="s">
        <v>3602</v>
      </c>
      <c r="D1770" s="5">
        <v>6</v>
      </c>
      <c r="E1770" s="7" t="str">
        <f>_xlfn.XLOOKUP(B1770,Customers!A1770:A2769,Customers!B1770:B2769,"Customer Not Found",0)</f>
        <v>Customer Not Found</v>
      </c>
      <c r="F1770" s="7" t="str">
        <f>_xlfn.XLOOKUP(Orders!B1770,Customers!A1770:A2769,Customers!C1770:C2769,"Country not Found",0)</f>
        <v>Country not Found</v>
      </c>
      <c r="G1770" s="7" t="str">
        <f>_xlfn.XLOOKUP(C1770,Products!A1770:A2269,Products!B1770:B2269,"Product Missing",0)</f>
        <v>Product Missing</v>
      </c>
      <c r="H1770" s="7" t="str">
        <f>_xlfn.XLOOKUP(C1770,Products!A1770:A2269,Products!C1770:C2269,"Category Missing",0)</f>
        <v>Category Missing</v>
      </c>
      <c r="I1770" s="11" t="str">
        <f>_xlfn.XLOOKUP(Orders!C1770,Products!A1770:A2269,Products!D1770:D2269,"Price Missing",0)</f>
        <v>Price Missing</v>
      </c>
      <c r="J1770" s="19">
        <f t="shared" si="27"/>
        <v>0</v>
      </c>
    </row>
    <row r="1771" spans="1:10" x14ac:dyDescent="0.35">
      <c r="A1771" s="4" t="s">
        <v>5791</v>
      </c>
      <c r="B1771" s="7" t="s">
        <v>2645</v>
      </c>
      <c r="C1771" s="7" t="s">
        <v>3514</v>
      </c>
      <c r="D1771" s="5">
        <v>10</v>
      </c>
      <c r="E1771" s="7" t="str">
        <f>_xlfn.XLOOKUP(B1771,Customers!A1771:A2770,Customers!B1771:B2770,"Customer Not Found",0)</f>
        <v>Customer Not Found</v>
      </c>
      <c r="F1771" s="7" t="str">
        <f>_xlfn.XLOOKUP(Orders!B1771,Customers!A1771:A2770,Customers!C1771:C2770,"Country not Found",0)</f>
        <v>Country not Found</v>
      </c>
      <c r="G1771" s="7" t="str">
        <f>_xlfn.XLOOKUP(C1771,Products!A1771:A2270,Products!B1771:B2270,"Product Missing",0)</f>
        <v>Product Missing</v>
      </c>
      <c r="H1771" s="7" t="str">
        <f>_xlfn.XLOOKUP(C1771,Products!A1771:A2270,Products!C1771:C2270,"Category Missing",0)</f>
        <v>Category Missing</v>
      </c>
      <c r="I1771" s="11" t="str">
        <f>_xlfn.XLOOKUP(Orders!C1771,Products!A1771:A2270,Products!D1771:D2270,"Price Missing",0)</f>
        <v>Price Missing</v>
      </c>
      <c r="J1771" s="19">
        <f t="shared" si="27"/>
        <v>0</v>
      </c>
    </row>
    <row r="1772" spans="1:10" x14ac:dyDescent="0.35">
      <c r="A1772" s="4" t="s">
        <v>5792</v>
      </c>
      <c r="B1772" s="7" t="s">
        <v>2969</v>
      </c>
      <c r="C1772" s="7" t="s">
        <v>3146</v>
      </c>
      <c r="D1772" s="5">
        <v>10</v>
      </c>
      <c r="E1772" s="7" t="str">
        <f>_xlfn.XLOOKUP(B1772,Customers!A1772:A2771,Customers!B1772:B2771,"Customer Not Found",0)</f>
        <v>Customer Not Found</v>
      </c>
      <c r="F1772" s="7" t="str">
        <f>_xlfn.XLOOKUP(Orders!B1772,Customers!A1772:A2771,Customers!C1772:C2771,"Country not Found",0)</f>
        <v>Country not Found</v>
      </c>
      <c r="G1772" s="7" t="str">
        <f>_xlfn.XLOOKUP(C1772,Products!A1772:A2271,Products!B1772:B2271,"Product Missing",0)</f>
        <v>Product Missing</v>
      </c>
      <c r="H1772" s="7" t="str">
        <f>_xlfn.XLOOKUP(C1772,Products!A1772:A2271,Products!C1772:C2271,"Category Missing",0)</f>
        <v>Category Missing</v>
      </c>
      <c r="I1772" s="11" t="str">
        <f>_xlfn.XLOOKUP(Orders!C1772,Products!A1772:A2271,Products!D1772:D2271,"Price Missing",0)</f>
        <v>Price Missing</v>
      </c>
      <c r="J1772" s="19">
        <f t="shared" si="27"/>
        <v>0</v>
      </c>
    </row>
    <row r="1773" spans="1:10" x14ac:dyDescent="0.35">
      <c r="A1773" s="4" t="s">
        <v>5793</v>
      </c>
      <c r="B1773" s="7" t="s">
        <v>728</v>
      </c>
      <c r="C1773" s="7" t="s">
        <v>3378</v>
      </c>
      <c r="D1773" s="5">
        <v>3</v>
      </c>
      <c r="E1773" s="7" t="str">
        <f>_xlfn.XLOOKUP(B1773,Customers!A1773:A2772,Customers!B1773:B2772,"Customer Not Found",0)</f>
        <v>Customer Not Found</v>
      </c>
      <c r="F1773" s="7" t="str">
        <f>_xlfn.XLOOKUP(Orders!B1773,Customers!A1773:A2772,Customers!C1773:C2772,"Country not Found",0)</f>
        <v>Country not Found</v>
      </c>
      <c r="G1773" s="7" t="str">
        <f>_xlfn.XLOOKUP(C1773,Products!A1773:A2272,Products!B1773:B2272,"Product Missing",0)</f>
        <v>Product Missing</v>
      </c>
      <c r="H1773" s="7" t="str">
        <f>_xlfn.XLOOKUP(C1773,Products!A1773:A2272,Products!C1773:C2272,"Category Missing",0)</f>
        <v>Category Missing</v>
      </c>
      <c r="I1773" s="11" t="str">
        <f>_xlfn.XLOOKUP(Orders!C1773,Products!A1773:A2272,Products!D1773:D2272,"Price Missing",0)</f>
        <v>Price Missing</v>
      </c>
      <c r="J1773" s="19">
        <f t="shared" si="27"/>
        <v>0</v>
      </c>
    </row>
    <row r="1774" spans="1:10" x14ac:dyDescent="0.35">
      <c r="A1774" s="4" t="s">
        <v>5794</v>
      </c>
      <c r="B1774" s="7" t="s">
        <v>2783</v>
      </c>
      <c r="C1774" s="7" t="s">
        <v>3292</v>
      </c>
      <c r="D1774" s="5">
        <v>1</v>
      </c>
      <c r="E1774" s="7" t="str">
        <f>_xlfn.XLOOKUP(B1774,Customers!A1774:A2773,Customers!B1774:B2773,"Customer Not Found",0)</f>
        <v>Customer Not Found</v>
      </c>
      <c r="F1774" s="7" t="str">
        <f>_xlfn.XLOOKUP(Orders!B1774,Customers!A1774:A2773,Customers!C1774:C2773,"Country not Found",0)</f>
        <v>Country not Found</v>
      </c>
      <c r="G1774" s="7" t="str">
        <f>_xlfn.XLOOKUP(C1774,Products!A1774:A2273,Products!B1774:B2273,"Product Missing",0)</f>
        <v>Product Missing</v>
      </c>
      <c r="H1774" s="7" t="str">
        <f>_xlfn.XLOOKUP(C1774,Products!A1774:A2273,Products!C1774:C2273,"Category Missing",0)</f>
        <v>Category Missing</v>
      </c>
      <c r="I1774" s="11" t="str">
        <f>_xlfn.XLOOKUP(Orders!C1774,Products!A1774:A2273,Products!D1774:D2273,"Price Missing",0)</f>
        <v>Price Missing</v>
      </c>
      <c r="J1774" s="19">
        <f t="shared" si="27"/>
        <v>0</v>
      </c>
    </row>
    <row r="1775" spans="1:10" x14ac:dyDescent="0.35">
      <c r="A1775" s="4" t="s">
        <v>5795</v>
      </c>
      <c r="B1775" s="7" t="s">
        <v>476</v>
      </c>
      <c r="C1775" s="7" t="s">
        <v>3946</v>
      </c>
      <c r="D1775" s="5">
        <v>6</v>
      </c>
      <c r="E1775" s="7" t="str">
        <f>_xlfn.XLOOKUP(B1775,Customers!A1775:A2774,Customers!B1775:B2774,"Customer Not Found",0)</f>
        <v>Customer Not Found</v>
      </c>
      <c r="F1775" s="7" t="str">
        <f>_xlfn.XLOOKUP(Orders!B1775,Customers!A1775:A2774,Customers!C1775:C2774,"Country not Found",0)</f>
        <v>Country not Found</v>
      </c>
      <c r="G1775" s="7" t="str">
        <f>_xlfn.XLOOKUP(C1775,Products!A1775:A2274,Products!B1775:B2274,"Product Missing",0)</f>
        <v>Product Missing</v>
      </c>
      <c r="H1775" s="7" t="str">
        <f>_xlfn.XLOOKUP(C1775,Products!A1775:A2274,Products!C1775:C2274,"Category Missing",0)</f>
        <v>Category Missing</v>
      </c>
      <c r="I1775" s="11" t="str">
        <f>_xlfn.XLOOKUP(Orders!C1775,Products!A1775:A2274,Products!D1775:D2274,"Price Missing",0)</f>
        <v>Price Missing</v>
      </c>
      <c r="J1775" s="19">
        <f t="shared" si="27"/>
        <v>0</v>
      </c>
    </row>
    <row r="1776" spans="1:10" x14ac:dyDescent="0.35">
      <c r="A1776" s="4" t="s">
        <v>5796</v>
      </c>
      <c r="B1776" s="7" t="s">
        <v>440</v>
      </c>
      <c r="C1776" s="7" t="s">
        <v>3238</v>
      </c>
      <c r="D1776" s="5">
        <v>4</v>
      </c>
      <c r="E1776" s="7" t="str">
        <f>_xlfn.XLOOKUP(B1776,Customers!A1776:A2775,Customers!B1776:B2775,"Customer Not Found",0)</f>
        <v>Customer Not Found</v>
      </c>
      <c r="F1776" s="7" t="str">
        <f>_xlfn.XLOOKUP(Orders!B1776,Customers!A1776:A2775,Customers!C1776:C2775,"Country not Found",0)</f>
        <v>Country not Found</v>
      </c>
      <c r="G1776" s="7" t="str">
        <f>_xlfn.XLOOKUP(C1776,Products!A1776:A2275,Products!B1776:B2275,"Product Missing",0)</f>
        <v>Product Missing</v>
      </c>
      <c r="H1776" s="7" t="str">
        <f>_xlfn.XLOOKUP(C1776,Products!A1776:A2275,Products!C1776:C2275,"Category Missing",0)</f>
        <v>Category Missing</v>
      </c>
      <c r="I1776" s="11" t="str">
        <f>_xlfn.XLOOKUP(Orders!C1776,Products!A1776:A2275,Products!D1776:D2275,"Price Missing",0)</f>
        <v>Price Missing</v>
      </c>
      <c r="J1776" s="19">
        <f t="shared" si="27"/>
        <v>0</v>
      </c>
    </row>
    <row r="1777" spans="1:10" x14ac:dyDescent="0.35">
      <c r="A1777" s="4" t="s">
        <v>5797</v>
      </c>
      <c r="B1777" s="7" t="s">
        <v>2870</v>
      </c>
      <c r="C1777" s="7" t="s">
        <v>3064</v>
      </c>
      <c r="D1777" s="5">
        <v>2</v>
      </c>
      <c r="E1777" s="7" t="str">
        <f>_xlfn.XLOOKUP(B1777,Customers!A1777:A2776,Customers!B1777:B2776,"Customer Not Found",0)</f>
        <v>Customer Not Found</v>
      </c>
      <c r="F1777" s="7" t="str">
        <f>_xlfn.XLOOKUP(Orders!B1777,Customers!A1777:A2776,Customers!C1777:C2776,"Country not Found",0)</f>
        <v>Country not Found</v>
      </c>
      <c r="G1777" s="7" t="str">
        <f>_xlfn.XLOOKUP(C1777,Products!A1777:A2276,Products!B1777:B2276,"Product Missing",0)</f>
        <v>Product Missing</v>
      </c>
      <c r="H1777" s="7" t="str">
        <f>_xlfn.XLOOKUP(C1777,Products!A1777:A2276,Products!C1777:C2276,"Category Missing",0)</f>
        <v>Category Missing</v>
      </c>
      <c r="I1777" s="11" t="str">
        <f>_xlfn.XLOOKUP(Orders!C1777,Products!A1777:A2276,Products!D1777:D2276,"Price Missing",0)</f>
        <v>Price Missing</v>
      </c>
      <c r="J1777" s="19">
        <f t="shared" si="27"/>
        <v>0</v>
      </c>
    </row>
    <row r="1778" spans="1:10" x14ac:dyDescent="0.35">
      <c r="A1778" s="4" t="s">
        <v>5798</v>
      </c>
      <c r="B1778" s="7" t="s">
        <v>251</v>
      </c>
      <c r="C1778" s="7" t="s">
        <v>3978</v>
      </c>
      <c r="D1778" s="5">
        <v>7</v>
      </c>
      <c r="E1778" s="7" t="str">
        <f>_xlfn.XLOOKUP(B1778,Customers!A1778:A2777,Customers!B1778:B2777,"Customer Not Found",0)</f>
        <v>Customer Not Found</v>
      </c>
      <c r="F1778" s="7" t="str">
        <f>_xlfn.XLOOKUP(Orders!B1778,Customers!A1778:A2777,Customers!C1778:C2777,"Country not Found",0)</f>
        <v>Country not Found</v>
      </c>
      <c r="G1778" s="7" t="str">
        <f>_xlfn.XLOOKUP(C1778,Products!A1778:A2277,Products!B1778:B2277,"Product Missing",0)</f>
        <v>Product Missing</v>
      </c>
      <c r="H1778" s="7" t="str">
        <f>_xlfn.XLOOKUP(C1778,Products!A1778:A2277,Products!C1778:C2277,"Category Missing",0)</f>
        <v>Category Missing</v>
      </c>
      <c r="I1778" s="11" t="str">
        <f>_xlfn.XLOOKUP(Orders!C1778,Products!A1778:A2277,Products!D1778:D2277,"Price Missing",0)</f>
        <v>Price Missing</v>
      </c>
      <c r="J1778" s="19">
        <f t="shared" si="27"/>
        <v>0</v>
      </c>
    </row>
    <row r="1779" spans="1:10" x14ac:dyDescent="0.35">
      <c r="A1779" s="4" t="s">
        <v>5799</v>
      </c>
      <c r="B1779" s="7" t="s">
        <v>140</v>
      </c>
      <c r="C1779" s="7" t="s">
        <v>3324</v>
      </c>
      <c r="D1779" s="5">
        <v>4</v>
      </c>
      <c r="E1779" s="7" t="str">
        <f>_xlfn.XLOOKUP(B1779,Customers!A1779:A2778,Customers!B1779:B2778,"Customer Not Found",0)</f>
        <v>Customer Not Found</v>
      </c>
      <c r="F1779" s="7" t="str">
        <f>_xlfn.XLOOKUP(Orders!B1779,Customers!A1779:A2778,Customers!C1779:C2778,"Country not Found",0)</f>
        <v>Country not Found</v>
      </c>
      <c r="G1779" s="7" t="str">
        <f>_xlfn.XLOOKUP(C1779,Products!A1779:A2278,Products!B1779:B2278,"Product Missing",0)</f>
        <v>Product Missing</v>
      </c>
      <c r="H1779" s="7" t="str">
        <f>_xlfn.XLOOKUP(C1779,Products!A1779:A2278,Products!C1779:C2278,"Category Missing",0)</f>
        <v>Category Missing</v>
      </c>
      <c r="I1779" s="11" t="str">
        <f>_xlfn.XLOOKUP(Orders!C1779,Products!A1779:A2278,Products!D1779:D2278,"Price Missing",0)</f>
        <v>Price Missing</v>
      </c>
      <c r="J1779" s="19">
        <f t="shared" si="27"/>
        <v>0</v>
      </c>
    </row>
    <row r="1780" spans="1:10" x14ac:dyDescent="0.35">
      <c r="A1780" s="4" t="s">
        <v>5800</v>
      </c>
      <c r="B1780" s="7" t="s">
        <v>1199</v>
      </c>
      <c r="C1780" s="7" t="s">
        <v>3326</v>
      </c>
      <c r="D1780" s="5">
        <v>7</v>
      </c>
      <c r="E1780" s="7" t="str">
        <f>_xlfn.XLOOKUP(B1780,Customers!A1780:A2779,Customers!B1780:B2779,"Customer Not Found",0)</f>
        <v>Customer Not Found</v>
      </c>
      <c r="F1780" s="7" t="str">
        <f>_xlfn.XLOOKUP(Orders!B1780,Customers!A1780:A2779,Customers!C1780:C2779,"Country not Found",0)</f>
        <v>Country not Found</v>
      </c>
      <c r="G1780" s="7" t="str">
        <f>_xlfn.XLOOKUP(C1780,Products!A1780:A2279,Products!B1780:B2279,"Product Missing",0)</f>
        <v>Product Missing</v>
      </c>
      <c r="H1780" s="7" t="str">
        <f>_xlfn.XLOOKUP(C1780,Products!A1780:A2279,Products!C1780:C2279,"Category Missing",0)</f>
        <v>Category Missing</v>
      </c>
      <c r="I1780" s="11" t="str">
        <f>_xlfn.XLOOKUP(Orders!C1780,Products!A1780:A2279,Products!D1780:D2279,"Price Missing",0)</f>
        <v>Price Missing</v>
      </c>
      <c r="J1780" s="19">
        <f t="shared" si="27"/>
        <v>0</v>
      </c>
    </row>
    <row r="1781" spans="1:10" x14ac:dyDescent="0.35">
      <c r="A1781" s="4" t="s">
        <v>5801</v>
      </c>
      <c r="B1781" s="7" t="s">
        <v>2561</v>
      </c>
      <c r="C1781" s="7" t="s">
        <v>3850</v>
      </c>
      <c r="D1781" s="5">
        <v>6</v>
      </c>
      <c r="E1781" s="7" t="str">
        <f>_xlfn.XLOOKUP(B1781,Customers!A1781:A2780,Customers!B1781:B2780,"Customer Not Found",0)</f>
        <v>Customer Not Found</v>
      </c>
      <c r="F1781" s="7" t="str">
        <f>_xlfn.XLOOKUP(Orders!B1781,Customers!A1781:A2780,Customers!C1781:C2780,"Country not Found",0)</f>
        <v>Country not Found</v>
      </c>
      <c r="G1781" s="7" t="str">
        <f>_xlfn.XLOOKUP(C1781,Products!A1781:A2280,Products!B1781:B2280,"Product Missing",0)</f>
        <v>Product Missing</v>
      </c>
      <c r="H1781" s="7" t="str">
        <f>_xlfn.XLOOKUP(C1781,Products!A1781:A2280,Products!C1781:C2280,"Category Missing",0)</f>
        <v>Category Missing</v>
      </c>
      <c r="I1781" s="11" t="str">
        <f>_xlfn.XLOOKUP(Orders!C1781,Products!A1781:A2280,Products!D1781:D2280,"Price Missing",0)</f>
        <v>Price Missing</v>
      </c>
      <c r="J1781" s="19">
        <f t="shared" si="27"/>
        <v>0</v>
      </c>
    </row>
    <row r="1782" spans="1:10" x14ac:dyDescent="0.35">
      <c r="A1782" s="4" t="s">
        <v>5802</v>
      </c>
      <c r="B1782" s="7" t="s">
        <v>2015</v>
      </c>
      <c r="C1782" s="7" t="s">
        <v>3444</v>
      </c>
      <c r="D1782" s="5">
        <v>5</v>
      </c>
      <c r="E1782" s="7" t="str">
        <f>_xlfn.XLOOKUP(B1782,Customers!A1782:A2781,Customers!B1782:B2781,"Customer Not Found",0)</f>
        <v>Customer Not Found</v>
      </c>
      <c r="F1782" s="7" t="str">
        <f>_xlfn.XLOOKUP(Orders!B1782,Customers!A1782:A2781,Customers!C1782:C2781,"Country not Found",0)</f>
        <v>Country not Found</v>
      </c>
      <c r="G1782" s="7" t="str">
        <f>_xlfn.XLOOKUP(C1782,Products!A1782:A2281,Products!B1782:B2281,"Product Missing",0)</f>
        <v>Product Missing</v>
      </c>
      <c r="H1782" s="7" t="str">
        <f>_xlfn.XLOOKUP(C1782,Products!A1782:A2281,Products!C1782:C2281,"Category Missing",0)</f>
        <v>Category Missing</v>
      </c>
      <c r="I1782" s="11" t="str">
        <f>_xlfn.XLOOKUP(Orders!C1782,Products!A1782:A2281,Products!D1782:D2281,"Price Missing",0)</f>
        <v>Price Missing</v>
      </c>
      <c r="J1782" s="19">
        <f t="shared" si="27"/>
        <v>0</v>
      </c>
    </row>
    <row r="1783" spans="1:10" x14ac:dyDescent="0.35">
      <c r="A1783" s="4" t="s">
        <v>5803</v>
      </c>
      <c r="B1783" s="7" t="s">
        <v>2270</v>
      </c>
      <c r="C1783" s="7" t="s">
        <v>3592</v>
      </c>
      <c r="D1783" s="5">
        <v>5</v>
      </c>
      <c r="E1783" s="7" t="str">
        <f>_xlfn.XLOOKUP(B1783,Customers!A1783:A2782,Customers!B1783:B2782,"Customer Not Found",0)</f>
        <v>Customer Not Found</v>
      </c>
      <c r="F1783" s="7" t="str">
        <f>_xlfn.XLOOKUP(Orders!B1783,Customers!A1783:A2782,Customers!C1783:C2782,"Country not Found",0)</f>
        <v>Country not Found</v>
      </c>
      <c r="G1783" s="7" t="str">
        <f>_xlfn.XLOOKUP(C1783,Products!A1783:A2282,Products!B1783:B2282,"Product Missing",0)</f>
        <v>Product Missing</v>
      </c>
      <c r="H1783" s="7" t="str">
        <f>_xlfn.XLOOKUP(C1783,Products!A1783:A2282,Products!C1783:C2282,"Category Missing",0)</f>
        <v>Category Missing</v>
      </c>
      <c r="I1783" s="11" t="str">
        <f>_xlfn.XLOOKUP(Orders!C1783,Products!A1783:A2282,Products!D1783:D2282,"Price Missing",0)</f>
        <v>Price Missing</v>
      </c>
      <c r="J1783" s="19">
        <f t="shared" si="27"/>
        <v>0</v>
      </c>
    </row>
    <row r="1784" spans="1:10" x14ac:dyDescent="0.35">
      <c r="A1784" s="4" t="s">
        <v>5804</v>
      </c>
      <c r="B1784" s="7" t="s">
        <v>2162</v>
      </c>
      <c r="C1784" s="7" t="s">
        <v>3632</v>
      </c>
      <c r="D1784" s="5">
        <v>5</v>
      </c>
      <c r="E1784" s="7" t="str">
        <f>_xlfn.XLOOKUP(B1784,Customers!A1784:A2783,Customers!B1784:B2783,"Customer Not Found",0)</f>
        <v>Customer Not Found</v>
      </c>
      <c r="F1784" s="7" t="str">
        <f>_xlfn.XLOOKUP(Orders!B1784,Customers!A1784:A2783,Customers!C1784:C2783,"Country not Found",0)</f>
        <v>Country not Found</v>
      </c>
      <c r="G1784" s="7" t="str">
        <f>_xlfn.XLOOKUP(C1784,Products!A1784:A2283,Products!B1784:B2283,"Product Missing",0)</f>
        <v>Product Missing</v>
      </c>
      <c r="H1784" s="7" t="str">
        <f>_xlfn.XLOOKUP(C1784,Products!A1784:A2283,Products!C1784:C2283,"Category Missing",0)</f>
        <v>Category Missing</v>
      </c>
      <c r="I1784" s="11" t="str">
        <f>_xlfn.XLOOKUP(Orders!C1784,Products!A1784:A2283,Products!D1784:D2283,"Price Missing",0)</f>
        <v>Price Missing</v>
      </c>
      <c r="J1784" s="19">
        <f t="shared" si="27"/>
        <v>0</v>
      </c>
    </row>
    <row r="1785" spans="1:10" x14ac:dyDescent="0.35">
      <c r="A1785" s="4" t="s">
        <v>5805</v>
      </c>
      <c r="B1785" s="7" t="s">
        <v>2756</v>
      </c>
      <c r="C1785" s="7" t="s">
        <v>3728</v>
      </c>
      <c r="D1785" s="5">
        <v>10</v>
      </c>
      <c r="E1785" s="7" t="str">
        <f>_xlfn.XLOOKUP(B1785,Customers!A1785:A2784,Customers!B1785:B2784,"Customer Not Found",0)</f>
        <v>Customer Not Found</v>
      </c>
      <c r="F1785" s="7" t="str">
        <f>_xlfn.XLOOKUP(Orders!B1785,Customers!A1785:A2784,Customers!C1785:C2784,"Country not Found",0)</f>
        <v>Country not Found</v>
      </c>
      <c r="G1785" s="7" t="str">
        <f>_xlfn.XLOOKUP(C1785,Products!A1785:A2284,Products!B1785:B2284,"Product Missing",0)</f>
        <v>Product Missing</v>
      </c>
      <c r="H1785" s="7" t="str">
        <f>_xlfn.XLOOKUP(C1785,Products!A1785:A2284,Products!C1785:C2284,"Category Missing",0)</f>
        <v>Category Missing</v>
      </c>
      <c r="I1785" s="11" t="str">
        <f>_xlfn.XLOOKUP(Orders!C1785,Products!A1785:A2284,Products!D1785:D2284,"Price Missing",0)</f>
        <v>Price Missing</v>
      </c>
      <c r="J1785" s="19">
        <f t="shared" si="27"/>
        <v>0</v>
      </c>
    </row>
    <row r="1786" spans="1:10" x14ac:dyDescent="0.35">
      <c r="A1786" s="4" t="s">
        <v>5806</v>
      </c>
      <c r="B1786" s="7" t="s">
        <v>986</v>
      </c>
      <c r="C1786" s="7" t="s">
        <v>3286</v>
      </c>
      <c r="D1786" s="5">
        <v>3</v>
      </c>
      <c r="E1786" s="7" t="str">
        <f>_xlfn.XLOOKUP(B1786,Customers!A1786:A2785,Customers!B1786:B2785,"Customer Not Found",0)</f>
        <v>Customer Not Found</v>
      </c>
      <c r="F1786" s="7" t="str">
        <f>_xlfn.XLOOKUP(Orders!B1786,Customers!A1786:A2785,Customers!C1786:C2785,"Country not Found",0)</f>
        <v>Country not Found</v>
      </c>
      <c r="G1786" s="7" t="str">
        <f>_xlfn.XLOOKUP(C1786,Products!A1786:A2285,Products!B1786:B2285,"Product Missing",0)</f>
        <v>Product Missing</v>
      </c>
      <c r="H1786" s="7" t="str">
        <f>_xlfn.XLOOKUP(C1786,Products!A1786:A2285,Products!C1786:C2285,"Category Missing",0)</f>
        <v>Category Missing</v>
      </c>
      <c r="I1786" s="11" t="str">
        <f>_xlfn.XLOOKUP(Orders!C1786,Products!A1786:A2285,Products!D1786:D2285,"Price Missing",0)</f>
        <v>Price Missing</v>
      </c>
      <c r="J1786" s="19">
        <f t="shared" si="27"/>
        <v>0</v>
      </c>
    </row>
    <row r="1787" spans="1:10" x14ac:dyDescent="0.35">
      <c r="A1787" s="4" t="s">
        <v>5807</v>
      </c>
      <c r="B1787" s="7" t="s">
        <v>269</v>
      </c>
      <c r="C1787" s="7" t="s">
        <v>3418</v>
      </c>
      <c r="D1787" s="5">
        <v>6</v>
      </c>
      <c r="E1787" s="7" t="str">
        <f>_xlfn.XLOOKUP(B1787,Customers!A1787:A2786,Customers!B1787:B2786,"Customer Not Found",0)</f>
        <v>Customer Not Found</v>
      </c>
      <c r="F1787" s="7" t="str">
        <f>_xlfn.XLOOKUP(Orders!B1787,Customers!A1787:A2786,Customers!C1787:C2786,"Country not Found",0)</f>
        <v>Country not Found</v>
      </c>
      <c r="G1787" s="7" t="str">
        <f>_xlfn.XLOOKUP(C1787,Products!A1787:A2286,Products!B1787:B2286,"Product Missing",0)</f>
        <v>Product Missing</v>
      </c>
      <c r="H1787" s="7" t="str">
        <f>_xlfn.XLOOKUP(C1787,Products!A1787:A2286,Products!C1787:C2286,"Category Missing",0)</f>
        <v>Category Missing</v>
      </c>
      <c r="I1787" s="11" t="str">
        <f>_xlfn.XLOOKUP(Orders!C1787,Products!A1787:A2286,Products!D1787:D2286,"Price Missing",0)</f>
        <v>Price Missing</v>
      </c>
      <c r="J1787" s="19">
        <f t="shared" si="27"/>
        <v>0</v>
      </c>
    </row>
    <row r="1788" spans="1:10" x14ac:dyDescent="0.35">
      <c r="A1788" s="4" t="s">
        <v>5808</v>
      </c>
      <c r="B1788" s="7" t="s">
        <v>2999</v>
      </c>
      <c r="C1788" s="7" t="s">
        <v>3556</v>
      </c>
      <c r="D1788" s="5">
        <v>4</v>
      </c>
      <c r="E1788" s="7" t="str">
        <f>_xlfn.XLOOKUP(B1788,Customers!A1788:A2787,Customers!B1788:B2787,"Customer Not Found",0)</f>
        <v>Customer Not Found</v>
      </c>
      <c r="F1788" s="7" t="str">
        <f>_xlfn.XLOOKUP(Orders!B1788,Customers!A1788:A2787,Customers!C1788:C2787,"Country not Found",0)</f>
        <v>Country not Found</v>
      </c>
      <c r="G1788" s="7" t="str">
        <f>_xlfn.XLOOKUP(C1788,Products!A1788:A2287,Products!B1788:B2287,"Product Missing",0)</f>
        <v>Product Missing</v>
      </c>
      <c r="H1788" s="7" t="str">
        <f>_xlfn.XLOOKUP(C1788,Products!A1788:A2287,Products!C1788:C2287,"Category Missing",0)</f>
        <v>Category Missing</v>
      </c>
      <c r="I1788" s="11" t="str">
        <f>_xlfn.XLOOKUP(Orders!C1788,Products!A1788:A2287,Products!D1788:D2287,"Price Missing",0)</f>
        <v>Price Missing</v>
      </c>
      <c r="J1788" s="19">
        <f t="shared" si="27"/>
        <v>0</v>
      </c>
    </row>
    <row r="1789" spans="1:10" x14ac:dyDescent="0.35">
      <c r="A1789" s="4" t="s">
        <v>5809</v>
      </c>
      <c r="B1789" s="7" t="s">
        <v>281</v>
      </c>
      <c r="C1789" s="7" t="s">
        <v>3039</v>
      </c>
      <c r="D1789" s="5">
        <v>4</v>
      </c>
      <c r="E1789" s="7" t="str">
        <f>_xlfn.XLOOKUP(B1789,Customers!A1789:A2788,Customers!B1789:B2788,"Customer Not Found",0)</f>
        <v>Customer Not Found</v>
      </c>
      <c r="F1789" s="7" t="str">
        <f>_xlfn.XLOOKUP(Orders!B1789,Customers!A1789:A2788,Customers!C1789:C2788,"Country not Found",0)</f>
        <v>Country not Found</v>
      </c>
      <c r="G1789" s="7" t="str">
        <f>_xlfn.XLOOKUP(C1789,Products!A1789:A2288,Products!B1789:B2288,"Product Missing",0)</f>
        <v>Product Missing</v>
      </c>
      <c r="H1789" s="7" t="str">
        <f>_xlfn.XLOOKUP(C1789,Products!A1789:A2288,Products!C1789:C2288,"Category Missing",0)</f>
        <v>Category Missing</v>
      </c>
      <c r="I1789" s="11" t="str">
        <f>_xlfn.XLOOKUP(Orders!C1789,Products!A1789:A2288,Products!D1789:D2288,"Price Missing",0)</f>
        <v>Price Missing</v>
      </c>
      <c r="J1789" s="19">
        <f t="shared" si="27"/>
        <v>0</v>
      </c>
    </row>
    <row r="1790" spans="1:10" x14ac:dyDescent="0.35">
      <c r="A1790" s="4" t="s">
        <v>5810</v>
      </c>
      <c r="B1790" s="7" t="s">
        <v>1736</v>
      </c>
      <c r="C1790" s="7" t="s">
        <v>3222</v>
      </c>
      <c r="D1790" s="5">
        <v>1</v>
      </c>
      <c r="E1790" s="7" t="str">
        <f>_xlfn.XLOOKUP(B1790,Customers!A1790:A2789,Customers!B1790:B2789,"Customer Not Found",0)</f>
        <v>Customer Not Found</v>
      </c>
      <c r="F1790" s="7" t="str">
        <f>_xlfn.XLOOKUP(Orders!B1790,Customers!A1790:A2789,Customers!C1790:C2789,"Country not Found",0)</f>
        <v>Country not Found</v>
      </c>
      <c r="G1790" s="7" t="str">
        <f>_xlfn.XLOOKUP(C1790,Products!A1790:A2289,Products!B1790:B2289,"Product Missing",0)</f>
        <v>Product Missing</v>
      </c>
      <c r="H1790" s="7" t="str">
        <f>_xlfn.XLOOKUP(C1790,Products!A1790:A2289,Products!C1790:C2289,"Category Missing",0)</f>
        <v>Category Missing</v>
      </c>
      <c r="I1790" s="11" t="str">
        <f>_xlfn.XLOOKUP(Orders!C1790,Products!A1790:A2289,Products!D1790:D2289,"Price Missing",0)</f>
        <v>Price Missing</v>
      </c>
      <c r="J1790" s="19">
        <f t="shared" si="27"/>
        <v>0</v>
      </c>
    </row>
    <row r="1791" spans="1:10" x14ac:dyDescent="0.35">
      <c r="A1791" s="4" t="s">
        <v>5811</v>
      </c>
      <c r="B1791" s="7" t="s">
        <v>968</v>
      </c>
      <c r="C1791" s="7" t="s">
        <v>3516</v>
      </c>
      <c r="D1791" s="5">
        <v>2</v>
      </c>
      <c r="E1791" s="7" t="str">
        <f>_xlfn.XLOOKUP(B1791,Customers!A1791:A2790,Customers!B1791:B2790,"Customer Not Found",0)</f>
        <v>Customer Not Found</v>
      </c>
      <c r="F1791" s="7" t="str">
        <f>_xlfn.XLOOKUP(Orders!B1791,Customers!A1791:A2790,Customers!C1791:C2790,"Country not Found",0)</f>
        <v>Country not Found</v>
      </c>
      <c r="G1791" s="7" t="str">
        <f>_xlfn.XLOOKUP(C1791,Products!A1791:A2290,Products!B1791:B2290,"Product Missing",0)</f>
        <v>Product Missing</v>
      </c>
      <c r="H1791" s="7" t="str">
        <f>_xlfn.XLOOKUP(C1791,Products!A1791:A2290,Products!C1791:C2290,"Category Missing",0)</f>
        <v>Category Missing</v>
      </c>
      <c r="I1791" s="11" t="str">
        <f>_xlfn.XLOOKUP(Orders!C1791,Products!A1791:A2290,Products!D1791:D2290,"Price Missing",0)</f>
        <v>Price Missing</v>
      </c>
      <c r="J1791" s="19">
        <f t="shared" si="27"/>
        <v>0</v>
      </c>
    </row>
    <row r="1792" spans="1:10" x14ac:dyDescent="0.35">
      <c r="A1792" s="4" t="s">
        <v>5812</v>
      </c>
      <c r="B1792" s="7" t="s">
        <v>2078</v>
      </c>
      <c r="C1792" s="7" t="s">
        <v>3222</v>
      </c>
      <c r="D1792" s="5">
        <v>8</v>
      </c>
      <c r="E1792" s="7" t="str">
        <f>_xlfn.XLOOKUP(B1792,Customers!A1792:A2791,Customers!B1792:B2791,"Customer Not Found",0)</f>
        <v>Customer Not Found</v>
      </c>
      <c r="F1792" s="7" t="str">
        <f>_xlfn.XLOOKUP(Orders!B1792,Customers!A1792:A2791,Customers!C1792:C2791,"Country not Found",0)</f>
        <v>Country not Found</v>
      </c>
      <c r="G1792" s="7" t="str">
        <f>_xlfn.XLOOKUP(C1792,Products!A1792:A2291,Products!B1792:B2291,"Product Missing",0)</f>
        <v>Product Missing</v>
      </c>
      <c r="H1792" s="7" t="str">
        <f>_xlfn.XLOOKUP(C1792,Products!A1792:A2291,Products!C1792:C2291,"Category Missing",0)</f>
        <v>Category Missing</v>
      </c>
      <c r="I1792" s="11" t="str">
        <f>_xlfn.XLOOKUP(Orders!C1792,Products!A1792:A2291,Products!D1792:D2291,"Price Missing",0)</f>
        <v>Price Missing</v>
      </c>
      <c r="J1792" s="19">
        <f t="shared" si="27"/>
        <v>0</v>
      </c>
    </row>
    <row r="1793" spans="1:10" x14ac:dyDescent="0.35">
      <c r="A1793" s="4" t="s">
        <v>5813</v>
      </c>
      <c r="B1793" s="7" t="s">
        <v>1370</v>
      </c>
      <c r="C1793" s="7" t="s">
        <v>3043</v>
      </c>
      <c r="D1793" s="5">
        <v>8</v>
      </c>
      <c r="E1793" s="7" t="str">
        <f>_xlfn.XLOOKUP(B1793,Customers!A1793:A2792,Customers!B1793:B2792,"Customer Not Found",0)</f>
        <v>Customer Not Found</v>
      </c>
      <c r="F1793" s="7" t="str">
        <f>_xlfn.XLOOKUP(Orders!B1793,Customers!A1793:A2792,Customers!C1793:C2792,"Country not Found",0)</f>
        <v>Country not Found</v>
      </c>
      <c r="G1793" s="7" t="str">
        <f>_xlfn.XLOOKUP(C1793,Products!A1793:A2292,Products!B1793:B2292,"Product Missing",0)</f>
        <v>Product Missing</v>
      </c>
      <c r="H1793" s="7" t="str">
        <f>_xlfn.XLOOKUP(C1793,Products!A1793:A2292,Products!C1793:C2292,"Category Missing",0)</f>
        <v>Category Missing</v>
      </c>
      <c r="I1793" s="11" t="str">
        <f>_xlfn.XLOOKUP(Orders!C1793,Products!A1793:A2292,Products!D1793:D2292,"Price Missing",0)</f>
        <v>Price Missing</v>
      </c>
      <c r="J1793" s="19">
        <f t="shared" si="27"/>
        <v>0</v>
      </c>
    </row>
    <row r="1794" spans="1:10" x14ac:dyDescent="0.35">
      <c r="A1794" s="4" t="s">
        <v>5814</v>
      </c>
      <c r="B1794" s="7" t="s">
        <v>2555</v>
      </c>
      <c r="C1794" s="7" t="s">
        <v>3528</v>
      </c>
      <c r="D1794" s="5">
        <v>10</v>
      </c>
      <c r="E1794" s="7" t="str">
        <f>_xlfn.XLOOKUP(B1794,Customers!A1794:A2793,Customers!B1794:B2793,"Customer Not Found",0)</f>
        <v>Customer Not Found</v>
      </c>
      <c r="F1794" s="7" t="str">
        <f>_xlfn.XLOOKUP(Orders!B1794,Customers!A1794:A2793,Customers!C1794:C2793,"Country not Found",0)</f>
        <v>Country not Found</v>
      </c>
      <c r="G1794" s="7" t="str">
        <f>_xlfn.XLOOKUP(C1794,Products!A1794:A2293,Products!B1794:B2293,"Product Missing",0)</f>
        <v>Product Missing</v>
      </c>
      <c r="H1794" s="7" t="str">
        <f>_xlfn.XLOOKUP(C1794,Products!A1794:A2293,Products!C1794:C2293,"Category Missing",0)</f>
        <v>Category Missing</v>
      </c>
      <c r="I1794" s="11" t="str">
        <f>_xlfn.XLOOKUP(Orders!C1794,Products!A1794:A2293,Products!D1794:D2293,"Price Missing",0)</f>
        <v>Price Missing</v>
      </c>
      <c r="J1794" s="19">
        <f t="shared" si="27"/>
        <v>0</v>
      </c>
    </row>
    <row r="1795" spans="1:10" x14ac:dyDescent="0.35">
      <c r="A1795" s="4" t="s">
        <v>5815</v>
      </c>
      <c r="B1795" s="7" t="s">
        <v>1988</v>
      </c>
      <c r="C1795" s="7" t="s">
        <v>3928</v>
      </c>
      <c r="D1795" s="5">
        <v>1</v>
      </c>
      <c r="E1795" s="7" t="str">
        <f>_xlfn.XLOOKUP(B1795,Customers!A1795:A2794,Customers!B1795:B2794,"Customer Not Found",0)</f>
        <v>Customer Not Found</v>
      </c>
      <c r="F1795" s="7" t="str">
        <f>_xlfn.XLOOKUP(Orders!B1795,Customers!A1795:A2794,Customers!C1795:C2794,"Country not Found",0)</f>
        <v>Country not Found</v>
      </c>
      <c r="G1795" s="7" t="str">
        <f>_xlfn.XLOOKUP(C1795,Products!A1795:A2294,Products!B1795:B2294,"Product Missing",0)</f>
        <v>Product Missing</v>
      </c>
      <c r="H1795" s="7" t="str">
        <f>_xlfn.XLOOKUP(C1795,Products!A1795:A2294,Products!C1795:C2294,"Category Missing",0)</f>
        <v>Category Missing</v>
      </c>
      <c r="I1795" s="11" t="str">
        <f>_xlfn.XLOOKUP(Orders!C1795,Products!A1795:A2294,Products!D1795:D2294,"Price Missing",0)</f>
        <v>Price Missing</v>
      </c>
      <c r="J1795" s="19">
        <f t="shared" ref="J1795:J1858" si="28">IFERROR(I1795*D1795,0)</f>
        <v>0</v>
      </c>
    </row>
    <row r="1796" spans="1:10" x14ac:dyDescent="0.35">
      <c r="A1796" s="4" t="s">
        <v>5816</v>
      </c>
      <c r="B1796" s="7" t="s">
        <v>230</v>
      </c>
      <c r="C1796" s="7" t="s">
        <v>3041</v>
      </c>
      <c r="D1796" s="5">
        <v>1</v>
      </c>
      <c r="E1796" s="7" t="str">
        <f>_xlfn.XLOOKUP(B1796,Customers!A1796:A2795,Customers!B1796:B2795,"Customer Not Found",0)</f>
        <v>Customer Not Found</v>
      </c>
      <c r="F1796" s="7" t="str">
        <f>_xlfn.XLOOKUP(Orders!B1796,Customers!A1796:A2795,Customers!C1796:C2795,"Country not Found",0)</f>
        <v>Country not Found</v>
      </c>
      <c r="G1796" s="7" t="str">
        <f>_xlfn.XLOOKUP(C1796,Products!A1796:A2295,Products!B1796:B2295,"Product Missing",0)</f>
        <v>Product Missing</v>
      </c>
      <c r="H1796" s="7" t="str">
        <f>_xlfn.XLOOKUP(C1796,Products!A1796:A2295,Products!C1796:C2295,"Category Missing",0)</f>
        <v>Category Missing</v>
      </c>
      <c r="I1796" s="11" t="str">
        <f>_xlfn.XLOOKUP(Orders!C1796,Products!A1796:A2295,Products!D1796:D2295,"Price Missing",0)</f>
        <v>Price Missing</v>
      </c>
      <c r="J1796" s="19">
        <f t="shared" si="28"/>
        <v>0</v>
      </c>
    </row>
    <row r="1797" spans="1:10" x14ac:dyDescent="0.35">
      <c r="A1797" s="4" t="s">
        <v>5817</v>
      </c>
      <c r="B1797" s="7" t="s">
        <v>2645</v>
      </c>
      <c r="C1797" s="7" t="s">
        <v>3562</v>
      </c>
      <c r="D1797" s="5">
        <v>4</v>
      </c>
      <c r="E1797" s="7" t="str">
        <f>_xlfn.XLOOKUP(B1797,Customers!A1797:A2796,Customers!B1797:B2796,"Customer Not Found",0)</f>
        <v>Customer Not Found</v>
      </c>
      <c r="F1797" s="7" t="str">
        <f>_xlfn.XLOOKUP(Orders!B1797,Customers!A1797:A2796,Customers!C1797:C2796,"Country not Found",0)</f>
        <v>Country not Found</v>
      </c>
      <c r="G1797" s="7" t="str">
        <f>_xlfn.XLOOKUP(C1797,Products!A1797:A2296,Products!B1797:B2296,"Product Missing",0)</f>
        <v>Product Missing</v>
      </c>
      <c r="H1797" s="7" t="str">
        <f>_xlfn.XLOOKUP(C1797,Products!A1797:A2296,Products!C1797:C2296,"Category Missing",0)</f>
        <v>Category Missing</v>
      </c>
      <c r="I1797" s="11" t="str">
        <f>_xlfn.XLOOKUP(Orders!C1797,Products!A1797:A2296,Products!D1797:D2296,"Price Missing",0)</f>
        <v>Price Missing</v>
      </c>
      <c r="J1797" s="19">
        <f t="shared" si="28"/>
        <v>0</v>
      </c>
    </row>
    <row r="1798" spans="1:10" x14ac:dyDescent="0.35">
      <c r="A1798" s="4" t="s">
        <v>5818</v>
      </c>
      <c r="B1798" s="7" t="s">
        <v>2951</v>
      </c>
      <c r="C1798" s="7" t="s">
        <v>3834</v>
      </c>
      <c r="D1798" s="5">
        <v>7</v>
      </c>
      <c r="E1798" s="7" t="str">
        <f>_xlfn.XLOOKUP(B1798,Customers!A1798:A2797,Customers!B1798:B2797,"Customer Not Found",0)</f>
        <v>Customer Not Found</v>
      </c>
      <c r="F1798" s="7" t="str">
        <f>_xlfn.XLOOKUP(Orders!B1798,Customers!A1798:A2797,Customers!C1798:C2797,"Country not Found",0)</f>
        <v>Country not Found</v>
      </c>
      <c r="G1798" s="7" t="str">
        <f>_xlfn.XLOOKUP(C1798,Products!A1798:A2297,Products!B1798:B2297,"Product Missing",0)</f>
        <v>Product Missing</v>
      </c>
      <c r="H1798" s="7" t="str">
        <f>_xlfn.XLOOKUP(C1798,Products!A1798:A2297,Products!C1798:C2297,"Category Missing",0)</f>
        <v>Category Missing</v>
      </c>
      <c r="I1798" s="11" t="str">
        <f>_xlfn.XLOOKUP(Orders!C1798,Products!A1798:A2297,Products!D1798:D2297,"Price Missing",0)</f>
        <v>Price Missing</v>
      </c>
      <c r="J1798" s="19">
        <f t="shared" si="28"/>
        <v>0</v>
      </c>
    </row>
    <row r="1799" spans="1:10" x14ac:dyDescent="0.35">
      <c r="A1799" s="4" t="s">
        <v>5819</v>
      </c>
      <c r="B1799" s="7" t="s">
        <v>2333</v>
      </c>
      <c r="C1799" s="7" t="s">
        <v>3276</v>
      </c>
      <c r="D1799" s="5">
        <v>7</v>
      </c>
      <c r="E1799" s="7" t="str">
        <f>_xlfn.XLOOKUP(B1799,Customers!A1799:A2798,Customers!B1799:B2798,"Customer Not Found",0)</f>
        <v>Customer Not Found</v>
      </c>
      <c r="F1799" s="7" t="str">
        <f>_xlfn.XLOOKUP(Orders!B1799,Customers!A1799:A2798,Customers!C1799:C2798,"Country not Found",0)</f>
        <v>Country not Found</v>
      </c>
      <c r="G1799" s="7" t="str">
        <f>_xlfn.XLOOKUP(C1799,Products!A1799:A2298,Products!B1799:B2298,"Product Missing",0)</f>
        <v>Product Missing</v>
      </c>
      <c r="H1799" s="7" t="str">
        <f>_xlfn.XLOOKUP(C1799,Products!A1799:A2298,Products!C1799:C2298,"Category Missing",0)</f>
        <v>Category Missing</v>
      </c>
      <c r="I1799" s="11" t="str">
        <f>_xlfn.XLOOKUP(Orders!C1799,Products!A1799:A2298,Products!D1799:D2298,"Price Missing",0)</f>
        <v>Price Missing</v>
      </c>
      <c r="J1799" s="19">
        <f t="shared" si="28"/>
        <v>0</v>
      </c>
    </row>
    <row r="1800" spans="1:10" x14ac:dyDescent="0.35">
      <c r="A1800" s="4" t="s">
        <v>5820</v>
      </c>
      <c r="B1800" s="7" t="s">
        <v>1706</v>
      </c>
      <c r="C1800" s="7" t="s">
        <v>3818</v>
      </c>
      <c r="D1800" s="5">
        <v>9</v>
      </c>
      <c r="E1800" s="7" t="str">
        <f>_xlfn.XLOOKUP(B1800,Customers!A1800:A2799,Customers!B1800:B2799,"Customer Not Found",0)</f>
        <v>Customer Not Found</v>
      </c>
      <c r="F1800" s="7" t="str">
        <f>_xlfn.XLOOKUP(Orders!B1800,Customers!A1800:A2799,Customers!C1800:C2799,"Country not Found",0)</f>
        <v>Country not Found</v>
      </c>
      <c r="G1800" s="7" t="str">
        <f>_xlfn.XLOOKUP(C1800,Products!A1800:A2299,Products!B1800:B2299,"Product Missing",0)</f>
        <v>Product Missing</v>
      </c>
      <c r="H1800" s="7" t="str">
        <f>_xlfn.XLOOKUP(C1800,Products!A1800:A2299,Products!C1800:C2299,"Category Missing",0)</f>
        <v>Category Missing</v>
      </c>
      <c r="I1800" s="11" t="str">
        <f>_xlfn.XLOOKUP(Orders!C1800,Products!A1800:A2299,Products!D1800:D2299,"Price Missing",0)</f>
        <v>Price Missing</v>
      </c>
      <c r="J1800" s="19">
        <f t="shared" si="28"/>
        <v>0</v>
      </c>
    </row>
    <row r="1801" spans="1:10" x14ac:dyDescent="0.35">
      <c r="A1801" s="4" t="s">
        <v>5821</v>
      </c>
      <c r="B1801" s="7" t="s">
        <v>1997</v>
      </c>
      <c r="C1801" s="7" t="s">
        <v>3726</v>
      </c>
      <c r="D1801" s="5">
        <v>3</v>
      </c>
      <c r="E1801" s="7" t="str">
        <f>_xlfn.XLOOKUP(B1801,Customers!A1801:A2800,Customers!B1801:B2800,"Customer Not Found",0)</f>
        <v>Customer Not Found</v>
      </c>
      <c r="F1801" s="7" t="str">
        <f>_xlfn.XLOOKUP(Orders!B1801,Customers!A1801:A2800,Customers!C1801:C2800,"Country not Found",0)</f>
        <v>Country not Found</v>
      </c>
      <c r="G1801" s="7" t="str">
        <f>_xlfn.XLOOKUP(C1801,Products!A1801:A2300,Products!B1801:B2300,"Product Missing",0)</f>
        <v>Product Missing</v>
      </c>
      <c r="H1801" s="7" t="str">
        <f>_xlfn.XLOOKUP(C1801,Products!A1801:A2300,Products!C1801:C2300,"Category Missing",0)</f>
        <v>Category Missing</v>
      </c>
      <c r="I1801" s="11" t="str">
        <f>_xlfn.XLOOKUP(Orders!C1801,Products!A1801:A2300,Products!D1801:D2300,"Price Missing",0)</f>
        <v>Price Missing</v>
      </c>
      <c r="J1801" s="19">
        <f t="shared" si="28"/>
        <v>0</v>
      </c>
    </row>
    <row r="1802" spans="1:10" x14ac:dyDescent="0.35">
      <c r="A1802" s="4" t="s">
        <v>5822</v>
      </c>
      <c r="B1802" s="7" t="s">
        <v>1487</v>
      </c>
      <c r="C1802" s="7" t="s">
        <v>3904</v>
      </c>
      <c r="D1802" s="5">
        <v>5</v>
      </c>
      <c r="E1802" s="7" t="str">
        <f>_xlfn.XLOOKUP(B1802,Customers!A1802:A2801,Customers!B1802:B2801,"Customer Not Found",0)</f>
        <v>Customer Not Found</v>
      </c>
      <c r="F1802" s="7" t="str">
        <f>_xlfn.XLOOKUP(Orders!B1802,Customers!A1802:A2801,Customers!C1802:C2801,"Country not Found",0)</f>
        <v>Country not Found</v>
      </c>
      <c r="G1802" s="7" t="str">
        <f>_xlfn.XLOOKUP(C1802,Products!A1802:A2301,Products!B1802:B2301,"Product Missing",0)</f>
        <v>Product Missing</v>
      </c>
      <c r="H1802" s="7" t="str">
        <f>_xlfn.XLOOKUP(C1802,Products!A1802:A2301,Products!C1802:C2301,"Category Missing",0)</f>
        <v>Category Missing</v>
      </c>
      <c r="I1802" s="11" t="str">
        <f>_xlfn.XLOOKUP(Orders!C1802,Products!A1802:A2301,Products!D1802:D2301,"Price Missing",0)</f>
        <v>Price Missing</v>
      </c>
      <c r="J1802" s="19">
        <f t="shared" si="28"/>
        <v>0</v>
      </c>
    </row>
    <row r="1803" spans="1:10" x14ac:dyDescent="0.35">
      <c r="A1803" s="4" t="s">
        <v>5823</v>
      </c>
      <c r="B1803" s="7" t="s">
        <v>2831</v>
      </c>
      <c r="C1803" s="7" t="s">
        <v>3090</v>
      </c>
      <c r="D1803" s="5">
        <v>7</v>
      </c>
      <c r="E1803" s="7" t="str">
        <f>_xlfn.XLOOKUP(B1803,Customers!A1803:A2802,Customers!B1803:B2802,"Customer Not Found",0)</f>
        <v>Customer Not Found</v>
      </c>
      <c r="F1803" s="7" t="str">
        <f>_xlfn.XLOOKUP(Orders!B1803,Customers!A1803:A2802,Customers!C1803:C2802,"Country not Found",0)</f>
        <v>Country not Found</v>
      </c>
      <c r="G1803" s="7" t="str">
        <f>_xlfn.XLOOKUP(C1803,Products!A1803:A2302,Products!B1803:B2302,"Product Missing",0)</f>
        <v>Product Missing</v>
      </c>
      <c r="H1803" s="7" t="str">
        <f>_xlfn.XLOOKUP(C1803,Products!A1803:A2302,Products!C1803:C2302,"Category Missing",0)</f>
        <v>Category Missing</v>
      </c>
      <c r="I1803" s="11" t="str">
        <f>_xlfn.XLOOKUP(Orders!C1803,Products!A1803:A2302,Products!D1803:D2302,"Price Missing",0)</f>
        <v>Price Missing</v>
      </c>
      <c r="J1803" s="19">
        <f t="shared" si="28"/>
        <v>0</v>
      </c>
    </row>
    <row r="1804" spans="1:10" x14ac:dyDescent="0.35">
      <c r="A1804" s="4" t="s">
        <v>5824</v>
      </c>
      <c r="B1804" s="7" t="s">
        <v>2927</v>
      </c>
      <c r="C1804" s="7" t="s">
        <v>3756</v>
      </c>
      <c r="D1804" s="5">
        <v>8</v>
      </c>
      <c r="E1804" s="7" t="str">
        <f>_xlfn.XLOOKUP(B1804,Customers!A1804:A2803,Customers!B1804:B2803,"Customer Not Found",0)</f>
        <v>Customer Not Found</v>
      </c>
      <c r="F1804" s="7" t="str">
        <f>_xlfn.XLOOKUP(Orders!B1804,Customers!A1804:A2803,Customers!C1804:C2803,"Country not Found",0)</f>
        <v>Country not Found</v>
      </c>
      <c r="G1804" s="7" t="str">
        <f>_xlfn.XLOOKUP(C1804,Products!A1804:A2303,Products!B1804:B2303,"Product Missing",0)</f>
        <v>Product Missing</v>
      </c>
      <c r="H1804" s="7" t="str">
        <f>_xlfn.XLOOKUP(C1804,Products!A1804:A2303,Products!C1804:C2303,"Category Missing",0)</f>
        <v>Category Missing</v>
      </c>
      <c r="I1804" s="11" t="str">
        <f>_xlfn.XLOOKUP(Orders!C1804,Products!A1804:A2303,Products!D1804:D2303,"Price Missing",0)</f>
        <v>Price Missing</v>
      </c>
      <c r="J1804" s="19">
        <f t="shared" si="28"/>
        <v>0</v>
      </c>
    </row>
    <row r="1805" spans="1:10" x14ac:dyDescent="0.35">
      <c r="A1805" s="4" t="s">
        <v>5825</v>
      </c>
      <c r="B1805" s="7" t="s">
        <v>1145</v>
      </c>
      <c r="C1805" s="7" t="s">
        <v>3688</v>
      </c>
      <c r="D1805" s="5">
        <v>3</v>
      </c>
      <c r="E1805" s="7" t="str">
        <f>_xlfn.XLOOKUP(B1805,Customers!A1805:A2804,Customers!B1805:B2804,"Customer Not Found",0)</f>
        <v>Customer Not Found</v>
      </c>
      <c r="F1805" s="7" t="str">
        <f>_xlfn.XLOOKUP(Orders!B1805,Customers!A1805:A2804,Customers!C1805:C2804,"Country not Found",0)</f>
        <v>Country not Found</v>
      </c>
      <c r="G1805" s="7" t="str">
        <f>_xlfn.XLOOKUP(C1805,Products!A1805:A2304,Products!B1805:B2304,"Product Missing",0)</f>
        <v>Product Missing</v>
      </c>
      <c r="H1805" s="7" t="str">
        <f>_xlfn.XLOOKUP(C1805,Products!A1805:A2304,Products!C1805:C2304,"Category Missing",0)</f>
        <v>Category Missing</v>
      </c>
      <c r="I1805" s="11" t="str">
        <f>_xlfn.XLOOKUP(Orders!C1805,Products!A1805:A2304,Products!D1805:D2304,"Price Missing",0)</f>
        <v>Price Missing</v>
      </c>
      <c r="J1805" s="19">
        <f t="shared" si="28"/>
        <v>0</v>
      </c>
    </row>
    <row r="1806" spans="1:10" x14ac:dyDescent="0.35">
      <c r="A1806" s="4" t="s">
        <v>5826</v>
      </c>
      <c r="B1806" s="7" t="s">
        <v>545</v>
      </c>
      <c r="C1806" s="7" t="s">
        <v>3494</v>
      </c>
      <c r="D1806" s="5">
        <v>5</v>
      </c>
      <c r="E1806" s="7" t="str">
        <f>_xlfn.XLOOKUP(B1806,Customers!A1806:A2805,Customers!B1806:B2805,"Customer Not Found",0)</f>
        <v>Customer Not Found</v>
      </c>
      <c r="F1806" s="7" t="str">
        <f>_xlfn.XLOOKUP(Orders!B1806,Customers!A1806:A2805,Customers!C1806:C2805,"Country not Found",0)</f>
        <v>Country not Found</v>
      </c>
      <c r="G1806" s="7" t="str">
        <f>_xlfn.XLOOKUP(C1806,Products!A1806:A2305,Products!B1806:B2305,"Product Missing",0)</f>
        <v>Product Missing</v>
      </c>
      <c r="H1806" s="7" t="str">
        <f>_xlfn.XLOOKUP(C1806,Products!A1806:A2305,Products!C1806:C2305,"Category Missing",0)</f>
        <v>Category Missing</v>
      </c>
      <c r="I1806" s="11" t="str">
        <f>_xlfn.XLOOKUP(Orders!C1806,Products!A1806:A2305,Products!D1806:D2305,"Price Missing",0)</f>
        <v>Price Missing</v>
      </c>
      <c r="J1806" s="19">
        <f t="shared" si="28"/>
        <v>0</v>
      </c>
    </row>
    <row r="1807" spans="1:10" x14ac:dyDescent="0.35">
      <c r="A1807" s="4" t="s">
        <v>5827</v>
      </c>
      <c r="B1807" s="7" t="s">
        <v>740</v>
      </c>
      <c r="C1807" s="7" t="s">
        <v>3690</v>
      </c>
      <c r="D1807" s="5">
        <v>2</v>
      </c>
      <c r="E1807" s="7" t="str">
        <f>_xlfn.XLOOKUP(B1807,Customers!A1807:A2806,Customers!B1807:B2806,"Customer Not Found",0)</f>
        <v>Customer Not Found</v>
      </c>
      <c r="F1807" s="7" t="str">
        <f>_xlfn.XLOOKUP(Orders!B1807,Customers!A1807:A2806,Customers!C1807:C2806,"Country not Found",0)</f>
        <v>Country not Found</v>
      </c>
      <c r="G1807" s="7" t="str">
        <f>_xlfn.XLOOKUP(C1807,Products!A1807:A2306,Products!B1807:B2306,"Product Missing",0)</f>
        <v>Product Missing</v>
      </c>
      <c r="H1807" s="7" t="str">
        <f>_xlfn.XLOOKUP(C1807,Products!A1807:A2306,Products!C1807:C2306,"Category Missing",0)</f>
        <v>Category Missing</v>
      </c>
      <c r="I1807" s="11" t="str">
        <f>_xlfn.XLOOKUP(Orders!C1807,Products!A1807:A2306,Products!D1807:D2306,"Price Missing",0)</f>
        <v>Price Missing</v>
      </c>
      <c r="J1807" s="19">
        <f t="shared" si="28"/>
        <v>0</v>
      </c>
    </row>
    <row r="1808" spans="1:10" x14ac:dyDescent="0.35">
      <c r="A1808" s="4" t="s">
        <v>5828</v>
      </c>
      <c r="B1808" s="7" t="s">
        <v>1355</v>
      </c>
      <c r="C1808" s="7" t="s">
        <v>3630</v>
      </c>
      <c r="D1808" s="5">
        <v>9</v>
      </c>
      <c r="E1808" s="7" t="str">
        <f>_xlfn.XLOOKUP(B1808,Customers!A1808:A2807,Customers!B1808:B2807,"Customer Not Found",0)</f>
        <v>Customer Not Found</v>
      </c>
      <c r="F1808" s="7" t="str">
        <f>_xlfn.XLOOKUP(Orders!B1808,Customers!A1808:A2807,Customers!C1808:C2807,"Country not Found",0)</f>
        <v>Country not Found</v>
      </c>
      <c r="G1808" s="7" t="str">
        <f>_xlfn.XLOOKUP(C1808,Products!A1808:A2307,Products!B1808:B2307,"Product Missing",0)</f>
        <v>Product Missing</v>
      </c>
      <c r="H1808" s="7" t="str">
        <f>_xlfn.XLOOKUP(C1808,Products!A1808:A2307,Products!C1808:C2307,"Category Missing",0)</f>
        <v>Category Missing</v>
      </c>
      <c r="I1808" s="11" t="str">
        <f>_xlfn.XLOOKUP(Orders!C1808,Products!A1808:A2307,Products!D1808:D2307,"Price Missing",0)</f>
        <v>Price Missing</v>
      </c>
      <c r="J1808" s="19">
        <f t="shared" si="28"/>
        <v>0</v>
      </c>
    </row>
    <row r="1809" spans="1:10" x14ac:dyDescent="0.35">
      <c r="A1809" s="4" t="s">
        <v>5829</v>
      </c>
      <c r="B1809" s="7" t="s">
        <v>2159</v>
      </c>
      <c r="C1809" s="7" t="s">
        <v>3516</v>
      </c>
      <c r="D1809" s="5">
        <v>8</v>
      </c>
      <c r="E1809" s="7" t="str">
        <f>_xlfn.XLOOKUP(B1809,Customers!A1809:A2808,Customers!B1809:B2808,"Customer Not Found",0)</f>
        <v>Customer Not Found</v>
      </c>
      <c r="F1809" s="7" t="str">
        <f>_xlfn.XLOOKUP(Orders!B1809,Customers!A1809:A2808,Customers!C1809:C2808,"Country not Found",0)</f>
        <v>Country not Found</v>
      </c>
      <c r="G1809" s="7" t="str">
        <f>_xlfn.XLOOKUP(C1809,Products!A1809:A2308,Products!B1809:B2308,"Product Missing",0)</f>
        <v>Product Missing</v>
      </c>
      <c r="H1809" s="7" t="str">
        <f>_xlfn.XLOOKUP(C1809,Products!A1809:A2308,Products!C1809:C2308,"Category Missing",0)</f>
        <v>Category Missing</v>
      </c>
      <c r="I1809" s="11" t="str">
        <f>_xlfn.XLOOKUP(Orders!C1809,Products!A1809:A2308,Products!D1809:D2308,"Price Missing",0)</f>
        <v>Price Missing</v>
      </c>
      <c r="J1809" s="19">
        <f t="shared" si="28"/>
        <v>0</v>
      </c>
    </row>
    <row r="1810" spans="1:10" x14ac:dyDescent="0.35">
      <c r="A1810" s="4" t="s">
        <v>5830</v>
      </c>
      <c r="B1810" s="7" t="s">
        <v>2285</v>
      </c>
      <c r="C1810" s="7" t="s">
        <v>3128</v>
      </c>
      <c r="D1810" s="5">
        <v>2</v>
      </c>
      <c r="E1810" s="7" t="str">
        <f>_xlfn.XLOOKUP(B1810,Customers!A1810:A2809,Customers!B1810:B2809,"Customer Not Found",0)</f>
        <v>Customer Not Found</v>
      </c>
      <c r="F1810" s="7" t="str">
        <f>_xlfn.XLOOKUP(Orders!B1810,Customers!A1810:A2809,Customers!C1810:C2809,"Country not Found",0)</f>
        <v>Country not Found</v>
      </c>
      <c r="G1810" s="7" t="str">
        <f>_xlfn.XLOOKUP(C1810,Products!A1810:A2309,Products!B1810:B2309,"Product Missing",0)</f>
        <v>Product Missing</v>
      </c>
      <c r="H1810" s="7" t="str">
        <f>_xlfn.XLOOKUP(C1810,Products!A1810:A2309,Products!C1810:C2309,"Category Missing",0)</f>
        <v>Category Missing</v>
      </c>
      <c r="I1810" s="11" t="str">
        <f>_xlfn.XLOOKUP(Orders!C1810,Products!A1810:A2309,Products!D1810:D2309,"Price Missing",0)</f>
        <v>Price Missing</v>
      </c>
      <c r="J1810" s="19">
        <f t="shared" si="28"/>
        <v>0</v>
      </c>
    </row>
    <row r="1811" spans="1:10" x14ac:dyDescent="0.35">
      <c r="A1811" s="4" t="s">
        <v>5831</v>
      </c>
      <c r="B1811" s="7" t="s">
        <v>1280</v>
      </c>
      <c r="C1811" s="7" t="s">
        <v>3804</v>
      </c>
      <c r="D1811" s="5">
        <v>4</v>
      </c>
      <c r="E1811" s="7" t="str">
        <f>_xlfn.XLOOKUP(B1811,Customers!A1811:A2810,Customers!B1811:B2810,"Customer Not Found",0)</f>
        <v>Customer Not Found</v>
      </c>
      <c r="F1811" s="7" t="str">
        <f>_xlfn.XLOOKUP(Orders!B1811,Customers!A1811:A2810,Customers!C1811:C2810,"Country not Found",0)</f>
        <v>Country not Found</v>
      </c>
      <c r="G1811" s="7" t="str">
        <f>_xlfn.XLOOKUP(C1811,Products!A1811:A2310,Products!B1811:B2310,"Product Missing",0)</f>
        <v>Product Missing</v>
      </c>
      <c r="H1811" s="7" t="str">
        <f>_xlfn.XLOOKUP(C1811,Products!A1811:A2310,Products!C1811:C2310,"Category Missing",0)</f>
        <v>Category Missing</v>
      </c>
      <c r="I1811" s="11" t="str">
        <f>_xlfn.XLOOKUP(Orders!C1811,Products!A1811:A2310,Products!D1811:D2310,"Price Missing",0)</f>
        <v>Price Missing</v>
      </c>
      <c r="J1811" s="19">
        <f t="shared" si="28"/>
        <v>0</v>
      </c>
    </row>
    <row r="1812" spans="1:10" x14ac:dyDescent="0.35">
      <c r="A1812" s="4" t="s">
        <v>5832</v>
      </c>
      <c r="B1812" s="7" t="s">
        <v>4</v>
      </c>
      <c r="C1812" s="7" t="s">
        <v>3164</v>
      </c>
      <c r="D1812" s="5">
        <v>3</v>
      </c>
      <c r="E1812" s="7" t="str">
        <f>_xlfn.XLOOKUP(B1812,Customers!A1812:A2811,Customers!B1812:B2811,"Customer Not Found",0)</f>
        <v>Customer Not Found</v>
      </c>
      <c r="F1812" s="7" t="str">
        <f>_xlfn.XLOOKUP(Orders!B1812,Customers!A1812:A2811,Customers!C1812:C2811,"Country not Found",0)</f>
        <v>Country not Found</v>
      </c>
      <c r="G1812" s="7" t="str">
        <f>_xlfn.XLOOKUP(C1812,Products!A1812:A2311,Products!B1812:B2311,"Product Missing",0)</f>
        <v>Product Missing</v>
      </c>
      <c r="H1812" s="7" t="str">
        <f>_xlfn.XLOOKUP(C1812,Products!A1812:A2311,Products!C1812:C2311,"Category Missing",0)</f>
        <v>Category Missing</v>
      </c>
      <c r="I1812" s="11" t="str">
        <f>_xlfn.XLOOKUP(Orders!C1812,Products!A1812:A2311,Products!D1812:D2311,"Price Missing",0)</f>
        <v>Price Missing</v>
      </c>
      <c r="J1812" s="19">
        <f t="shared" si="28"/>
        <v>0</v>
      </c>
    </row>
    <row r="1813" spans="1:10" x14ac:dyDescent="0.35">
      <c r="A1813" s="4" t="s">
        <v>5833</v>
      </c>
      <c r="B1813" s="7" t="s">
        <v>1205</v>
      </c>
      <c r="C1813" s="7" t="s">
        <v>3654</v>
      </c>
      <c r="D1813" s="5">
        <v>3</v>
      </c>
      <c r="E1813" s="7" t="str">
        <f>_xlfn.XLOOKUP(B1813,Customers!A1813:A2812,Customers!B1813:B2812,"Customer Not Found",0)</f>
        <v>Customer Not Found</v>
      </c>
      <c r="F1813" s="7" t="str">
        <f>_xlfn.XLOOKUP(Orders!B1813,Customers!A1813:A2812,Customers!C1813:C2812,"Country not Found",0)</f>
        <v>Country not Found</v>
      </c>
      <c r="G1813" s="7" t="str">
        <f>_xlfn.XLOOKUP(C1813,Products!A1813:A2312,Products!B1813:B2312,"Product Missing",0)</f>
        <v>Product Missing</v>
      </c>
      <c r="H1813" s="7" t="str">
        <f>_xlfn.XLOOKUP(C1813,Products!A1813:A2312,Products!C1813:C2312,"Category Missing",0)</f>
        <v>Category Missing</v>
      </c>
      <c r="I1813" s="11" t="str">
        <f>_xlfn.XLOOKUP(Orders!C1813,Products!A1813:A2312,Products!D1813:D2312,"Price Missing",0)</f>
        <v>Price Missing</v>
      </c>
      <c r="J1813" s="19">
        <f t="shared" si="28"/>
        <v>0</v>
      </c>
    </row>
    <row r="1814" spans="1:10" x14ac:dyDescent="0.35">
      <c r="A1814" s="4" t="s">
        <v>5834</v>
      </c>
      <c r="B1814" s="7" t="s">
        <v>317</v>
      </c>
      <c r="C1814" s="7" t="s">
        <v>3848</v>
      </c>
      <c r="D1814" s="5">
        <v>10</v>
      </c>
      <c r="E1814" s="7" t="str">
        <f>_xlfn.XLOOKUP(B1814,Customers!A1814:A2813,Customers!B1814:B2813,"Customer Not Found",0)</f>
        <v>Customer Not Found</v>
      </c>
      <c r="F1814" s="7" t="str">
        <f>_xlfn.XLOOKUP(Orders!B1814,Customers!A1814:A2813,Customers!C1814:C2813,"Country not Found",0)</f>
        <v>Country not Found</v>
      </c>
      <c r="G1814" s="7" t="str">
        <f>_xlfn.XLOOKUP(C1814,Products!A1814:A2313,Products!B1814:B2313,"Product Missing",0)</f>
        <v>Product Missing</v>
      </c>
      <c r="H1814" s="7" t="str">
        <f>_xlfn.XLOOKUP(C1814,Products!A1814:A2313,Products!C1814:C2313,"Category Missing",0)</f>
        <v>Category Missing</v>
      </c>
      <c r="I1814" s="11" t="str">
        <f>_xlfn.XLOOKUP(Orders!C1814,Products!A1814:A2313,Products!D1814:D2313,"Price Missing",0)</f>
        <v>Price Missing</v>
      </c>
      <c r="J1814" s="19">
        <f t="shared" si="28"/>
        <v>0</v>
      </c>
    </row>
    <row r="1815" spans="1:10" x14ac:dyDescent="0.35">
      <c r="A1815" s="4" t="s">
        <v>5835</v>
      </c>
      <c r="B1815" s="7" t="s">
        <v>2603</v>
      </c>
      <c r="C1815" s="7" t="s">
        <v>3132</v>
      </c>
      <c r="D1815" s="5">
        <v>2</v>
      </c>
      <c r="E1815" s="7" t="str">
        <f>_xlfn.XLOOKUP(B1815,Customers!A1815:A2814,Customers!B1815:B2814,"Customer Not Found",0)</f>
        <v>Customer Not Found</v>
      </c>
      <c r="F1815" s="7" t="str">
        <f>_xlfn.XLOOKUP(Orders!B1815,Customers!A1815:A2814,Customers!C1815:C2814,"Country not Found",0)</f>
        <v>Country not Found</v>
      </c>
      <c r="G1815" s="7" t="str">
        <f>_xlfn.XLOOKUP(C1815,Products!A1815:A2314,Products!B1815:B2314,"Product Missing",0)</f>
        <v>Product Missing</v>
      </c>
      <c r="H1815" s="7" t="str">
        <f>_xlfn.XLOOKUP(C1815,Products!A1815:A2314,Products!C1815:C2314,"Category Missing",0)</f>
        <v>Category Missing</v>
      </c>
      <c r="I1815" s="11" t="str">
        <f>_xlfn.XLOOKUP(Orders!C1815,Products!A1815:A2314,Products!D1815:D2314,"Price Missing",0)</f>
        <v>Price Missing</v>
      </c>
      <c r="J1815" s="19">
        <f t="shared" si="28"/>
        <v>0</v>
      </c>
    </row>
    <row r="1816" spans="1:10" x14ac:dyDescent="0.35">
      <c r="A1816" s="4" t="s">
        <v>5836</v>
      </c>
      <c r="B1816" s="7" t="s">
        <v>1901</v>
      </c>
      <c r="C1816" s="7" t="s">
        <v>3454</v>
      </c>
      <c r="D1816" s="5">
        <v>10</v>
      </c>
      <c r="E1816" s="7" t="str">
        <f>_xlfn.XLOOKUP(B1816,Customers!A1816:A2815,Customers!B1816:B2815,"Customer Not Found",0)</f>
        <v>Customer Not Found</v>
      </c>
      <c r="F1816" s="7" t="str">
        <f>_xlfn.XLOOKUP(Orders!B1816,Customers!A1816:A2815,Customers!C1816:C2815,"Country not Found",0)</f>
        <v>Country not Found</v>
      </c>
      <c r="G1816" s="7" t="str">
        <f>_xlfn.XLOOKUP(C1816,Products!A1816:A2315,Products!B1816:B2315,"Product Missing",0)</f>
        <v>Product Missing</v>
      </c>
      <c r="H1816" s="7" t="str">
        <f>_xlfn.XLOOKUP(C1816,Products!A1816:A2315,Products!C1816:C2315,"Category Missing",0)</f>
        <v>Category Missing</v>
      </c>
      <c r="I1816" s="11" t="str">
        <f>_xlfn.XLOOKUP(Orders!C1816,Products!A1816:A2315,Products!D1816:D2315,"Price Missing",0)</f>
        <v>Price Missing</v>
      </c>
      <c r="J1816" s="19">
        <f t="shared" si="28"/>
        <v>0</v>
      </c>
    </row>
    <row r="1817" spans="1:10" x14ac:dyDescent="0.35">
      <c r="A1817" s="4" t="s">
        <v>5837</v>
      </c>
      <c r="B1817" s="7" t="s">
        <v>1235</v>
      </c>
      <c r="C1817" s="7" t="s">
        <v>3796</v>
      </c>
      <c r="D1817" s="5">
        <v>2</v>
      </c>
      <c r="E1817" s="7" t="str">
        <f>_xlfn.XLOOKUP(B1817,Customers!A1817:A2816,Customers!B1817:B2816,"Customer Not Found",0)</f>
        <v>Customer Not Found</v>
      </c>
      <c r="F1817" s="7" t="str">
        <f>_xlfn.XLOOKUP(Orders!B1817,Customers!A1817:A2816,Customers!C1817:C2816,"Country not Found",0)</f>
        <v>Country not Found</v>
      </c>
      <c r="G1817" s="7" t="str">
        <f>_xlfn.XLOOKUP(C1817,Products!A1817:A2316,Products!B1817:B2316,"Product Missing",0)</f>
        <v>Product Missing</v>
      </c>
      <c r="H1817" s="7" t="str">
        <f>_xlfn.XLOOKUP(C1817,Products!A1817:A2316,Products!C1817:C2316,"Category Missing",0)</f>
        <v>Category Missing</v>
      </c>
      <c r="I1817" s="11" t="str">
        <f>_xlfn.XLOOKUP(Orders!C1817,Products!A1817:A2316,Products!D1817:D2316,"Price Missing",0)</f>
        <v>Price Missing</v>
      </c>
      <c r="J1817" s="19">
        <f t="shared" si="28"/>
        <v>0</v>
      </c>
    </row>
    <row r="1818" spans="1:10" x14ac:dyDescent="0.35">
      <c r="A1818" s="4" t="s">
        <v>5838</v>
      </c>
      <c r="B1818" s="7" t="s">
        <v>1604</v>
      </c>
      <c r="C1818" s="7" t="s">
        <v>3714</v>
      </c>
      <c r="D1818" s="5">
        <v>8</v>
      </c>
      <c r="E1818" s="7" t="str">
        <f>_xlfn.XLOOKUP(B1818,Customers!A1818:A2817,Customers!B1818:B2817,"Customer Not Found",0)</f>
        <v>Customer Not Found</v>
      </c>
      <c r="F1818" s="7" t="str">
        <f>_xlfn.XLOOKUP(Orders!B1818,Customers!A1818:A2817,Customers!C1818:C2817,"Country not Found",0)</f>
        <v>Country not Found</v>
      </c>
      <c r="G1818" s="7" t="str">
        <f>_xlfn.XLOOKUP(C1818,Products!A1818:A2317,Products!B1818:B2317,"Product Missing",0)</f>
        <v>Product Missing</v>
      </c>
      <c r="H1818" s="7" t="str">
        <f>_xlfn.XLOOKUP(C1818,Products!A1818:A2317,Products!C1818:C2317,"Category Missing",0)</f>
        <v>Category Missing</v>
      </c>
      <c r="I1818" s="11" t="str">
        <f>_xlfn.XLOOKUP(Orders!C1818,Products!A1818:A2317,Products!D1818:D2317,"Price Missing",0)</f>
        <v>Price Missing</v>
      </c>
      <c r="J1818" s="19">
        <f t="shared" si="28"/>
        <v>0</v>
      </c>
    </row>
    <row r="1819" spans="1:10" x14ac:dyDescent="0.35">
      <c r="A1819" s="4" t="s">
        <v>5839</v>
      </c>
      <c r="B1819" s="7" t="s">
        <v>1736</v>
      </c>
      <c r="C1819" s="7" t="s">
        <v>3400</v>
      </c>
      <c r="D1819" s="5">
        <v>1</v>
      </c>
      <c r="E1819" s="7" t="str">
        <f>_xlfn.XLOOKUP(B1819,Customers!A1819:A2818,Customers!B1819:B2818,"Customer Not Found",0)</f>
        <v>Customer Not Found</v>
      </c>
      <c r="F1819" s="7" t="str">
        <f>_xlfn.XLOOKUP(Orders!B1819,Customers!A1819:A2818,Customers!C1819:C2818,"Country not Found",0)</f>
        <v>Country not Found</v>
      </c>
      <c r="G1819" s="7" t="str">
        <f>_xlfn.XLOOKUP(C1819,Products!A1819:A2318,Products!B1819:B2318,"Product Missing",0)</f>
        <v>Product Missing</v>
      </c>
      <c r="H1819" s="7" t="str">
        <f>_xlfn.XLOOKUP(C1819,Products!A1819:A2318,Products!C1819:C2318,"Category Missing",0)</f>
        <v>Category Missing</v>
      </c>
      <c r="I1819" s="11" t="str">
        <f>_xlfn.XLOOKUP(Orders!C1819,Products!A1819:A2318,Products!D1819:D2318,"Price Missing",0)</f>
        <v>Price Missing</v>
      </c>
      <c r="J1819" s="19">
        <f t="shared" si="28"/>
        <v>0</v>
      </c>
    </row>
    <row r="1820" spans="1:10" x14ac:dyDescent="0.35">
      <c r="A1820" s="4" t="s">
        <v>5840</v>
      </c>
      <c r="B1820" s="7" t="s">
        <v>2888</v>
      </c>
      <c r="C1820" s="7" t="s">
        <v>3938</v>
      </c>
      <c r="D1820" s="5">
        <v>7</v>
      </c>
      <c r="E1820" s="7" t="str">
        <f>_xlfn.XLOOKUP(B1820,Customers!A1820:A2819,Customers!B1820:B2819,"Customer Not Found",0)</f>
        <v>Customer Not Found</v>
      </c>
      <c r="F1820" s="7" t="str">
        <f>_xlfn.XLOOKUP(Orders!B1820,Customers!A1820:A2819,Customers!C1820:C2819,"Country not Found",0)</f>
        <v>Country not Found</v>
      </c>
      <c r="G1820" s="7" t="str">
        <f>_xlfn.XLOOKUP(C1820,Products!A1820:A2319,Products!B1820:B2319,"Product Missing",0)</f>
        <v>Product Missing</v>
      </c>
      <c r="H1820" s="7" t="str">
        <f>_xlfn.XLOOKUP(C1820,Products!A1820:A2319,Products!C1820:C2319,"Category Missing",0)</f>
        <v>Category Missing</v>
      </c>
      <c r="I1820" s="11" t="str">
        <f>_xlfn.XLOOKUP(Orders!C1820,Products!A1820:A2319,Products!D1820:D2319,"Price Missing",0)</f>
        <v>Price Missing</v>
      </c>
      <c r="J1820" s="19">
        <f t="shared" si="28"/>
        <v>0</v>
      </c>
    </row>
    <row r="1821" spans="1:10" x14ac:dyDescent="0.35">
      <c r="A1821" s="4" t="s">
        <v>5841</v>
      </c>
      <c r="B1821" s="7" t="s">
        <v>1655</v>
      </c>
      <c r="C1821" s="7" t="s">
        <v>3358</v>
      </c>
      <c r="D1821" s="5">
        <v>1</v>
      </c>
      <c r="E1821" s="7" t="str">
        <f>_xlfn.XLOOKUP(B1821,Customers!A1821:A2820,Customers!B1821:B2820,"Customer Not Found",0)</f>
        <v>Customer Not Found</v>
      </c>
      <c r="F1821" s="7" t="str">
        <f>_xlfn.XLOOKUP(Orders!B1821,Customers!A1821:A2820,Customers!C1821:C2820,"Country not Found",0)</f>
        <v>Country not Found</v>
      </c>
      <c r="G1821" s="7" t="str">
        <f>_xlfn.XLOOKUP(C1821,Products!A1821:A2320,Products!B1821:B2320,"Product Missing",0)</f>
        <v>Product Missing</v>
      </c>
      <c r="H1821" s="7" t="str">
        <f>_xlfn.XLOOKUP(C1821,Products!A1821:A2320,Products!C1821:C2320,"Category Missing",0)</f>
        <v>Category Missing</v>
      </c>
      <c r="I1821" s="11" t="str">
        <f>_xlfn.XLOOKUP(Orders!C1821,Products!A1821:A2320,Products!D1821:D2320,"Price Missing",0)</f>
        <v>Price Missing</v>
      </c>
      <c r="J1821" s="19">
        <f t="shared" si="28"/>
        <v>0</v>
      </c>
    </row>
    <row r="1822" spans="1:10" x14ac:dyDescent="0.35">
      <c r="A1822" s="4" t="s">
        <v>5842</v>
      </c>
      <c r="B1822" s="7" t="s">
        <v>662</v>
      </c>
      <c r="C1822" s="7" t="s">
        <v>3988</v>
      </c>
      <c r="D1822" s="5">
        <v>3</v>
      </c>
      <c r="E1822" s="7" t="str">
        <f>_xlfn.XLOOKUP(B1822,Customers!A1822:A2821,Customers!B1822:B2821,"Customer Not Found",0)</f>
        <v>Customer Not Found</v>
      </c>
      <c r="F1822" s="7" t="str">
        <f>_xlfn.XLOOKUP(Orders!B1822,Customers!A1822:A2821,Customers!C1822:C2821,"Country not Found",0)</f>
        <v>Country not Found</v>
      </c>
      <c r="G1822" s="7" t="str">
        <f>_xlfn.XLOOKUP(C1822,Products!A1822:A2321,Products!B1822:B2321,"Product Missing",0)</f>
        <v>Product Missing</v>
      </c>
      <c r="H1822" s="7" t="str">
        <f>_xlfn.XLOOKUP(C1822,Products!A1822:A2321,Products!C1822:C2321,"Category Missing",0)</f>
        <v>Category Missing</v>
      </c>
      <c r="I1822" s="11" t="str">
        <f>_xlfn.XLOOKUP(Orders!C1822,Products!A1822:A2321,Products!D1822:D2321,"Price Missing",0)</f>
        <v>Price Missing</v>
      </c>
      <c r="J1822" s="19">
        <f t="shared" si="28"/>
        <v>0</v>
      </c>
    </row>
    <row r="1823" spans="1:10" x14ac:dyDescent="0.35">
      <c r="A1823" s="4" t="s">
        <v>5843</v>
      </c>
      <c r="B1823" s="7" t="s">
        <v>1460</v>
      </c>
      <c r="C1823" s="7" t="s">
        <v>3144</v>
      </c>
      <c r="D1823" s="5">
        <v>1</v>
      </c>
      <c r="E1823" s="7" t="str">
        <f>_xlfn.XLOOKUP(B1823,Customers!A1823:A2822,Customers!B1823:B2822,"Customer Not Found",0)</f>
        <v>Customer Not Found</v>
      </c>
      <c r="F1823" s="7" t="str">
        <f>_xlfn.XLOOKUP(Orders!B1823,Customers!A1823:A2822,Customers!C1823:C2822,"Country not Found",0)</f>
        <v>Country not Found</v>
      </c>
      <c r="G1823" s="7" t="str">
        <f>_xlfn.XLOOKUP(C1823,Products!A1823:A2322,Products!B1823:B2322,"Product Missing",0)</f>
        <v>Product Missing</v>
      </c>
      <c r="H1823" s="7" t="str">
        <f>_xlfn.XLOOKUP(C1823,Products!A1823:A2322,Products!C1823:C2322,"Category Missing",0)</f>
        <v>Category Missing</v>
      </c>
      <c r="I1823" s="11" t="str">
        <f>_xlfn.XLOOKUP(Orders!C1823,Products!A1823:A2322,Products!D1823:D2322,"Price Missing",0)</f>
        <v>Price Missing</v>
      </c>
      <c r="J1823" s="19">
        <f t="shared" si="28"/>
        <v>0</v>
      </c>
    </row>
    <row r="1824" spans="1:10" x14ac:dyDescent="0.35">
      <c r="A1824" s="4" t="s">
        <v>5844</v>
      </c>
      <c r="B1824" s="7" t="s">
        <v>1577</v>
      </c>
      <c r="C1824" s="7" t="s">
        <v>3758</v>
      </c>
      <c r="D1824" s="5">
        <v>1</v>
      </c>
      <c r="E1824" s="7" t="str">
        <f>_xlfn.XLOOKUP(B1824,Customers!A1824:A2823,Customers!B1824:B2823,"Customer Not Found",0)</f>
        <v>Customer Not Found</v>
      </c>
      <c r="F1824" s="7" t="str">
        <f>_xlfn.XLOOKUP(Orders!B1824,Customers!A1824:A2823,Customers!C1824:C2823,"Country not Found",0)</f>
        <v>Country not Found</v>
      </c>
      <c r="G1824" s="7" t="str">
        <f>_xlfn.XLOOKUP(C1824,Products!A1824:A2323,Products!B1824:B2323,"Product Missing",0)</f>
        <v>Product Missing</v>
      </c>
      <c r="H1824" s="7" t="str">
        <f>_xlfn.XLOOKUP(C1824,Products!A1824:A2323,Products!C1824:C2323,"Category Missing",0)</f>
        <v>Category Missing</v>
      </c>
      <c r="I1824" s="11" t="str">
        <f>_xlfn.XLOOKUP(Orders!C1824,Products!A1824:A2323,Products!D1824:D2323,"Price Missing",0)</f>
        <v>Price Missing</v>
      </c>
      <c r="J1824" s="19">
        <f t="shared" si="28"/>
        <v>0</v>
      </c>
    </row>
    <row r="1825" spans="1:10" x14ac:dyDescent="0.35">
      <c r="A1825" s="4" t="s">
        <v>5845</v>
      </c>
      <c r="B1825" s="7" t="s">
        <v>2156</v>
      </c>
      <c r="C1825" s="7" t="s">
        <v>3686</v>
      </c>
      <c r="D1825" s="5">
        <v>3</v>
      </c>
      <c r="E1825" s="7" t="str">
        <f>_xlfn.XLOOKUP(B1825,Customers!A1825:A2824,Customers!B1825:B2824,"Customer Not Found",0)</f>
        <v>Customer Not Found</v>
      </c>
      <c r="F1825" s="7" t="str">
        <f>_xlfn.XLOOKUP(Orders!B1825,Customers!A1825:A2824,Customers!C1825:C2824,"Country not Found",0)</f>
        <v>Country not Found</v>
      </c>
      <c r="G1825" s="7" t="str">
        <f>_xlfn.XLOOKUP(C1825,Products!A1825:A2324,Products!B1825:B2324,"Product Missing",0)</f>
        <v>Product Missing</v>
      </c>
      <c r="H1825" s="7" t="str">
        <f>_xlfn.XLOOKUP(C1825,Products!A1825:A2324,Products!C1825:C2324,"Category Missing",0)</f>
        <v>Category Missing</v>
      </c>
      <c r="I1825" s="11" t="str">
        <f>_xlfn.XLOOKUP(Orders!C1825,Products!A1825:A2324,Products!D1825:D2324,"Price Missing",0)</f>
        <v>Price Missing</v>
      </c>
      <c r="J1825" s="19">
        <f t="shared" si="28"/>
        <v>0</v>
      </c>
    </row>
    <row r="1826" spans="1:10" x14ac:dyDescent="0.35">
      <c r="A1826" s="4" t="s">
        <v>5846</v>
      </c>
      <c r="B1826" s="7" t="s">
        <v>1268</v>
      </c>
      <c r="C1826" s="7" t="s">
        <v>4002</v>
      </c>
      <c r="D1826" s="5">
        <v>7</v>
      </c>
      <c r="E1826" s="7" t="str">
        <f>_xlfn.XLOOKUP(B1826,Customers!A1826:A2825,Customers!B1826:B2825,"Customer Not Found",0)</f>
        <v>Customer Not Found</v>
      </c>
      <c r="F1826" s="7" t="str">
        <f>_xlfn.XLOOKUP(Orders!B1826,Customers!A1826:A2825,Customers!C1826:C2825,"Country not Found",0)</f>
        <v>Country not Found</v>
      </c>
      <c r="G1826" s="7" t="str">
        <f>_xlfn.XLOOKUP(C1826,Products!A1826:A2325,Products!B1826:B2325,"Product Missing",0)</f>
        <v>Product Missing</v>
      </c>
      <c r="H1826" s="7" t="str">
        <f>_xlfn.XLOOKUP(C1826,Products!A1826:A2325,Products!C1826:C2325,"Category Missing",0)</f>
        <v>Category Missing</v>
      </c>
      <c r="I1826" s="11" t="str">
        <f>_xlfn.XLOOKUP(Orders!C1826,Products!A1826:A2325,Products!D1826:D2325,"Price Missing",0)</f>
        <v>Price Missing</v>
      </c>
      <c r="J1826" s="19">
        <f t="shared" si="28"/>
        <v>0</v>
      </c>
    </row>
    <row r="1827" spans="1:10" x14ac:dyDescent="0.35">
      <c r="A1827" s="4" t="s">
        <v>5847</v>
      </c>
      <c r="B1827" s="7" t="s">
        <v>2387</v>
      </c>
      <c r="C1827" s="7" t="s">
        <v>3706</v>
      </c>
      <c r="D1827" s="5">
        <v>6</v>
      </c>
      <c r="E1827" s="7" t="str">
        <f>_xlfn.XLOOKUP(B1827,Customers!A1827:A2826,Customers!B1827:B2826,"Customer Not Found",0)</f>
        <v>Customer Not Found</v>
      </c>
      <c r="F1827" s="7" t="str">
        <f>_xlfn.XLOOKUP(Orders!B1827,Customers!A1827:A2826,Customers!C1827:C2826,"Country not Found",0)</f>
        <v>Country not Found</v>
      </c>
      <c r="G1827" s="7" t="str">
        <f>_xlfn.XLOOKUP(C1827,Products!A1827:A2326,Products!B1827:B2326,"Product Missing",0)</f>
        <v>Product Missing</v>
      </c>
      <c r="H1827" s="7" t="str">
        <f>_xlfn.XLOOKUP(C1827,Products!A1827:A2326,Products!C1827:C2326,"Category Missing",0)</f>
        <v>Category Missing</v>
      </c>
      <c r="I1827" s="11" t="str">
        <f>_xlfn.XLOOKUP(Orders!C1827,Products!A1827:A2326,Products!D1827:D2326,"Price Missing",0)</f>
        <v>Price Missing</v>
      </c>
      <c r="J1827" s="19">
        <f t="shared" si="28"/>
        <v>0</v>
      </c>
    </row>
    <row r="1828" spans="1:10" x14ac:dyDescent="0.35">
      <c r="A1828" s="4" t="s">
        <v>5848</v>
      </c>
      <c r="B1828" s="7" t="s">
        <v>1337</v>
      </c>
      <c r="C1828" s="7" t="s">
        <v>3388</v>
      </c>
      <c r="D1828" s="5">
        <v>2</v>
      </c>
      <c r="E1828" s="7" t="str">
        <f>_xlfn.XLOOKUP(B1828,Customers!A1828:A2827,Customers!B1828:B2827,"Customer Not Found",0)</f>
        <v>Customer Not Found</v>
      </c>
      <c r="F1828" s="7" t="str">
        <f>_xlfn.XLOOKUP(Orders!B1828,Customers!A1828:A2827,Customers!C1828:C2827,"Country not Found",0)</f>
        <v>Country not Found</v>
      </c>
      <c r="G1828" s="7" t="str">
        <f>_xlfn.XLOOKUP(C1828,Products!A1828:A2327,Products!B1828:B2327,"Product Missing",0)</f>
        <v>Product Missing</v>
      </c>
      <c r="H1828" s="7" t="str">
        <f>_xlfn.XLOOKUP(C1828,Products!A1828:A2327,Products!C1828:C2327,"Category Missing",0)</f>
        <v>Category Missing</v>
      </c>
      <c r="I1828" s="11" t="str">
        <f>_xlfn.XLOOKUP(Orders!C1828,Products!A1828:A2327,Products!D1828:D2327,"Price Missing",0)</f>
        <v>Price Missing</v>
      </c>
      <c r="J1828" s="19">
        <f t="shared" si="28"/>
        <v>0</v>
      </c>
    </row>
    <row r="1829" spans="1:10" x14ac:dyDescent="0.35">
      <c r="A1829" s="4" t="s">
        <v>5849</v>
      </c>
      <c r="B1829" s="7" t="s">
        <v>2279</v>
      </c>
      <c r="C1829" s="7" t="s">
        <v>3376</v>
      </c>
      <c r="D1829" s="5">
        <v>1</v>
      </c>
      <c r="E1829" s="7" t="str">
        <f>_xlfn.XLOOKUP(B1829,Customers!A1829:A2828,Customers!B1829:B2828,"Customer Not Found",0)</f>
        <v>Customer Not Found</v>
      </c>
      <c r="F1829" s="7" t="str">
        <f>_xlfn.XLOOKUP(Orders!B1829,Customers!A1829:A2828,Customers!C1829:C2828,"Country not Found",0)</f>
        <v>Country not Found</v>
      </c>
      <c r="G1829" s="7" t="str">
        <f>_xlfn.XLOOKUP(C1829,Products!A1829:A2328,Products!B1829:B2328,"Product Missing",0)</f>
        <v>Product Missing</v>
      </c>
      <c r="H1829" s="7" t="str">
        <f>_xlfn.XLOOKUP(C1829,Products!A1829:A2328,Products!C1829:C2328,"Category Missing",0)</f>
        <v>Category Missing</v>
      </c>
      <c r="I1829" s="11" t="str">
        <f>_xlfn.XLOOKUP(Orders!C1829,Products!A1829:A2328,Products!D1829:D2328,"Price Missing",0)</f>
        <v>Price Missing</v>
      </c>
      <c r="J1829" s="19">
        <f t="shared" si="28"/>
        <v>0</v>
      </c>
    </row>
    <row r="1830" spans="1:10" x14ac:dyDescent="0.35">
      <c r="A1830" s="4" t="s">
        <v>5850</v>
      </c>
      <c r="B1830" s="7" t="s">
        <v>2504</v>
      </c>
      <c r="C1830" s="7" t="s">
        <v>3402</v>
      </c>
      <c r="D1830" s="5">
        <v>8</v>
      </c>
      <c r="E1830" s="7" t="str">
        <f>_xlfn.XLOOKUP(B1830,Customers!A1830:A2829,Customers!B1830:B2829,"Customer Not Found",0)</f>
        <v>Customer Not Found</v>
      </c>
      <c r="F1830" s="7" t="str">
        <f>_xlfn.XLOOKUP(Orders!B1830,Customers!A1830:A2829,Customers!C1830:C2829,"Country not Found",0)</f>
        <v>Country not Found</v>
      </c>
      <c r="G1830" s="7" t="str">
        <f>_xlfn.XLOOKUP(C1830,Products!A1830:A2329,Products!B1830:B2329,"Product Missing",0)</f>
        <v>Product Missing</v>
      </c>
      <c r="H1830" s="7" t="str">
        <f>_xlfn.XLOOKUP(C1830,Products!A1830:A2329,Products!C1830:C2329,"Category Missing",0)</f>
        <v>Category Missing</v>
      </c>
      <c r="I1830" s="11" t="str">
        <f>_xlfn.XLOOKUP(Orders!C1830,Products!A1830:A2329,Products!D1830:D2329,"Price Missing",0)</f>
        <v>Price Missing</v>
      </c>
      <c r="J1830" s="19">
        <f t="shared" si="28"/>
        <v>0</v>
      </c>
    </row>
    <row r="1831" spans="1:10" x14ac:dyDescent="0.35">
      <c r="A1831" s="4" t="s">
        <v>5851</v>
      </c>
      <c r="B1831" s="7" t="s">
        <v>1679</v>
      </c>
      <c r="C1831" s="7" t="s">
        <v>3128</v>
      </c>
      <c r="D1831" s="5">
        <v>3</v>
      </c>
      <c r="E1831" s="7" t="str">
        <f>_xlfn.XLOOKUP(B1831,Customers!A1831:A2830,Customers!B1831:B2830,"Customer Not Found",0)</f>
        <v>Customer Not Found</v>
      </c>
      <c r="F1831" s="7" t="str">
        <f>_xlfn.XLOOKUP(Orders!B1831,Customers!A1831:A2830,Customers!C1831:C2830,"Country not Found",0)</f>
        <v>Country not Found</v>
      </c>
      <c r="G1831" s="7" t="str">
        <f>_xlfn.XLOOKUP(C1831,Products!A1831:A2330,Products!B1831:B2330,"Product Missing",0)</f>
        <v>Product Missing</v>
      </c>
      <c r="H1831" s="7" t="str">
        <f>_xlfn.XLOOKUP(C1831,Products!A1831:A2330,Products!C1831:C2330,"Category Missing",0)</f>
        <v>Category Missing</v>
      </c>
      <c r="I1831" s="11" t="str">
        <f>_xlfn.XLOOKUP(Orders!C1831,Products!A1831:A2330,Products!D1831:D2330,"Price Missing",0)</f>
        <v>Price Missing</v>
      </c>
      <c r="J1831" s="19">
        <f t="shared" si="28"/>
        <v>0</v>
      </c>
    </row>
    <row r="1832" spans="1:10" x14ac:dyDescent="0.35">
      <c r="A1832" s="4" t="s">
        <v>5852</v>
      </c>
      <c r="B1832" s="7" t="s">
        <v>2150</v>
      </c>
      <c r="C1832" s="7" t="s">
        <v>3890</v>
      </c>
      <c r="D1832" s="5">
        <v>4</v>
      </c>
      <c r="E1832" s="7" t="str">
        <f>_xlfn.XLOOKUP(B1832,Customers!A1832:A2831,Customers!B1832:B2831,"Customer Not Found",0)</f>
        <v>Customer Not Found</v>
      </c>
      <c r="F1832" s="7" t="str">
        <f>_xlfn.XLOOKUP(Orders!B1832,Customers!A1832:A2831,Customers!C1832:C2831,"Country not Found",0)</f>
        <v>Country not Found</v>
      </c>
      <c r="G1832" s="7" t="str">
        <f>_xlfn.XLOOKUP(C1832,Products!A1832:A2331,Products!B1832:B2331,"Product Missing",0)</f>
        <v>Product Missing</v>
      </c>
      <c r="H1832" s="7" t="str">
        <f>_xlfn.XLOOKUP(C1832,Products!A1832:A2331,Products!C1832:C2331,"Category Missing",0)</f>
        <v>Category Missing</v>
      </c>
      <c r="I1832" s="11" t="str">
        <f>_xlfn.XLOOKUP(Orders!C1832,Products!A1832:A2331,Products!D1832:D2331,"Price Missing",0)</f>
        <v>Price Missing</v>
      </c>
      <c r="J1832" s="19">
        <f t="shared" si="28"/>
        <v>0</v>
      </c>
    </row>
    <row r="1833" spans="1:10" x14ac:dyDescent="0.35">
      <c r="A1833" s="4" t="s">
        <v>5853</v>
      </c>
      <c r="B1833" s="7" t="s">
        <v>1517</v>
      </c>
      <c r="C1833" s="7" t="s">
        <v>3886</v>
      </c>
      <c r="D1833" s="5">
        <v>6</v>
      </c>
      <c r="E1833" s="7" t="str">
        <f>_xlfn.XLOOKUP(B1833,Customers!A1833:A2832,Customers!B1833:B2832,"Customer Not Found",0)</f>
        <v>Customer Not Found</v>
      </c>
      <c r="F1833" s="7" t="str">
        <f>_xlfn.XLOOKUP(Orders!B1833,Customers!A1833:A2832,Customers!C1833:C2832,"Country not Found",0)</f>
        <v>Country not Found</v>
      </c>
      <c r="G1833" s="7" t="str">
        <f>_xlfn.XLOOKUP(C1833,Products!A1833:A2332,Products!B1833:B2332,"Product Missing",0)</f>
        <v>Product Missing</v>
      </c>
      <c r="H1833" s="7" t="str">
        <f>_xlfn.XLOOKUP(C1833,Products!A1833:A2332,Products!C1833:C2332,"Category Missing",0)</f>
        <v>Category Missing</v>
      </c>
      <c r="I1833" s="11" t="str">
        <f>_xlfn.XLOOKUP(Orders!C1833,Products!A1833:A2332,Products!D1833:D2332,"Price Missing",0)</f>
        <v>Price Missing</v>
      </c>
      <c r="J1833" s="19">
        <f t="shared" si="28"/>
        <v>0</v>
      </c>
    </row>
    <row r="1834" spans="1:10" x14ac:dyDescent="0.35">
      <c r="A1834" s="4" t="s">
        <v>5854</v>
      </c>
      <c r="B1834" s="7" t="s">
        <v>188</v>
      </c>
      <c r="C1834" s="7" t="s">
        <v>3270</v>
      </c>
      <c r="D1834" s="5">
        <v>1</v>
      </c>
      <c r="E1834" s="7" t="str">
        <f>_xlfn.XLOOKUP(B1834,Customers!A1834:A2833,Customers!B1834:B2833,"Customer Not Found",0)</f>
        <v>Customer Not Found</v>
      </c>
      <c r="F1834" s="7" t="str">
        <f>_xlfn.XLOOKUP(Orders!B1834,Customers!A1834:A2833,Customers!C1834:C2833,"Country not Found",0)</f>
        <v>Country not Found</v>
      </c>
      <c r="G1834" s="7" t="str">
        <f>_xlfn.XLOOKUP(C1834,Products!A1834:A2333,Products!B1834:B2333,"Product Missing",0)</f>
        <v>Product Missing</v>
      </c>
      <c r="H1834" s="7" t="str">
        <f>_xlfn.XLOOKUP(C1834,Products!A1834:A2333,Products!C1834:C2333,"Category Missing",0)</f>
        <v>Category Missing</v>
      </c>
      <c r="I1834" s="11" t="str">
        <f>_xlfn.XLOOKUP(Orders!C1834,Products!A1834:A2333,Products!D1834:D2333,"Price Missing",0)</f>
        <v>Price Missing</v>
      </c>
      <c r="J1834" s="19">
        <f t="shared" si="28"/>
        <v>0</v>
      </c>
    </row>
    <row r="1835" spans="1:10" x14ac:dyDescent="0.35">
      <c r="A1835" s="4" t="s">
        <v>5855</v>
      </c>
      <c r="B1835" s="7" t="s">
        <v>320</v>
      </c>
      <c r="C1835" s="7" t="s">
        <v>3916</v>
      </c>
      <c r="D1835" s="5">
        <v>3</v>
      </c>
      <c r="E1835" s="7" t="str">
        <f>_xlfn.XLOOKUP(B1835,Customers!A1835:A2834,Customers!B1835:B2834,"Customer Not Found",0)</f>
        <v>Customer Not Found</v>
      </c>
      <c r="F1835" s="7" t="str">
        <f>_xlfn.XLOOKUP(Orders!B1835,Customers!A1835:A2834,Customers!C1835:C2834,"Country not Found",0)</f>
        <v>Country not Found</v>
      </c>
      <c r="G1835" s="7" t="str">
        <f>_xlfn.XLOOKUP(C1835,Products!A1835:A2334,Products!B1835:B2334,"Product Missing",0)</f>
        <v>Product Missing</v>
      </c>
      <c r="H1835" s="7" t="str">
        <f>_xlfn.XLOOKUP(C1835,Products!A1835:A2334,Products!C1835:C2334,"Category Missing",0)</f>
        <v>Category Missing</v>
      </c>
      <c r="I1835" s="11" t="str">
        <f>_xlfn.XLOOKUP(Orders!C1835,Products!A1835:A2334,Products!D1835:D2334,"Price Missing",0)</f>
        <v>Price Missing</v>
      </c>
      <c r="J1835" s="19">
        <f t="shared" si="28"/>
        <v>0</v>
      </c>
    </row>
    <row r="1836" spans="1:10" x14ac:dyDescent="0.35">
      <c r="A1836" s="4" t="s">
        <v>5856</v>
      </c>
      <c r="B1836" s="7" t="s">
        <v>1940</v>
      </c>
      <c r="C1836" s="7" t="s">
        <v>3500</v>
      </c>
      <c r="D1836" s="5">
        <v>5</v>
      </c>
      <c r="E1836" s="7" t="str">
        <f>_xlfn.XLOOKUP(B1836,Customers!A1836:A2835,Customers!B1836:B2835,"Customer Not Found",0)</f>
        <v>Customer Not Found</v>
      </c>
      <c r="F1836" s="7" t="str">
        <f>_xlfn.XLOOKUP(Orders!B1836,Customers!A1836:A2835,Customers!C1836:C2835,"Country not Found",0)</f>
        <v>Country not Found</v>
      </c>
      <c r="G1836" s="7" t="str">
        <f>_xlfn.XLOOKUP(C1836,Products!A1836:A2335,Products!B1836:B2335,"Product Missing",0)</f>
        <v>Product Missing</v>
      </c>
      <c r="H1836" s="7" t="str">
        <f>_xlfn.XLOOKUP(C1836,Products!A1836:A2335,Products!C1836:C2335,"Category Missing",0)</f>
        <v>Category Missing</v>
      </c>
      <c r="I1836" s="11" t="str">
        <f>_xlfn.XLOOKUP(Orders!C1836,Products!A1836:A2335,Products!D1836:D2335,"Price Missing",0)</f>
        <v>Price Missing</v>
      </c>
      <c r="J1836" s="19">
        <f t="shared" si="28"/>
        <v>0</v>
      </c>
    </row>
    <row r="1837" spans="1:10" x14ac:dyDescent="0.35">
      <c r="A1837" s="4" t="s">
        <v>5857</v>
      </c>
      <c r="B1837" s="7" t="s">
        <v>1565</v>
      </c>
      <c r="C1837" s="7" t="s">
        <v>3838</v>
      </c>
      <c r="D1837" s="5">
        <v>2</v>
      </c>
      <c r="E1837" s="7" t="str">
        <f>_xlfn.XLOOKUP(B1837,Customers!A1837:A2836,Customers!B1837:B2836,"Customer Not Found",0)</f>
        <v>Customer Not Found</v>
      </c>
      <c r="F1837" s="7" t="str">
        <f>_xlfn.XLOOKUP(Orders!B1837,Customers!A1837:A2836,Customers!C1837:C2836,"Country not Found",0)</f>
        <v>Country not Found</v>
      </c>
      <c r="G1837" s="7" t="str">
        <f>_xlfn.XLOOKUP(C1837,Products!A1837:A2336,Products!B1837:B2336,"Product Missing",0)</f>
        <v>Product Missing</v>
      </c>
      <c r="H1837" s="7" t="str">
        <f>_xlfn.XLOOKUP(C1837,Products!A1837:A2336,Products!C1837:C2336,"Category Missing",0)</f>
        <v>Category Missing</v>
      </c>
      <c r="I1837" s="11" t="str">
        <f>_xlfn.XLOOKUP(Orders!C1837,Products!A1837:A2336,Products!D1837:D2336,"Price Missing",0)</f>
        <v>Price Missing</v>
      </c>
      <c r="J1837" s="19">
        <f t="shared" si="28"/>
        <v>0</v>
      </c>
    </row>
    <row r="1838" spans="1:10" x14ac:dyDescent="0.35">
      <c r="A1838" s="4" t="s">
        <v>5858</v>
      </c>
      <c r="B1838" s="7" t="s">
        <v>1808</v>
      </c>
      <c r="C1838" s="7" t="s">
        <v>3032</v>
      </c>
      <c r="D1838" s="5">
        <v>9</v>
      </c>
      <c r="E1838" s="7" t="str">
        <f>_xlfn.XLOOKUP(B1838,Customers!A1838:A2837,Customers!B1838:B2837,"Customer Not Found",0)</f>
        <v>Customer Not Found</v>
      </c>
      <c r="F1838" s="7" t="str">
        <f>_xlfn.XLOOKUP(Orders!B1838,Customers!A1838:A2837,Customers!C1838:C2837,"Country not Found",0)</f>
        <v>Country not Found</v>
      </c>
      <c r="G1838" s="7" t="str">
        <f>_xlfn.XLOOKUP(C1838,Products!A1838:A2337,Products!B1838:B2337,"Product Missing",0)</f>
        <v>Product Missing</v>
      </c>
      <c r="H1838" s="7" t="str">
        <f>_xlfn.XLOOKUP(C1838,Products!A1838:A2337,Products!C1838:C2337,"Category Missing",0)</f>
        <v>Category Missing</v>
      </c>
      <c r="I1838" s="11" t="str">
        <f>_xlfn.XLOOKUP(Orders!C1838,Products!A1838:A2337,Products!D1838:D2337,"Price Missing",0)</f>
        <v>Price Missing</v>
      </c>
      <c r="J1838" s="19">
        <f t="shared" si="28"/>
        <v>0</v>
      </c>
    </row>
    <row r="1839" spans="1:10" x14ac:dyDescent="0.35">
      <c r="A1839" s="4" t="s">
        <v>5859</v>
      </c>
      <c r="B1839" s="7" t="s">
        <v>119</v>
      </c>
      <c r="C1839" s="7" t="s">
        <v>3568</v>
      </c>
      <c r="D1839" s="5">
        <v>2</v>
      </c>
      <c r="E1839" s="7" t="str">
        <f>_xlfn.XLOOKUP(B1839,Customers!A1839:A2838,Customers!B1839:B2838,"Customer Not Found",0)</f>
        <v>Customer Not Found</v>
      </c>
      <c r="F1839" s="7" t="str">
        <f>_xlfn.XLOOKUP(Orders!B1839,Customers!A1839:A2838,Customers!C1839:C2838,"Country not Found",0)</f>
        <v>Country not Found</v>
      </c>
      <c r="G1839" s="7" t="str">
        <f>_xlfn.XLOOKUP(C1839,Products!A1839:A2338,Products!B1839:B2338,"Product Missing",0)</f>
        <v>Product Missing</v>
      </c>
      <c r="H1839" s="7" t="str">
        <f>_xlfn.XLOOKUP(C1839,Products!A1839:A2338,Products!C1839:C2338,"Category Missing",0)</f>
        <v>Category Missing</v>
      </c>
      <c r="I1839" s="11" t="str">
        <f>_xlfn.XLOOKUP(Orders!C1839,Products!A1839:A2338,Products!D1839:D2338,"Price Missing",0)</f>
        <v>Price Missing</v>
      </c>
      <c r="J1839" s="19">
        <f t="shared" si="28"/>
        <v>0</v>
      </c>
    </row>
    <row r="1840" spans="1:10" x14ac:dyDescent="0.35">
      <c r="A1840" s="4" t="s">
        <v>5860</v>
      </c>
      <c r="B1840" s="7" t="s">
        <v>2609</v>
      </c>
      <c r="C1840" s="7" t="s">
        <v>3166</v>
      </c>
      <c r="D1840" s="5">
        <v>1</v>
      </c>
      <c r="E1840" s="7" t="str">
        <f>_xlfn.XLOOKUP(B1840,Customers!A1840:A2839,Customers!B1840:B2839,"Customer Not Found",0)</f>
        <v>Customer Not Found</v>
      </c>
      <c r="F1840" s="7" t="str">
        <f>_xlfn.XLOOKUP(Orders!B1840,Customers!A1840:A2839,Customers!C1840:C2839,"Country not Found",0)</f>
        <v>Country not Found</v>
      </c>
      <c r="G1840" s="7" t="str">
        <f>_xlfn.XLOOKUP(C1840,Products!A1840:A2339,Products!B1840:B2339,"Product Missing",0)</f>
        <v>Product Missing</v>
      </c>
      <c r="H1840" s="7" t="str">
        <f>_xlfn.XLOOKUP(C1840,Products!A1840:A2339,Products!C1840:C2339,"Category Missing",0)</f>
        <v>Category Missing</v>
      </c>
      <c r="I1840" s="11" t="str">
        <f>_xlfn.XLOOKUP(Orders!C1840,Products!A1840:A2339,Products!D1840:D2339,"Price Missing",0)</f>
        <v>Price Missing</v>
      </c>
      <c r="J1840" s="19">
        <f t="shared" si="28"/>
        <v>0</v>
      </c>
    </row>
    <row r="1841" spans="1:10" x14ac:dyDescent="0.35">
      <c r="A1841" s="4" t="s">
        <v>5861</v>
      </c>
      <c r="B1841" s="7" t="s">
        <v>905</v>
      </c>
      <c r="C1841" s="7" t="s">
        <v>3278</v>
      </c>
      <c r="D1841" s="5">
        <v>7</v>
      </c>
      <c r="E1841" s="7" t="str">
        <f>_xlfn.XLOOKUP(B1841,Customers!A1841:A2840,Customers!B1841:B2840,"Customer Not Found",0)</f>
        <v>Customer Not Found</v>
      </c>
      <c r="F1841" s="7" t="str">
        <f>_xlfn.XLOOKUP(Orders!B1841,Customers!A1841:A2840,Customers!C1841:C2840,"Country not Found",0)</f>
        <v>Country not Found</v>
      </c>
      <c r="G1841" s="7" t="str">
        <f>_xlfn.XLOOKUP(C1841,Products!A1841:A2340,Products!B1841:B2340,"Product Missing",0)</f>
        <v>Product Missing</v>
      </c>
      <c r="H1841" s="7" t="str">
        <f>_xlfn.XLOOKUP(C1841,Products!A1841:A2340,Products!C1841:C2340,"Category Missing",0)</f>
        <v>Category Missing</v>
      </c>
      <c r="I1841" s="11" t="str">
        <f>_xlfn.XLOOKUP(Orders!C1841,Products!A1841:A2340,Products!D1841:D2340,"Price Missing",0)</f>
        <v>Price Missing</v>
      </c>
      <c r="J1841" s="19">
        <f t="shared" si="28"/>
        <v>0</v>
      </c>
    </row>
    <row r="1842" spans="1:10" x14ac:dyDescent="0.35">
      <c r="A1842" s="4" t="s">
        <v>5862</v>
      </c>
      <c r="B1842" s="7" t="s">
        <v>8</v>
      </c>
      <c r="C1842" s="7" t="s">
        <v>3106</v>
      </c>
      <c r="D1842" s="5">
        <v>5</v>
      </c>
      <c r="E1842" s="7" t="str">
        <f>_xlfn.XLOOKUP(B1842,Customers!A1842:A2841,Customers!B1842:B2841,"Customer Not Found",0)</f>
        <v>Customer Not Found</v>
      </c>
      <c r="F1842" s="7" t="str">
        <f>_xlfn.XLOOKUP(Orders!B1842,Customers!A1842:A2841,Customers!C1842:C2841,"Country not Found",0)</f>
        <v>Country not Found</v>
      </c>
      <c r="G1842" s="7" t="str">
        <f>_xlfn.XLOOKUP(C1842,Products!A1842:A2341,Products!B1842:B2341,"Product Missing",0)</f>
        <v>Product Missing</v>
      </c>
      <c r="H1842" s="7" t="str">
        <f>_xlfn.XLOOKUP(C1842,Products!A1842:A2341,Products!C1842:C2341,"Category Missing",0)</f>
        <v>Category Missing</v>
      </c>
      <c r="I1842" s="11" t="str">
        <f>_xlfn.XLOOKUP(Orders!C1842,Products!A1842:A2341,Products!D1842:D2341,"Price Missing",0)</f>
        <v>Price Missing</v>
      </c>
      <c r="J1842" s="19">
        <f t="shared" si="28"/>
        <v>0</v>
      </c>
    </row>
    <row r="1843" spans="1:10" x14ac:dyDescent="0.35">
      <c r="A1843" s="4" t="s">
        <v>5863</v>
      </c>
      <c r="B1843" s="7" t="s">
        <v>851</v>
      </c>
      <c r="C1843" s="7" t="s">
        <v>3734</v>
      </c>
      <c r="D1843" s="5">
        <v>10</v>
      </c>
      <c r="E1843" s="7" t="str">
        <f>_xlfn.XLOOKUP(B1843,Customers!A1843:A2842,Customers!B1843:B2842,"Customer Not Found",0)</f>
        <v>Customer Not Found</v>
      </c>
      <c r="F1843" s="7" t="str">
        <f>_xlfn.XLOOKUP(Orders!B1843,Customers!A1843:A2842,Customers!C1843:C2842,"Country not Found",0)</f>
        <v>Country not Found</v>
      </c>
      <c r="G1843" s="7" t="str">
        <f>_xlfn.XLOOKUP(C1843,Products!A1843:A2342,Products!B1843:B2342,"Product Missing",0)</f>
        <v>Product Missing</v>
      </c>
      <c r="H1843" s="7" t="str">
        <f>_xlfn.XLOOKUP(C1843,Products!A1843:A2342,Products!C1843:C2342,"Category Missing",0)</f>
        <v>Category Missing</v>
      </c>
      <c r="I1843" s="11" t="str">
        <f>_xlfn.XLOOKUP(Orders!C1843,Products!A1843:A2342,Products!D1843:D2342,"Price Missing",0)</f>
        <v>Price Missing</v>
      </c>
      <c r="J1843" s="19">
        <f t="shared" si="28"/>
        <v>0</v>
      </c>
    </row>
    <row r="1844" spans="1:10" x14ac:dyDescent="0.35">
      <c r="A1844" s="4" t="s">
        <v>5864</v>
      </c>
      <c r="B1844" s="7" t="s">
        <v>761</v>
      </c>
      <c r="C1844" s="7" t="s">
        <v>3848</v>
      </c>
      <c r="D1844" s="5">
        <v>5</v>
      </c>
      <c r="E1844" s="7" t="str">
        <f>_xlfn.XLOOKUP(B1844,Customers!A1844:A2843,Customers!B1844:B2843,"Customer Not Found",0)</f>
        <v>Customer Not Found</v>
      </c>
      <c r="F1844" s="7" t="str">
        <f>_xlfn.XLOOKUP(Orders!B1844,Customers!A1844:A2843,Customers!C1844:C2843,"Country not Found",0)</f>
        <v>Country not Found</v>
      </c>
      <c r="G1844" s="7" t="str">
        <f>_xlfn.XLOOKUP(C1844,Products!A1844:A2343,Products!B1844:B2343,"Product Missing",0)</f>
        <v>Product Missing</v>
      </c>
      <c r="H1844" s="7" t="str">
        <f>_xlfn.XLOOKUP(C1844,Products!A1844:A2343,Products!C1844:C2343,"Category Missing",0)</f>
        <v>Category Missing</v>
      </c>
      <c r="I1844" s="11" t="str">
        <f>_xlfn.XLOOKUP(Orders!C1844,Products!A1844:A2343,Products!D1844:D2343,"Price Missing",0)</f>
        <v>Price Missing</v>
      </c>
      <c r="J1844" s="19">
        <f t="shared" si="28"/>
        <v>0</v>
      </c>
    </row>
    <row r="1845" spans="1:10" x14ac:dyDescent="0.35">
      <c r="A1845" s="4" t="s">
        <v>5865</v>
      </c>
      <c r="B1845" s="7" t="s">
        <v>1922</v>
      </c>
      <c r="C1845" s="7" t="s">
        <v>3742</v>
      </c>
      <c r="D1845" s="5">
        <v>9</v>
      </c>
      <c r="E1845" s="7" t="str">
        <f>_xlfn.XLOOKUP(B1845,Customers!A1845:A2844,Customers!B1845:B2844,"Customer Not Found",0)</f>
        <v>Customer Not Found</v>
      </c>
      <c r="F1845" s="7" t="str">
        <f>_xlfn.XLOOKUP(Orders!B1845,Customers!A1845:A2844,Customers!C1845:C2844,"Country not Found",0)</f>
        <v>Country not Found</v>
      </c>
      <c r="G1845" s="7" t="str">
        <f>_xlfn.XLOOKUP(C1845,Products!A1845:A2344,Products!B1845:B2344,"Product Missing",0)</f>
        <v>Product Missing</v>
      </c>
      <c r="H1845" s="7" t="str">
        <f>_xlfn.XLOOKUP(C1845,Products!A1845:A2344,Products!C1845:C2344,"Category Missing",0)</f>
        <v>Category Missing</v>
      </c>
      <c r="I1845" s="11" t="str">
        <f>_xlfn.XLOOKUP(Orders!C1845,Products!A1845:A2344,Products!D1845:D2344,"Price Missing",0)</f>
        <v>Price Missing</v>
      </c>
      <c r="J1845" s="19">
        <f t="shared" si="28"/>
        <v>0</v>
      </c>
    </row>
    <row r="1846" spans="1:10" x14ac:dyDescent="0.35">
      <c r="A1846" s="4" t="s">
        <v>5866</v>
      </c>
      <c r="B1846" s="7" t="s">
        <v>12</v>
      </c>
      <c r="C1846" s="7" t="s">
        <v>3530</v>
      </c>
      <c r="D1846" s="5">
        <v>9</v>
      </c>
      <c r="E1846" s="7" t="str">
        <f>_xlfn.XLOOKUP(B1846,Customers!A1846:A2845,Customers!B1846:B2845,"Customer Not Found",0)</f>
        <v>Customer Not Found</v>
      </c>
      <c r="F1846" s="7" t="str">
        <f>_xlfn.XLOOKUP(Orders!B1846,Customers!A1846:A2845,Customers!C1846:C2845,"Country not Found",0)</f>
        <v>Country not Found</v>
      </c>
      <c r="G1846" s="7" t="str">
        <f>_xlfn.XLOOKUP(C1846,Products!A1846:A2345,Products!B1846:B2345,"Product Missing",0)</f>
        <v>Product Missing</v>
      </c>
      <c r="H1846" s="7" t="str">
        <f>_xlfn.XLOOKUP(C1846,Products!A1846:A2345,Products!C1846:C2345,"Category Missing",0)</f>
        <v>Category Missing</v>
      </c>
      <c r="I1846" s="11" t="str">
        <f>_xlfn.XLOOKUP(Orders!C1846,Products!A1846:A2345,Products!D1846:D2345,"Price Missing",0)</f>
        <v>Price Missing</v>
      </c>
      <c r="J1846" s="19">
        <f t="shared" si="28"/>
        <v>0</v>
      </c>
    </row>
    <row r="1847" spans="1:10" x14ac:dyDescent="0.35">
      <c r="A1847" s="4" t="s">
        <v>5867</v>
      </c>
      <c r="B1847" s="7" t="s">
        <v>323</v>
      </c>
      <c r="C1847" s="7" t="s">
        <v>3360</v>
      </c>
      <c r="D1847" s="5">
        <v>9</v>
      </c>
      <c r="E1847" s="7" t="str">
        <f>_xlfn.XLOOKUP(B1847,Customers!A1847:A2846,Customers!B1847:B2846,"Customer Not Found",0)</f>
        <v>Customer Not Found</v>
      </c>
      <c r="F1847" s="7" t="str">
        <f>_xlfn.XLOOKUP(Orders!B1847,Customers!A1847:A2846,Customers!C1847:C2846,"Country not Found",0)</f>
        <v>Country not Found</v>
      </c>
      <c r="G1847" s="7" t="str">
        <f>_xlfn.XLOOKUP(C1847,Products!A1847:A2346,Products!B1847:B2346,"Product Missing",0)</f>
        <v>Product Missing</v>
      </c>
      <c r="H1847" s="7" t="str">
        <f>_xlfn.XLOOKUP(C1847,Products!A1847:A2346,Products!C1847:C2346,"Category Missing",0)</f>
        <v>Category Missing</v>
      </c>
      <c r="I1847" s="11" t="str">
        <f>_xlfn.XLOOKUP(Orders!C1847,Products!A1847:A2346,Products!D1847:D2346,"Price Missing",0)</f>
        <v>Price Missing</v>
      </c>
      <c r="J1847" s="19">
        <f t="shared" si="28"/>
        <v>0</v>
      </c>
    </row>
    <row r="1848" spans="1:10" x14ac:dyDescent="0.35">
      <c r="A1848" s="4" t="s">
        <v>5868</v>
      </c>
      <c r="B1848" s="7" t="s">
        <v>734</v>
      </c>
      <c r="C1848" s="7" t="s">
        <v>3836</v>
      </c>
      <c r="D1848" s="5">
        <v>1</v>
      </c>
      <c r="E1848" s="7" t="str">
        <f>_xlfn.XLOOKUP(B1848,Customers!A1848:A2847,Customers!B1848:B2847,"Customer Not Found",0)</f>
        <v>Customer Not Found</v>
      </c>
      <c r="F1848" s="7" t="str">
        <f>_xlfn.XLOOKUP(Orders!B1848,Customers!A1848:A2847,Customers!C1848:C2847,"Country not Found",0)</f>
        <v>Country not Found</v>
      </c>
      <c r="G1848" s="7" t="str">
        <f>_xlfn.XLOOKUP(C1848,Products!A1848:A2347,Products!B1848:B2347,"Product Missing",0)</f>
        <v>Product Missing</v>
      </c>
      <c r="H1848" s="7" t="str">
        <f>_xlfn.XLOOKUP(C1848,Products!A1848:A2347,Products!C1848:C2347,"Category Missing",0)</f>
        <v>Category Missing</v>
      </c>
      <c r="I1848" s="11" t="str">
        <f>_xlfn.XLOOKUP(Orders!C1848,Products!A1848:A2347,Products!D1848:D2347,"Price Missing",0)</f>
        <v>Price Missing</v>
      </c>
      <c r="J1848" s="19">
        <f t="shared" si="28"/>
        <v>0</v>
      </c>
    </row>
    <row r="1849" spans="1:10" x14ac:dyDescent="0.35">
      <c r="A1849" s="4" t="s">
        <v>5869</v>
      </c>
      <c r="B1849" s="7" t="s">
        <v>2327</v>
      </c>
      <c r="C1849" s="7" t="s">
        <v>3842</v>
      </c>
      <c r="D1849" s="5">
        <v>6</v>
      </c>
      <c r="E1849" s="7" t="str">
        <f>_xlfn.XLOOKUP(B1849,Customers!A1849:A2848,Customers!B1849:B2848,"Customer Not Found",0)</f>
        <v>Customer Not Found</v>
      </c>
      <c r="F1849" s="7" t="str">
        <f>_xlfn.XLOOKUP(Orders!B1849,Customers!A1849:A2848,Customers!C1849:C2848,"Country not Found",0)</f>
        <v>Country not Found</v>
      </c>
      <c r="G1849" s="7" t="str">
        <f>_xlfn.XLOOKUP(C1849,Products!A1849:A2348,Products!B1849:B2348,"Product Missing",0)</f>
        <v>Product Missing</v>
      </c>
      <c r="H1849" s="7" t="str">
        <f>_xlfn.XLOOKUP(C1849,Products!A1849:A2348,Products!C1849:C2348,"Category Missing",0)</f>
        <v>Category Missing</v>
      </c>
      <c r="I1849" s="11" t="str">
        <f>_xlfn.XLOOKUP(Orders!C1849,Products!A1849:A2348,Products!D1849:D2348,"Price Missing",0)</f>
        <v>Price Missing</v>
      </c>
      <c r="J1849" s="19">
        <f t="shared" si="28"/>
        <v>0</v>
      </c>
    </row>
    <row r="1850" spans="1:10" x14ac:dyDescent="0.35">
      <c r="A1850" s="4" t="s">
        <v>5870</v>
      </c>
      <c r="B1850" s="7" t="s">
        <v>236</v>
      </c>
      <c r="C1850" s="7" t="s">
        <v>3104</v>
      </c>
      <c r="D1850" s="5">
        <v>1</v>
      </c>
      <c r="E1850" s="7" t="str">
        <f>_xlfn.XLOOKUP(B1850,Customers!A1850:A2849,Customers!B1850:B2849,"Customer Not Found",0)</f>
        <v>Customer Not Found</v>
      </c>
      <c r="F1850" s="7" t="str">
        <f>_xlfn.XLOOKUP(Orders!B1850,Customers!A1850:A2849,Customers!C1850:C2849,"Country not Found",0)</f>
        <v>Country not Found</v>
      </c>
      <c r="G1850" s="7" t="str">
        <f>_xlfn.XLOOKUP(C1850,Products!A1850:A2349,Products!B1850:B2349,"Product Missing",0)</f>
        <v>Product Missing</v>
      </c>
      <c r="H1850" s="7" t="str">
        <f>_xlfn.XLOOKUP(C1850,Products!A1850:A2349,Products!C1850:C2349,"Category Missing",0)</f>
        <v>Category Missing</v>
      </c>
      <c r="I1850" s="11" t="str">
        <f>_xlfn.XLOOKUP(Orders!C1850,Products!A1850:A2349,Products!D1850:D2349,"Price Missing",0)</f>
        <v>Price Missing</v>
      </c>
      <c r="J1850" s="19">
        <f t="shared" si="28"/>
        <v>0</v>
      </c>
    </row>
    <row r="1851" spans="1:10" x14ac:dyDescent="0.35">
      <c r="A1851" s="4" t="s">
        <v>5871</v>
      </c>
      <c r="B1851" s="7" t="s">
        <v>2591</v>
      </c>
      <c r="C1851" s="7" t="s">
        <v>3216</v>
      </c>
      <c r="D1851" s="5">
        <v>5</v>
      </c>
      <c r="E1851" s="7" t="str">
        <f>_xlfn.XLOOKUP(B1851,Customers!A1851:A2850,Customers!B1851:B2850,"Customer Not Found",0)</f>
        <v>Customer Not Found</v>
      </c>
      <c r="F1851" s="7" t="str">
        <f>_xlfn.XLOOKUP(Orders!B1851,Customers!A1851:A2850,Customers!C1851:C2850,"Country not Found",0)</f>
        <v>Country not Found</v>
      </c>
      <c r="G1851" s="7" t="str">
        <f>_xlfn.XLOOKUP(C1851,Products!A1851:A2350,Products!B1851:B2350,"Product Missing",0)</f>
        <v>Product Missing</v>
      </c>
      <c r="H1851" s="7" t="str">
        <f>_xlfn.XLOOKUP(C1851,Products!A1851:A2350,Products!C1851:C2350,"Category Missing",0)</f>
        <v>Category Missing</v>
      </c>
      <c r="I1851" s="11" t="str">
        <f>_xlfn.XLOOKUP(Orders!C1851,Products!A1851:A2350,Products!D1851:D2350,"Price Missing",0)</f>
        <v>Price Missing</v>
      </c>
      <c r="J1851" s="19">
        <f t="shared" si="28"/>
        <v>0</v>
      </c>
    </row>
    <row r="1852" spans="1:10" x14ac:dyDescent="0.35">
      <c r="A1852" s="4" t="s">
        <v>5872</v>
      </c>
      <c r="B1852" s="7" t="s">
        <v>182</v>
      </c>
      <c r="C1852" s="7" t="s">
        <v>3646</v>
      </c>
      <c r="D1852" s="5">
        <v>7</v>
      </c>
      <c r="E1852" s="7" t="str">
        <f>_xlfn.XLOOKUP(B1852,Customers!A1852:A2851,Customers!B1852:B2851,"Customer Not Found",0)</f>
        <v>Customer Not Found</v>
      </c>
      <c r="F1852" s="7" t="str">
        <f>_xlfn.XLOOKUP(Orders!B1852,Customers!A1852:A2851,Customers!C1852:C2851,"Country not Found",0)</f>
        <v>Country not Found</v>
      </c>
      <c r="G1852" s="7" t="str">
        <f>_xlfn.XLOOKUP(C1852,Products!A1852:A2351,Products!B1852:B2351,"Product Missing",0)</f>
        <v>Product Missing</v>
      </c>
      <c r="H1852" s="7" t="str">
        <f>_xlfn.XLOOKUP(C1852,Products!A1852:A2351,Products!C1852:C2351,"Category Missing",0)</f>
        <v>Category Missing</v>
      </c>
      <c r="I1852" s="11" t="str">
        <f>_xlfn.XLOOKUP(Orders!C1852,Products!A1852:A2351,Products!D1852:D2351,"Price Missing",0)</f>
        <v>Price Missing</v>
      </c>
      <c r="J1852" s="19">
        <f t="shared" si="28"/>
        <v>0</v>
      </c>
    </row>
    <row r="1853" spans="1:10" x14ac:dyDescent="0.35">
      <c r="A1853" s="4" t="s">
        <v>5873</v>
      </c>
      <c r="B1853" s="7" t="s">
        <v>1271</v>
      </c>
      <c r="C1853" s="7" t="s">
        <v>3746</v>
      </c>
      <c r="D1853" s="5">
        <v>6</v>
      </c>
      <c r="E1853" s="7" t="str">
        <f>_xlfn.XLOOKUP(B1853,Customers!A1853:A2852,Customers!B1853:B2852,"Customer Not Found",0)</f>
        <v>Customer Not Found</v>
      </c>
      <c r="F1853" s="7" t="str">
        <f>_xlfn.XLOOKUP(Orders!B1853,Customers!A1853:A2852,Customers!C1853:C2852,"Country not Found",0)</f>
        <v>Country not Found</v>
      </c>
      <c r="G1853" s="7" t="str">
        <f>_xlfn.XLOOKUP(C1853,Products!A1853:A2352,Products!B1853:B2352,"Product Missing",0)</f>
        <v>Product Missing</v>
      </c>
      <c r="H1853" s="7" t="str">
        <f>_xlfn.XLOOKUP(C1853,Products!A1853:A2352,Products!C1853:C2352,"Category Missing",0)</f>
        <v>Category Missing</v>
      </c>
      <c r="I1853" s="11" t="str">
        <f>_xlfn.XLOOKUP(Orders!C1853,Products!A1853:A2352,Products!D1853:D2352,"Price Missing",0)</f>
        <v>Price Missing</v>
      </c>
      <c r="J1853" s="19">
        <f t="shared" si="28"/>
        <v>0</v>
      </c>
    </row>
    <row r="1854" spans="1:10" x14ac:dyDescent="0.35">
      <c r="A1854" s="4" t="s">
        <v>5874</v>
      </c>
      <c r="B1854" s="7" t="s">
        <v>1532</v>
      </c>
      <c r="C1854" s="7" t="s">
        <v>3520</v>
      </c>
      <c r="D1854" s="5">
        <v>1</v>
      </c>
      <c r="E1854" s="7" t="str">
        <f>_xlfn.XLOOKUP(B1854,Customers!A1854:A2853,Customers!B1854:B2853,"Customer Not Found",0)</f>
        <v>Customer Not Found</v>
      </c>
      <c r="F1854" s="7" t="str">
        <f>_xlfn.XLOOKUP(Orders!B1854,Customers!A1854:A2853,Customers!C1854:C2853,"Country not Found",0)</f>
        <v>Country not Found</v>
      </c>
      <c r="G1854" s="7" t="str">
        <f>_xlfn.XLOOKUP(C1854,Products!A1854:A2353,Products!B1854:B2353,"Product Missing",0)</f>
        <v>Product Missing</v>
      </c>
      <c r="H1854" s="7" t="str">
        <f>_xlfn.XLOOKUP(C1854,Products!A1854:A2353,Products!C1854:C2353,"Category Missing",0)</f>
        <v>Category Missing</v>
      </c>
      <c r="I1854" s="11" t="str">
        <f>_xlfn.XLOOKUP(Orders!C1854,Products!A1854:A2353,Products!D1854:D2353,"Price Missing",0)</f>
        <v>Price Missing</v>
      </c>
      <c r="J1854" s="19">
        <f t="shared" si="28"/>
        <v>0</v>
      </c>
    </row>
    <row r="1855" spans="1:10" x14ac:dyDescent="0.35">
      <c r="A1855" s="4" t="s">
        <v>5875</v>
      </c>
      <c r="B1855" s="7" t="s">
        <v>2414</v>
      </c>
      <c r="C1855" s="7" t="s">
        <v>3386</v>
      </c>
      <c r="D1855" s="5">
        <v>3</v>
      </c>
      <c r="E1855" s="7" t="str">
        <f>_xlfn.XLOOKUP(B1855,Customers!A1855:A2854,Customers!B1855:B2854,"Customer Not Found",0)</f>
        <v>Customer Not Found</v>
      </c>
      <c r="F1855" s="7" t="str">
        <f>_xlfn.XLOOKUP(Orders!B1855,Customers!A1855:A2854,Customers!C1855:C2854,"Country not Found",0)</f>
        <v>Country not Found</v>
      </c>
      <c r="G1855" s="7" t="str">
        <f>_xlfn.XLOOKUP(C1855,Products!A1855:A2354,Products!B1855:B2354,"Product Missing",0)</f>
        <v>Product Missing</v>
      </c>
      <c r="H1855" s="7" t="str">
        <f>_xlfn.XLOOKUP(C1855,Products!A1855:A2354,Products!C1855:C2354,"Category Missing",0)</f>
        <v>Category Missing</v>
      </c>
      <c r="I1855" s="11" t="str">
        <f>_xlfn.XLOOKUP(Orders!C1855,Products!A1855:A2354,Products!D1855:D2354,"Price Missing",0)</f>
        <v>Price Missing</v>
      </c>
      <c r="J1855" s="19">
        <f t="shared" si="28"/>
        <v>0</v>
      </c>
    </row>
    <row r="1856" spans="1:10" x14ac:dyDescent="0.35">
      <c r="A1856" s="4" t="s">
        <v>5876</v>
      </c>
      <c r="B1856" s="7" t="s">
        <v>1358</v>
      </c>
      <c r="C1856" s="7" t="s">
        <v>3914</v>
      </c>
      <c r="D1856" s="5">
        <v>3</v>
      </c>
      <c r="E1856" s="7" t="str">
        <f>_xlfn.XLOOKUP(B1856,Customers!A1856:A2855,Customers!B1856:B2855,"Customer Not Found",0)</f>
        <v>Customer Not Found</v>
      </c>
      <c r="F1856" s="7" t="str">
        <f>_xlfn.XLOOKUP(Orders!B1856,Customers!A1856:A2855,Customers!C1856:C2855,"Country not Found",0)</f>
        <v>Country not Found</v>
      </c>
      <c r="G1856" s="7" t="str">
        <f>_xlfn.XLOOKUP(C1856,Products!A1856:A2355,Products!B1856:B2355,"Product Missing",0)</f>
        <v>Product Missing</v>
      </c>
      <c r="H1856" s="7" t="str">
        <f>_xlfn.XLOOKUP(C1856,Products!A1856:A2355,Products!C1856:C2355,"Category Missing",0)</f>
        <v>Category Missing</v>
      </c>
      <c r="I1856" s="11" t="str">
        <f>_xlfn.XLOOKUP(Orders!C1856,Products!A1856:A2355,Products!D1856:D2355,"Price Missing",0)</f>
        <v>Price Missing</v>
      </c>
      <c r="J1856" s="19">
        <f t="shared" si="28"/>
        <v>0</v>
      </c>
    </row>
    <row r="1857" spans="1:10" x14ac:dyDescent="0.35">
      <c r="A1857" s="4" t="s">
        <v>5877</v>
      </c>
      <c r="B1857" s="7" t="s">
        <v>2381</v>
      </c>
      <c r="C1857" s="7" t="s">
        <v>3650</v>
      </c>
      <c r="D1857" s="5">
        <v>2</v>
      </c>
      <c r="E1857" s="7" t="str">
        <f>_xlfn.XLOOKUP(B1857,Customers!A1857:A2856,Customers!B1857:B2856,"Customer Not Found",0)</f>
        <v>Customer Not Found</v>
      </c>
      <c r="F1857" s="7" t="str">
        <f>_xlfn.XLOOKUP(Orders!B1857,Customers!A1857:A2856,Customers!C1857:C2856,"Country not Found",0)</f>
        <v>Country not Found</v>
      </c>
      <c r="G1857" s="7" t="str">
        <f>_xlfn.XLOOKUP(C1857,Products!A1857:A2356,Products!B1857:B2356,"Product Missing",0)</f>
        <v>Product Missing</v>
      </c>
      <c r="H1857" s="7" t="str">
        <f>_xlfn.XLOOKUP(C1857,Products!A1857:A2356,Products!C1857:C2356,"Category Missing",0)</f>
        <v>Category Missing</v>
      </c>
      <c r="I1857" s="11" t="str">
        <f>_xlfn.XLOOKUP(Orders!C1857,Products!A1857:A2356,Products!D1857:D2356,"Price Missing",0)</f>
        <v>Price Missing</v>
      </c>
      <c r="J1857" s="19">
        <f t="shared" si="28"/>
        <v>0</v>
      </c>
    </row>
    <row r="1858" spans="1:10" x14ac:dyDescent="0.35">
      <c r="A1858" s="4" t="s">
        <v>5878</v>
      </c>
      <c r="B1858" s="7" t="s">
        <v>2909</v>
      </c>
      <c r="C1858" s="7" t="s">
        <v>3130</v>
      </c>
      <c r="D1858" s="5">
        <v>1</v>
      </c>
      <c r="E1858" s="7" t="str">
        <f>_xlfn.XLOOKUP(B1858,Customers!A1858:A2857,Customers!B1858:B2857,"Customer Not Found",0)</f>
        <v>Customer Not Found</v>
      </c>
      <c r="F1858" s="7" t="str">
        <f>_xlfn.XLOOKUP(Orders!B1858,Customers!A1858:A2857,Customers!C1858:C2857,"Country not Found",0)</f>
        <v>Country not Found</v>
      </c>
      <c r="G1858" s="7" t="str">
        <f>_xlfn.XLOOKUP(C1858,Products!A1858:A2357,Products!B1858:B2357,"Product Missing",0)</f>
        <v>Product Missing</v>
      </c>
      <c r="H1858" s="7" t="str">
        <f>_xlfn.XLOOKUP(C1858,Products!A1858:A2357,Products!C1858:C2357,"Category Missing",0)</f>
        <v>Category Missing</v>
      </c>
      <c r="I1858" s="11" t="str">
        <f>_xlfn.XLOOKUP(Orders!C1858,Products!A1858:A2357,Products!D1858:D2357,"Price Missing",0)</f>
        <v>Price Missing</v>
      </c>
      <c r="J1858" s="19">
        <f t="shared" si="28"/>
        <v>0</v>
      </c>
    </row>
    <row r="1859" spans="1:10" x14ac:dyDescent="0.35">
      <c r="A1859" s="4" t="s">
        <v>5879</v>
      </c>
      <c r="B1859" s="7" t="s">
        <v>476</v>
      </c>
      <c r="C1859" s="7" t="s">
        <v>3340</v>
      </c>
      <c r="D1859" s="5">
        <v>5</v>
      </c>
      <c r="E1859" s="7" t="str">
        <f>_xlfn.XLOOKUP(B1859,Customers!A1859:A2858,Customers!B1859:B2858,"Customer Not Found",0)</f>
        <v>Customer Not Found</v>
      </c>
      <c r="F1859" s="7" t="str">
        <f>_xlfn.XLOOKUP(Orders!B1859,Customers!A1859:A2858,Customers!C1859:C2858,"Country not Found",0)</f>
        <v>Country not Found</v>
      </c>
      <c r="G1859" s="7" t="str">
        <f>_xlfn.XLOOKUP(C1859,Products!A1859:A2358,Products!B1859:B2358,"Product Missing",0)</f>
        <v>Product Missing</v>
      </c>
      <c r="H1859" s="7" t="str">
        <f>_xlfn.XLOOKUP(C1859,Products!A1859:A2358,Products!C1859:C2358,"Category Missing",0)</f>
        <v>Category Missing</v>
      </c>
      <c r="I1859" s="11" t="str">
        <f>_xlfn.XLOOKUP(Orders!C1859,Products!A1859:A2358,Products!D1859:D2358,"Price Missing",0)</f>
        <v>Price Missing</v>
      </c>
      <c r="J1859" s="19">
        <f t="shared" ref="J1859:J1922" si="29">IFERROR(I1859*D1859,0)</f>
        <v>0</v>
      </c>
    </row>
    <row r="1860" spans="1:10" x14ac:dyDescent="0.35">
      <c r="A1860" s="4" t="s">
        <v>5880</v>
      </c>
      <c r="B1860" s="7" t="s">
        <v>2465</v>
      </c>
      <c r="C1860" s="7" t="s">
        <v>3380</v>
      </c>
      <c r="D1860" s="5">
        <v>9</v>
      </c>
      <c r="E1860" s="7" t="str">
        <f>_xlfn.XLOOKUP(B1860,Customers!A1860:A2859,Customers!B1860:B2859,"Customer Not Found",0)</f>
        <v>Customer Not Found</v>
      </c>
      <c r="F1860" s="7" t="str">
        <f>_xlfn.XLOOKUP(Orders!B1860,Customers!A1860:A2859,Customers!C1860:C2859,"Country not Found",0)</f>
        <v>Country not Found</v>
      </c>
      <c r="G1860" s="7" t="str">
        <f>_xlfn.XLOOKUP(C1860,Products!A1860:A2359,Products!B1860:B2359,"Product Missing",0)</f>
        <v>Product Missing</v>
      </c>
      <c r="H1860" s="7" t="str">
        <f>_xlfn.XLOOKUP(C1860,Products!A1860:A2359,Products!C1860:C2359,"Category Missing",0)</f>
        <v>Category Missing</v>
      </c>
      <c r="I1860" s="11" t="str">
        <f>_xlfn.XLOOKUP(Orders!C1860,Products!A1860:A2359,Products!D1860:D2359,"Price Missing",0)</f>
        <v>Price Missing</v>
      </c>
      <c r="J1860" s="19">
        <f t="shared" si="29"/>
        <v>0</v>
      </c>
    </row>
    <row r="1861" spans="1:10" x14ac:dyDescent="0.35">
      <c r="A1861" s="4" t="s">
        <v>5881</v>
      </c>
      <c r="B1861" s="7" t="s">
        <v>1937</v>
      </c>
      <c r="C1861" s="7" t="s">
        <v>3464</v>
      </c>
      <c r="D1861" s="5">
        <v>6</v>
      </c>
      <c r="E1861" s="7" t="str">
        <f>_xlfn.XLOOKUP(B1861,Customers!A1861:A2860,Customers!B1861:B2860,"Customer Not Found",0)</f>
        <v>Customer Not Found</v>
      </c>
      <c r="F1861" s="7" t="str">
        <f>_xlfn.XLOOKUP(Orders!B1861,Customers!A1861:A2860,Customers!C1861:C2860,"Country not Found",0)</f>
        <v>Country not Found</v>
      </c>
      <c r="G1861" s="7" t="str">
        <f>_xlfn.XLOOKUP(C1861,Products!A1861:A2360,Products!B1861:B2360,"Product Missing",0)</f>
        <v>Product Missing</v>
      </c>
      <c r="H1861" s="7" t="str">
        <f>_xlfn.XLOOKUP(C1861,Products!A1861:A2360,Products!C1861:C2360,"Category Missing",0)</f>
        <v>Category Missing</v>
      </c>
      <c r="I1861" s="11" t="str">
        <f>_xlfn.XLOOKUP(Orders!C1861,Products!A1861:A2360,Products!D1861:D2360,"Price Missing",0)</f>
        <v>Price Missing</v>
      </c>
      <c r="J1861" s="19">
        <f t="shared" si="29"/>
        <v>0</v>
      </c>
    </row>
    <row r="1862" spans="1:10" x14ac:dyDescent="0.35">
      <c r="A1862" s="4" t="s">
        <v>5882</v>
      </c>
      <c r="B1862" s="7" t="s">
        <v>1778</v>
      </c>
      <c r="C1862" s="7" t="s">
        <v>3996</v>
      </c>
      <c r="D1862" s="5">
        <v>1</v>
      </c>
      <c r="E1862" s="7" t="str">
        <f>_xlfn.XLOOKUP(B1862,Customers!A1862:A2861,Customers!B1862:B2861,"Customer Not Found",0)</f>
        <v>Customer Not Found</v>
      </c>
      <c r="F1862" s="7" t="str">
        <f>_xlfn.XLOOKUP(Orders!B1862,Customers!A1862:A2861,Customers!C1862:C2861,"Country not Found",0)</f>
        <v>Country not Found</v>
      </c>
      <c r="G1862" s="7" t="str">
        <f>_xlfn.XLOOKUP(C1862,Products!A1862:A2361,Products!B1862:B2361,"Product Missing",0)</f>
        <v>Product Missing</v>
      </c>
      <c r="H1862" s="7" t="str">
        <f>_xlfn.XLOOKUP(C1862,Products!A1862:A2361,Products!C1862:C2361,"Category Missing",0)</f>
        <v>Category Missing</v>
      </c>
      <c r="I1862" s="11" t="str">
        <f>_xlfn.XLOOKUP(Orders!C1862,Products!A1862:A2361,Products!D1862:D2361,"Price Missing",0)</f>
        <v>Price Missing</v>
      </c>
      <c r="J1862" s="19">
        <f t="shared" si="29"/>
        <v>0</v>
      </c>
    </row>
    <row r="1863" spans="1:10" x14ac:dyDescent="0.35">
      <c r="A1863" s="4" t="s">
        <v>5883</v>
      </c>
      <c r="B1863" s="7" t="s">
        <v>116</v>
      </c>
      <c r="C1863" s="7" t="s">
        <v>3768</v>
      </c>
      <c r="D1863" s="5">
        <v>9</v>
      </c>
      <c r="E1863" s="7" t="str">
        <f>_xlfn.XLOOKUP(B1863,Customers!A1863:A2862,Customers!B1863:B2862,"Customer Not Found",0)</f>
        <v>Customer Not Found</v>
      </c>
      <c r="F1863" s="7" t="str">
        <f>_xlfn.XLOOKUP(Orders!B1863,Customers!A1863:A2862,Customers!C1863:C2862,"Country not Found",0)</f>
        <v>Country not Found</v>
      </c>
      <c r="G1863" s="7" t="str">
        <f>_xlfn.XLOOKUP(C1863,Products!A1863:A2362,Products!B1863:B2362,"Product Missing",0)</f>
        <v>Product Missing</v>
      </c>
      <c r="H1863" s="7" t="str">
        <f>_xlfn.XLOOKUP(C1863,Products!A1863:A2362,Products!C1863:C2362,"Category Missing",0)</f>
        <v>Category Missing</v>
      </c>
      <c r="I1863" s="11" t="str">
        <f>_xlfn.XLOOKUP(Orders!C1863,Products!A1863:A2362,Products!D1863:D2362,"Price Missing",0)</f>
        <v>Price Missing</v>
      </c>
      <c r="J1863" s="19">
        <f t="shared" si="29"/>
        <v>0</v>
      </c>
    </row>
    <row r="1864" spans="1:10" x14ac:dyDescent="0.35">
      <c r="A1864" s="4" t="s">
        <v>5884</v>
      </c>
      <c r="B1864" s="7" t="s">
        <v>2060</v>
      </c>
      <c r="C1864" s="7" t="s">
        <v>3580</v>
      </c>
      <c r="D1864" s="5">
        <v>2</v>
      </c>
      <c r="E1864" s="7" t="str">
        <f>_xlfn.XLOOKUP(B1864,Customers!A1864:A2863,Customers!B1864:B2863,"Customer Not Found",0)</f>
        <v>Customer Not Found</v>
      </c>
      <c r="F1864" s="7" t="str">
        <f>_xlfn.XLOOKUP(Orders!B1864,Customers!A1864:A2863,Customers!C1864:C2863,"Country not Found",0)</f>
        <v>Country not Found</v>
      </c>
      <c r="G1864" s="7" t="str">
        <f>_xlfn.XLOOKUP(C1864,Products!A1864:A2363,Products!B1864:B2363,"Product Missing",0)</f>
        <v>Product Missing</v>
      </c>
      <c r="H1864" s="7" t="str">
        <f>_xlfn.XLOOKUP(C1864,Products!A1864:A2363,Products!C1864:C2363,"Category Missing",0)</f>
        <v>Category Missing</v>
      </c>
      <c r="I1864" s="11" t="str">
        <f>_xlfn.XLOOKUP(Orders!C1864,Products!A1864:A2363,Products!D1864:D2363,"Price Missing",0)</f>
        <v>Price Missing</v>
      </c>
      <c r="J1864" s="19">
        <f t="shared" si="29"/>
        <v>0</v>
      </c>
    </row>
    <row r="1865" spans="1:10" x14ac:dyDescent="0.35">
      <c r="A1865" s="4" t="s">
        <v>5885</v>
      </c>
      <c r="B1865" s="7" t="s">
        <v>1646</v>
      </c>
      <c r="C1865" s="7" t="s">
        <v>3328</v>
      </c>
      <c r="D1865" s="5">
        <v>8</v>
      </c>
      <c r="E1865" s="7" t="str">
        <f>_xlfn.XLOOKUP(B1865,Customers!A1865:A2864,Customers!B1865:B2864,"Customer Not Found",0)</f>
        <v>Customer Not Found</v>
      </c>
      <c r="F1865" s="7" t="str">
        <f>_xlfn.XLOOKUP(Orders!B1865,Customers!A1865:A2864,Customers!C1865:C2864,"Country not Found",0)</f>
        <v>Country not Found</v>
      </c>
      <c r="G1865" s="7" t="str">
        <f>_xlfn.XLOOKUP(C1865,Products!A1865:A2364,Products!B1865:B2364,"Product Missing",0)</f>
        <v>Product Missing</v>
      </c>
      <c r="H1865" s="7" t="str">
        <f>_xlfn.XLOOKUP(C1865,Products!A1865:A2364,Products!C1865:C2364,"Category Missing",0)</f>
        <v>Category Missing</v>
      </c>
      <c r="I1865" s="11" t="str">
        <f>_xlfn.XLOOKUP(Orders!C1865,Products!A1865:A2364,Products!D1865:D2364,"Price Missing",0)</f>
        <v>Price Missing</v>
      </c>
      <c r="J1865" s="19">
        <f t="shared" si="29"/>
        <v>0</v>
      </c>
    </row>
    <row r="1866" spans="1:10" x14ac:dyDescent="0.35">
      <c r="A1866" s="4" t="s">
        <v>5886</v>
      </c>
      <c r="B1866" s="7" t="s">
        <v>1826</v>
      </c>
      <c r="C1866" s="7" t="s">
        <v>3802</v>
      </c>
      <c r="D1866" s="5">
        <v>6</v>
      </c>
      <c r="E1866" s="7" t="str">
        <f>_xlfn.XLOOKUP(B1866,Customers!A1866:A2865,Customers!B1866:B2865,"Customer Not Found",0)</f>
        <v>Customer Not Found</v>
      </c>
      <c r="F1866" s="7" t="str">
        <f>_xlfn.XLOOKUP(Orders!B1866,Customers!A1866:A2865,Customers!C1866:C2865,"Country not Found",0)</f>
        <v>Country not Found</v>
      </c>
      <c r="G1866" s="7" t="str">
        <f>_xlfn.XLOOKUP(C1866,Products!A1866:A2365,Products!B1866:B2365,"Product Missing",0)</f>
        <v>Product Missing</v>
      </c>
      <c r="H1866" s="7" t="str">
        <f>_xlfn.XLOOKUP(C1866,Products!A1866:A2365,Products!C1866:C2365,"Category Missing",0)</f>
        <v>Category Missing</v>
      </c>
      <c r="I1866" s="11" t="str">
        <f>_xlfn.XLOOKUP(Orders!C1866,Products!A1866:A2365,Products!D1866:D2365,"Price Missing",0)</f>
        <v>Price Missing</v>
      </c>
      <c r="J1866" s="19">
        <f t="shared" si="29"/>
        <v>0</v>
      </c>
    </row>
    <row r="1867" spans="1:10" x14ac:dyDescent="0.35">
      <c r="A1867" s="4" t="s">
        <v>5887</v>
      </c>
      <c r="B1867" s="7" t="s">
        <v>2708</v>
      </c>
      <c r="C1867" s="7" t="s">
        <v>3178</v>
      </c>
      <c r="D1867" s="5">
        <v>8</v>
      </c>
      <c r="E1867" s="7" t="str">
        <f>_xlfn.XLOOKUP(B1867,Customers!A1867:A2866,Customers!B1867:B2866,"Customer Not Found",0)</f>
        <v>Customer Not Found</v>
      </c>
      <c r="F1867" s="7" t="str">
        <f>_xlfn.XLOOKUP(Orders!B1867,Customers!A1867:A2866,Customers!C1867:C2866,"Country not Found",0)</f>
        <v>Country not Found</v>
      </c>
      <c r="G1867" s="7" t="str">
        <f>_xlfn.XLOOKUP(C1867,Products!A1867:A2366,Products!B1867:B2366,"Product Missing",0)</f>
        <v>Product Missing</v>
      </c>
      <c r="H1867" s="7" t="str">
        <f>_xlfn.XLOOKUP(C1867,Products!A1867:A2366,Products!C1867:C2366,"Category Missing",0)</f>
        <v>Category Missing</v>
      </c>
      <c r="I1867" s="11" t="str">
        <f>_xlfn.XLOOKUP(Orders!C1867,Products!A1867:A2366,Products!D1867:D2366,"Price Missing",0)</f>
        <v>Price Missing</v>
      </c>
      <c r="J1867" s="19">
        <f t="shared" si="29"/>
        <v>0</v>
      </c>
    </row>
    <row r="1868" spans="1:10" x14ac:dyDescent="0.35">
      <c r="A1868" s="4" t="s">
        <v>5888</v>
      </c>
      <c r="B1868" s="7" t="s">
        <v>2531</v>
      </c>
      <c r="C1868" s="7" t="s">
        <v>3328</v>
      </c>
      <c r="D1868" s="5">
        <v>4</v>
      </c>
      <c r="E1868" s="7" t="str">
        <f>_xlfn.XLOOKUP(B1868,Customers!A1868:A2867,Customers!B1868:B2867,"Customer Not Found",0)</f>
        <v>Customer Not Found</v>
      </c>
      <c r="F1868" s="7" t="str">
        <f>_xlfn.XLOOKUP(Orders!B1868,Customers!A1868:A2867,Customers!C1868:C2867,"Country not Found",0)</f>
        <v>Country not Found</v>
      </c>
      <c r="G1868" s="7" t="str">
        <f>_xlfn.XLOOKUP(C1868,Products!A1868:A2367,Products!B1868:B2367,"Product Missing",0)</f>
        <v>Product Missing</v>
      </c>
      <c r="H1868" s="7" t="str">
        <f>_xlfn.XLOOKUP(C1868,Products!A1868:A2367,Products!C1868:C2367,"Category Missing",0)</f>
        <v>Category Missing</v>
      </c>
      <c r="I1868" s="11" t="str">
        <f>_xlfn.XLOOKUP(Orders!C1868,Products!A1868:A2367,Products!D1868:D2367,"Price Missing",0)</f>
        <v>Price Missing</v>
      </c>
      <c r="J1868" s="19">
        <f t="shared" si="29"/>
        <v>0</v>
      </c>
    </row>
    <row r="1869" spans="1:10" x14ac:dyDescent="0.35">
      <c r="A1869" s="4" t="s">
        <v>5889</v>
      </c>
      <c r="B1869" s="7" t="s">
        <v>2270</v>
      </c>
      <c r="C1869" s="7" t="s">
        <v>3550</v>
      </c>
      <c r="D1869" s="5">
        <v>4</v>
      </c>
      <c r="E1869" s="7" t="str">
        <f>_xlfn.XLOOKUP(B1869,Customers!A1869:A2868,Customers!B1869:B2868,"Customer Not Found",0)</f>
        <v>Customer Not Found</v>
      </c>
      <c r="F1869" s="7" t="str">
        <f>_xlfn.XLOOKUP(Orders!B1869,Customers!A1869:A2868,Customers!C1869:C2868,"Country not Found",0)</f>
        <v>Country not Found</v>
      </c>
      <c r="G1869" s="7" t="str">
        <f>_xlfn.XLOOKUP(C1869,Products!A1869:A2368,Products!B1869:B2368,"Product Missing",0)</f>
        <v>Product Missing</v>
      </c>
      <c r="H1869" s="7" t="str">
        <f>_xlfn.XLOOKUP(C1869,Products!A1869:A2368,Products!C1869:C2368,"Category Missing",0)</f>
        <v>Category Missing</v>
      </c>
      <c r="I1869" s="11" t="str">
        <f>_xlfn.XLOOKUP(Orders!C1869,Products!A1869:A2368,Products!D1869:D2368,"Price Missing",0)</f>
        <v>Price Missing</v>
      </c>
      <c r="J1869" s="19">
        <f t="shared" si="29"/>
        <v>0</v>
      </c>
    </row>
    <row r="1870" spans="1:10" x14ac:dyDescent="0.35">
      <c r="A1870" s="4" t="s">
        <v>5890</v>
      </c>
      <c r="B1870" s="7" t="s">
        <v>1091</v>
      </c>
      <c r="C1870" s="7" t="s">
        <v>3738</v>
      </c>
      <c r="D1870" s="5">
        <v>9</v>
      </c>
      <c r="E1870" s="7" t="str">
        <f>_xlfn.XLOOKUP(B1870,Customers!A1870:A2869,Customers!B1870:B2869,"Customer Not Found",0)</f>
        <v>Customer Not Found</v>
      </c>
      <c r="F1870" s="7" t="str">
        <f>_xlfn.XLOOKUP(Orders!B1870,Customers!A1870:A2869,Customers!C1870:C2869,"Country not Found",0)</f>
        <v>Country not Found</v>
      </c>
      <c r="G1870" s="7" t="str">
        <f>_xlfn.XLOOKUP(C1870,Products!A1870:A2369,Products!B1870:B2369,"Product Missing",0)</f>
        <v>Product Missing</v>
      </c>
      <c r="H1870" s="7" t="str">
        <f>_xlfn.XLOOKUP(C1870,Products!A1870:A2369,Products!C1870:C2369,"Category Missing",0)</f>
        <v>Category Missing</v>
      </c>
      <c r="I1870" s="11" t="str">
        <f>_xlfn.XLOOKUP(Orders!C1870,Products!A1870:A2369,Products!D1870:D2369,"Price Missing",0)</f>
        <v>Price Missing</v>
      </c>
      <c r="J1870" s="19">
        <f t="shared" si="29"/>
        <v>0</v>
      </c>
    </row>
    <row r="1871" spans="1:10" x14ac:dyDescent="0.35">
      <c r="A1871" s="4" t="s">
        <v>5891</v>
      </c>
      <c r="B1871" s="7" t="s">
        <v>287</v>
      </c>
      <c r="C1871" s="7" t="s">
        <v>4010</v>
      </c>
      <c r="D1871" s="5">
        <v>6</v>
      </c>
      <c r="E1871" s="7" t="str">
        <f>_xlfn.XLOOKUP(B1871,Customers!A1871:A2870,Customers!B1871:B2870,"Customer Not Found",0)</f>
        <v>Customer Not Found</v>
      </c>
      <c r="F1871" s="7" t="str">
        <f>_xlfn.XLOOKUP(Orders!B1871,Customers!A1871:A2870,Customers!C1871:C2870,"Country not Found",0)</f>
        <v>Country not Found</v>
      </c>
      <c r="G1871" s="7" t="str">
        <f>_xlfn.XLOOKUP(C1871,Products!A1871:A2370,Products!B1871:B2370,"Product Missing",0)</f>
        <v>Product Missing</v>
      </c>
      <c r="H1871" s="7" t="str">
        <f>_xlfn.XLOOKUP(C1871,Products!A1871:A2370,Products!C1871:C2370,"Category Missing",0)</f>
        <v>Category Missing</v>
      </c>
      <c r="I1871" s="11" t="str">
        <f>_xlfn.XLOOKUP(Orders!C1871,Products!A1871:A2370,Products!D1871:D2370,"Price Missing",0)</f>
        <v>Price Missing</v>
      </c>
      <c r="J1871" s="19">
        <f t="shared" si="29"/>
        <v>0</v>
      </c>
    </row>
    <row r="1872" spans="1:10" x14ac:dyDescent="0.35">
      <c r="A1872" s="4" t="s">
        <v>5892</v>
      </c>
      <c r="B1872" s="7" t="s">
        <v>2798</v>
      </c>
      <c r="C1872" s="7" t="s">
        <v>3066</v>
      </c>
      <c r="D1872" s="5">
        <v>8</v>
      </c>
      <c r="E1872" s="7" t="str">
        <f>_xlfn.XLOOKUP(B1872,Customers!A1872:A2871,Customers!B1872:B2871,"Customer Not Found",0)</f>
        <v>Customer Not Found</v>
      </c>
      <c r="F1872" s="7" t="str">
        <f>_xlfn.XLOOKUP(Orders!B1872,Customers!A1872:A2871,Customers!C1872:C2871,"Country not Found",0)</f>
        <v>Country not Found</v>
      </c>
      <c r="G1872" s="7" t="str">
        <f>_xlfn.XLOOKUP(C1872,Products!A1872:A2371,Products!B1872:B2371,"Product Missing",0)</f>
        <v>Product Missing</v>
      </c>
      <c r="H1872" s="7" t="str">
        <f>_xlfn.XLOOKUP(C1872,Products!A1872:A2371,Products!C1872:C2371,"Category Missing",0)</f>
        <v>Category Missing</v>
      </c>
      <c r="I1872" s="11" t="str">
        <f>_xlfn.XLOOKUP(Orders!C1872,Products!A1872:A2371,Products!D1872:D2371,"Price Missing",0)</f>
        <v>Price Missing</v>
      </c>
      <c r="J1872" s="19">
        <f t="shared" si="29"/>
        <v>0</v>
      </c>
    </row>
    <row r="1873" spans="1:10" x14ac:dyDescent="0.35">
      <c r="A1873" s="4" t="s">
        <v>5893</v>
      </c>
      <c r="B1873" s="7" t="s">
        <v>2303</v>
      </c>
      <c r="C1873" s="7" t="s">
        <v>3066</v>
      </c>
      <c r="D1873" s="5">
        <v>9</v>
      </c>
      <c r="E1873" s="7" t="str">
        <f>_xlfn.XLOOKUP(B1873,Customers!A1873:A2872,Customers!B1873:B2872,"Customer Not Found",0)</f>
        <v>Customer Not Found</v>
      </c>
      <c r="F1873" s="7" t="str">
        <f>_xlfn.XLOOKUP(Orders!B1873,Customers!A1873:A2872,Customers!C1873:C2872,"Country not Found",0)</f>
        <v>Country not Found</v>
      </c>
      <c r="G1873" s="7" t="str">
        <f>_xlfn.XLOOKUP(C1873,Products!A1873:A2372,Products!B1873:B2372,"Product Missing",0)</f>
        <v>Product Missing</v>
      </c>
      <c r="H1873" s="7" t="str">
        <f>_xlfn.XLOOKUP(C1873,Products!A1873:A2372,Products!C1873:C2372,"Category Missing",0)</f>
        <v>Category Missing</v>
      </c>
      <c r="I1873" s="11" t="str">
        <f>_xlfn.XLOOKUP(Orders!C1873,Products!A1873:A2372,Products!D1873:D2372,"Price Missing",0)</f>
        <v>Price Missing</v>
      </c>
      <c r="J1873" s="19">
        <f t="shared" si="29"/>
        <v>0</v>
      </c>
    </row>
    <row r="1874" spans="1:10" x14ac:dyDescent="0.35">
      <c r="A1874" s="4" t="s">
        <v>5894</v>
      </c>
      <c r="B1874" s="7" t="s">
        <v>2162</v>
      </c>
      <c r="C1874" s="7" t="s">
        <v>4018</v>
      </c>
      <c r="D1874" s="5">
        <v>9</v>
      </c>
      <c r="E1874" s="7" t="str">
        <f>_xlfn.XLOOKUP(B1874,Customers!A1874:A2873,Customers!B1874:B2873,"Customer Not Found",0)</f>
        <v>Customer Not Found</v>
      </c>
      <c r="F1874" s="7" t="str">
        <f>_xlfn.XLOOKUP(Orders!B1874,Customers!A1874:A2873,Customers!C1874:C2873,"Country not Found",0)</f>
        <v>Country not Found</v>
      </c>
      <c r="G1874" s="7" t="str">
        <f>_xlfn.XLOOKUP(C1874,Products!A1874:A2373,Products!B1874:B2373,"Product Missing",0)</f>
        <v>Product Missing</v>
      </c>
      <c r="H1874" s="7" t="str">
        <f>_xlfn.XLOOKUP(C1874,Products!A1874:A2373,Products!C1874:C2373,"Category Missing",0)</f>
        <v>Category Missing</v>
      </c>
      <c r="I1874" s="11" t="str">
        <f>_xlfn.XLOOKUP(Orders!C1874,Products!A1874:A2373,Products!D1874:D2373,"Price Missing",0)</f>
        <v>Price Missing</v>
      </c>
      <c r="J1874" s="19">
        <f t="shared" si="29"/>
        <v>0</v>
      </c>
    </row>
    <row r="1875" spans="1:10" x14ac:dyDescent="0.35">
      <c r="A1875" s="4" t="s">
        <v>5895</v>
      </c>
      <c r="B1875" s="7" t="s">
        <v>761</v>
      </c>
      <c r="C1875" s="7" t="s">
        <v>3618</v>
      </c>
      <c r="D1875" s="5">
        <v>1</v>
      </c>
      <c r="E1875" s="7" t="str">
        <f>_xlfn.XLOOKUP(B1875,Customers!A1875:A2874,Customers!B1875:B2874,"Customer Not Found",0)</f>
        <v>Customer Not Found</v>
      </c>
      <c r="F1875" s="7" t="str">
        <f>_xlfn.XLOOKUP(Orders!B1875,Customers!A1875:A2874,Customers!C1875:C2874,"Country not Found",0)</f>
        <v>Country not Found</v>
      </c>
      <c r="G1875" s="7" t="str">
        <f>_xlfn.XLOOKUP(C1875,Products!A1875:A2374,Products!B1875:B2374,"Product Missing",0)</f>
        <v>Product Missing</v>
      </c>
      <c r="H1875" s="7" t="str">
        <f>_xlfn.XLOOKUP(C1875,Products!A1875:A2374,Products!C1875:C2374,"Category Missing",0)</f>
        <v>Category Missing</v>
      </c>
      <c r="I1875" s="11" t="str">
        <f>_xlfn.XLOOKUP(Orders!C1875,Products!A1875:A2374,Products!D1875:D2374,"Price Missing",0)</f>
        <v>Price Missing</v>
      </c>
      <c r="J1875" s="19">
        <f t="shared" si="29"/>
        <v>0</v>
      </c>
    </row>
    <row r="1876" spans="1:10" x14ac:dyDescent="0.35">
      <c r="A1876" s="4" t="s">
        <v>5896</v>
      </c>
      <c r="B1876" s="7" t="s">
        <v>1322</v>
      </c>
      <c r="C1876" s="7" t="s">
        <v>3508</v>
      </c>
      <c r="D1876" s="5">
        <v>1</v>
      </c>
      <c r="E1876" s="7" t="str">
        <f>_xlfn.XLOOKUP(B1876,Customers!A1876:A2875,Customers!B1876:B2875,"Customer Not Found",0)</f>
        <v>Customer Not Found</v>
      </c>
      <c r="F1876" s="7" t="str">
        <f>_xlfn.XLOOKUP(Orders!B1876,Customers!A1876:A2875,Customers!C1876:C2875,"Country not Found",0)</f>
        <v>Country not Found</v>
      </c>
      <c r="G1876" s="7" t="str">
        <f>_xlfn.XLOOKUP(C1876,Products!A1876:A2375,Products!B1876:B2375,"Product Missing",0)</f>
        <v>Product Missing</v>
      </c>
      <c r="H1876" s="7" t="str">
        <f>_xlfn.XLOOKUP(C1876,Products!A1876:A2375,Products!C1876:C2375,"Category Missing",0)</f>
        <v>Category Missing</v>
      </c>
      <c r="I1876" s="11" t="str">
        <f>_xlfn.XLOOKUP(Orders!C1876,Products!A1876:A2375,Products!D1876:D2375,"Price Missing",0)</f>
        <v>Price Missing</v>
      </c>
      <c r="J1876" s="19">
        <f t="shared" si="29"/>
        <v>0</v>
      </c>
    </row>
    <row r="1877" spans="1:10" x14ac:dyDescent="0.35">
      <c r="A1877" s="4" t="s">
        <v>5897</v>
      </c>
      <c r="B1877" s="7" t="s">
        <v>167</v>
      </c>
      <c r="C1877" s="7" t="s">
        <v>3084</v>
      </c>
      <c r="D1877" s="5">
        <v>10</v>
      </c>
      <c r="E1877" s="7" t="str">
        <f>_xlfn.XLOOKUP(B1877,Customers!A1877:A2876,Customers!B1877:B2876,"Customer Not Found",0)</f>
        <v>Customer Not Found</v>
      </c>
      <c r="F1877" s="7" t="str">
        <f>_xlfn.XLOOKUP(Orders!B1877,Customers!A1877:A2876,Customers!C1877:C2876,"Country not Found",0)</f>
        <v>Country not Found</v>
      </c>
      <c r="G1877" s="7" t="str">
        <f>_xlfn.XLOOKUP(C1877,Products!A1877:A2376,Products!B1877:B2376,"Product Missing",0)</f>
        <v>Product Missing</v>
      </c>
      <c r="H1877" s="7" t="str">
        <f>_xlfn.XLOOKUP(C1877,Products!A1877:A2376,Products!C1877:C2376,"Category Missing",0)</f>
        <v>Category Missing</v>
      </c>
      <c r="I1877" s="11" t="str">
        <f>_xlfn.XLOOKUP(Orders!C1877,Products!A1877:A2376,Products!D1877:D2376,"Price Missing",0)</f>
        <v>Price Missing</v>
      </c>
      <c r="J1877" s="19">
        <f t="shared" si="29"/>
        <v>0</v>
      </c>
    </row>
    <row r="1878" spans="1:10" x14ac:dyDescent="0.35">
      <c r="A1878" s="4" t="s">
        <v>5898</v>
      </c>
      <c r="B1878" s="7" t="s">
        <v>911</v>
      </c>
      <c r="C1878" s="7" t="s">
        <v>3620</v>
      </c>
      <c r="D1878" s="5">
        <v>7</v>
      </c>
      <c r="E1878" s="7" t="str">
        <f>_xlfn.XLOOKUP(B1878,Customers!A1878:A2877,Customers!B1878:B2877,"Customer Not Found",0)</f>
        <v>Customer Not Found</v>
      </c>
      <c r="F1878" s="7" t="str">
        <f>_xlfn.XLOOKUP(Orders!B1878,Customers!A1878:A2877,Customers!C1878:C2877,"Country not Found",0)</f>
        <v>Country not Found</v>
      </c>
      <c r="G1878" s="7" t="str">
        <f>_xlfn.XLOOKUP(C1878,Products!A1878:A2377,Products!B1878:B2377,"Product Missing",0)</f>
        <v>Product Missing</v>
      </c>
      <c r="H1878" s="7" t="str">
        <f>_xlfn.XLOOKUP(C1878,Products!A1878:A2377,Products!C1878:C2377,"Category Missing",0)</f>
        <v>Category Missing</v>
      </c>
      <c r="I1878" s="11" t="str">
        <f>_xlfn.XLOOKUP(Orders!C1878,Products!A1878:A2377,Products!D1878:D2377,"Price Missing",0)</f>
        <v>Price Missing</v>
      </c>
      <c r="J1878" s="19">
        <f t="shared" si="29"/>
        <v>0</v>
      </c>
    </row>
    <row r="1879" spans="1:10" x14ac:dyDescent="0.35">
      <c r="A1879" s="4" t="s">
        <v>5899</v>
      </c>
      <c r="B1879" s="7" t="s">
        <v>1094</v>
      </c>
      <c r="C1879" s="7" t="s">
        <v>3726</v>
      </c>
      <c r="D1879" s="5">
        <v>7</v>
      </c>
      <c r="E1879" s="7" t="str">
        <f>_xlfn.XLOOKUP(B1879,Customers!A1879:A2878,Customers!B1879:B2878,"Customer Not Found",0)</f>
        <v>Customer Not Found</v>
      </c>
      <c r="F1879" s="7" t="str">
        <f>_xlfn.XLOOKUP(Orders!B1879,Customers!A1879:A2878,Customers!C1879:C2878,"Country not Found",0)</f>
        <v>Country not Found</v>
      </c>
      <c r="G1879" s="7" t="str">
        <f>_xlfn.XLOOKUP(C1879,Products!A1879:A2378,Products!B1879:B2378,"Product Missing",0)</f>
        <v>Product Missing</v>
      </c>
      <c r="H1879" s="7" t="str">
        <f>_xlfn.XLOOKUP(C1879,Products!A1879:A2378,Products!C1879:C2378,"Category Missing",0)</f>
        <v>Category Missing</v>
      </c>
      <c r="I1879" s="11" t="str">
        <f>_xlfn.XLOOKUP(Orders!C1879,Products!A1879:A2378,Products!D1879:D2378,"Price Missing",0)</f>
        <v>Price Missing</v>
      </c>
      <c r="J1879" s="19">
        <f t="shared" si="29"/>
        <v>0</v>
      </c>
    </row>
    <row r="1880" spans="1:10" x14ac:dyDescent="0.35">
      <c r="A1880" s="4" t="s">
        <v>5900</v>
      </c>
      <c r="B1880" s="7" t="s">
        <v>2942</v>
      </c>
      <c r="C1880" s="7" t="s">
        <v>3618</v>
      </c>
      <c r="D1880" s="5">
        <v>5</v>
      </c>
      <c r="E1880" s="7" t="str">
        <f>_xlfn.XLOOKUP(B1880,Customers!A1880:A2879,Customers!B1880:B2879,"Customer Not Found",0)</f>
        <v>Customer Not Found</v>
      </c>
      <c r="F1880" s="7" t="str">
        <f>_xlfn.XLOOKUP(Orders!B1880,Customers!A1880:A2879,Customers!C1880:C2879,"Country not Found",0)</f>
        <v>Country not Found</v>
      </c>
      <c r="G1880" s="7" t="str">
        <f>_xlfn.XLOOKUP(C1880,Products!A1880:A2379,Products!B1880:B2379,"Product Missing",0)</f>
        <v>Product Missing</v>
      </c>
      <c r="H1880" s="7" t="str">
        <f>_xlfn.XLOOKUP(C1880,Products!A1880:A2379,Products!C1880:C2379,"Category Missing",0)</f>
        <v>Category Missing</v>
      </c>
      <c r="I1880" s="11" t="str">
        <f>_xlfn.XLOOKUP(Orders!C1880,Products!A1880:A2379,Products!D1880:D2379,"Price Missing",0)</f>
        <v>Price Missing</v>
      </c>
      <c r="J1880" s="19">
        <f t="shared" si="29"/>
        <v>0</v>
      </c>
    </row>
    <row r="1881" spans="1:10" x14ac:dyDescent="0.35">
      <c r="A1881" s="4" t="s">
        <v>5901</v>
      </c>
      <c r="B1881" s="7" t="s">
        <v>251</v>
      </c>
      <c r="C1881" s="7" t="s">
        <v>3466</v>
      </c>
      <c r="D1881" s="5">
        <v>7</v>
      </c>
      <c r="E1881" s="7" t="str">
        <f>_xlfn.XLOOKUP(B1881,Customers!A1881:A2880,Customers!B1881:B2880,"Customer Not Found",0)</f>
        <v>Customer Not Found</v>
      </c>
      <c r="F1881" s="7" t="str">
        <f>_xlfn.XLOOKUP(Orders!B1881,Customers!A1881:A2880,Customers!C1881:C2880,"Country not Found",0)</f>
        <v>Country not Found</v>
      </c>
      <c r="G1881" s="7" t="str">
        <f>_xlfn.XLOOKUP(C1881,Products!A1881:A2380,Products!B1881:B2380,"Product Missing",0)</f>
        <v>Product Missing</v>
      </c>
      <c r="H1881" s="7" t="str">
        <f>_xlfn.XLOOKUP(C1881,Products!A1881:A2380,Products!C1881:C2380,"Category Missing",0)</f>
        <v>Category Missing</v>
      </c>
      <c r="I1881" s="11" t="str">
        <f>_xlfn.XLOOKUP(Orders!C1881,Products!A1881:A2380,Products!D1881:D2380,"Price Missing",0)</f>
        <v>Price Missing</v>
      </c>
      <c r="J1881" s="19">
        <f t="shared" si="29"/>
        <v>0</v>
      </c>
    </row>
    <row r="1882" spans="1:10" x14ac:dyDescent="0.35">
      <c r="A1882" s="4" t="s">
        <v>5902</v>
      </c>
      <c r="B1882" s="7" t="s">
        <v>2402</v>
      </c>
      <c r="C1882" s="7" t="s">
        <v>3992</v>
      </c>
      <c r="D1882" s="5">
        <v>10</v>
      </c>
      <c r="E1882" s="7" t="str">
        <f>_xlfn.XLOOKUP(B1882,Customers!A1882:A2881,Customers!B1882:B2881,"Customer Not Found",0)</f>
        <v>Customer Not Found</v>
      </c>
      <c r="F1882" s="7" t="str">
        <f>_xlfn.XLOOKUP(Orders!B1882,Customers!A1882:A2881,Customers!C1882:C2881,"Country not Found",0)</f>
        <v>Country not Found</v>
      </c>
      <c r="G1882" s="7" t="str">
        <f>_xlfn.XLOOKUP(C1882,Products!A1882:A2381,Products!B1882:B2381,"Product Missing",0)</f>
        <v>Product Missing</v>
      </c>
      <c r="H1882" s="7" t="str">
        <f>_xlfn.XLOOKUP(C1882,Products!A1882:A2381,Products!C1882:C2381,"Category Missing",0)</f>
        <v>Category Missing</v>
      </c>
      <c r="I1882" s="11" t="str">
        <f>_xlfn.XLOOKUP(Orders!C1882,Products!A1882:A2381,Products!D1882:D2381,"Price Missing",0)</f>
        <v>Price Missing</v>
      </c>
      <c r="J1882" s="19">
        <f t="shared" si="29"/>
        <v>0</v>
      </c>
    </row>
    <row r="1883" spans="1:10" x14ac:dyDescent="0.35">
      <c r="A1883" s="4" t="s">
        <v>5903</v>
      </c>
      <c r="B1883" s="7" t="s">
        <v>230</v>
      </c>
      <c r="C1883" s="7" t="s">
        <v>3486</v>
      </c>
      <c r="D1883" s="5">
        <v>1</v>
      </c>
      <c r="E1883" s="7" t="str">
        <f>_xlfn.XLOOKUP(B1883,Customers!A1883:A2882,Customers!B1883:B2882,"Customer Not Found",0)</f>
        <v>Customer Not Found</v>
      </c>
      <c r="F1883" s="7" t="str">
        <f>_xlfn.XLOOKUP(Orders!B1883,Customers!A1883:A2882,Customers!C1883:C2882,"Country not Found",0)</f>
        <v>Country not Found</v>
      </c>
      <c r="G1883" s="7" t="str">
        <f>_xlfn.XLOOKUP(C1883,Products!A1883:A2382,Products!B1883:B2382,"Product Missing",0)</f>
        <v>Product Missing</v>
      </c>
      <c r="H1883" s="7" t="str">
        <f>_xlfn.XLOOKUP(C1883,Products!A1883:A2382,Products!C1883:C2382,"Category Missing",0)</f>
        <v>Category Missing</v>
      </c>
      <c r="I1883" s="11" t="str">
        <f>_xlfn.XLOOKUP(Orders!C1883,Products!A1883:A2382,Products!D1883:D2382,"Price Missing",0)</f>
        <v>Price Missing</v>
      </c>
      <c r="J1883" s="19">
        <f t="shared" si="29"/>
        <v>0</v>
      </c>
    </row>
    <row r="1884" spans="1:10" x14ac:dyDescent="0.35">
      <c r="A1884" s="4" t="s">
        <v>5904</v>
      </c>
      <c r="B1884" s="7" t="s">
        <v>2309</v>
      </c>
      <c r="C1884" s="7" t="s">
        <v>3534</v>
      </c>
      <c r="D1884" s="5">
        <v>4</v>
      </c>
      <c r="E1884" s="7" t="str">
        <f>_xlfn.XLOOKUP(B1884,Customers!A1884:A2883,Customers!B1884:B2883,"Customer Not Found",0)</f>
        <v>Customer Not Found</v>
      </c>
      <c r="F1884" s="7" t="str">
        <f>_xlfn.XLOOKUP(Orders!B1884,Customers!A1884:A2883,Customers!C1884:C2883,"Country not Found",0)</f>
        <v>Country not Found</v>
      </c>
      <c r="G1884" s="7" t="str">
        <f>_xlfn.XLOOKUP(C1884,Products!A1884:A2383,Products!B1884:B2383,"Product Missing",0)</f>
        <v>Product Missing</v>
      </c>
      <c r="H1884" s="7" t="str">
        <f>_xlfn.XLOOKUP(C1884,Products!A1884:A2383,Products!C1884:C2383,"Category Missing",0)</f>
        <v>Category Missing</v>
      </c>
      <c r="I1884" s="11" t="str">
        <f>_xlfn.XLOOKUP(Orders!C1884,Products!A1884:A2383,Products!D1884:D2383,"Price Missing",0)</f>
        <v>Price Missing</v>
      </c>
      <c r="J1884" s="19">
        <f t="shared" si="29"/>
        <v>0</v>
      </c>
    </row>
    <row r="1885" spans="1:10" x14ac:dyDescent="0.35">
      <c r="A1885" s="4" t="s">
        <v>5905</v>
      </c>
      <c r="B1885" s="7" t="s">
        <v>1256</v>
      </c>
      <c r="C1885" s="7" t="s">
        <v>3798</v>
      </c>
      <c r="D1885" s="5">
        <v>8</v>
      </c>
      <c r="E1885" s="7" t="str">
        <f>_xlfn.XLOOKUP(B1885,Customers!A1885:A2884,Customers!B1885:B2884,"Customer Not Found",0)</f>
        <v>Customer Not Found</v>
      </c>
      <c r="F1885" s="7" t="str">
        <f>_xlfn.XLOOKUP(Orders!B1885,Customers!A1885:A2884,Customers!C1885:C2884,"Country not Found",0)</f>
        <v>Country not Found</v>
      </c>
      <c r="G1885" s="7" t="str">
        <f>_xlfn.XLOOKUP(C1885,Products!A1885:A2384,Products!B1885:B2384,"Product Missing",0)</f>
        <v>Product Missing</v>
      </c>
      <c r="H1885" s="7" t="str">
        <f>_xlfn.XLOOKUP(C1885,Products!A1885:A2384,Products!C1885:C2384,"Category Missing",0)</f>
        <v>Category Missing</v>
      </c>
      <c r="I1885" s="11" t="str">
        <f>_xlfn.XLOOKUP(Orders!C1885,Products!A1885:A2384,Products!D1885:D2384,"Price Missing",0)</f>
        <v>Price Missing</v>
      </c>
      <c r="J1885" s="19">
        <f t="shared" si="29"/>
        <v>0</v>
      </c>
    </row>
    <row r="1886" spans="1:10" x14ac:dyDescent="0.35">
      <c r="A1886" s="4" t="s">
        <v>5906</v>
      </c>
      <c r="B1886" s="7" t="s">
        <v>1790</v>
      </c>
      <c r="C1886" s="7" t="s">
        <v>3996</v>
      </c>
      <c r="D1886" s="5">
        <v>6</v>
      </c>
      <c r="E1886" s="7" t="str">
        <f>_xlfn.XLOOKUP(B1886,Customers!A1886:A2885,Customers!B1886:B2885,"Customer Not Found",0)</f>
        <v>Customer Not Found</v>
      </c>
      <c r="F1886" s="7" t="str">
        <f>_xlfn.XLOOKUP(Orders!B1886,Customers!A1886:A2885,Customers!C1886:C2885,"Country not Found",0)</f>
        <v>Country not Found</v>
      </c>
      <c r="G1886" s="7" t="str">
        <f>_xlfn.XLOOKUP(C1886,Products!A1886:A2385,Products!B1886:B2385,"Product Missing",0)</f>
        <v>Product Missing</v>
      </c>
      <c r="H1886" s="7" t="str">
        <f>_xlfn.XLOOKUP(C1886,Products!A1886:A2385,Products!C1886:C2385,"Category Missing",0)</f>
        <v>Category Missing</v>
      </c>
      <c r="I1886" s="11" t="str">
        <f>_xlfn.XLOOKUP(Orders!C1886,Products!A1886:A2385,Products!D1886:D2385,"Price Missing",0)</f>
        <v>Price Missing</v>
      </c>
      <c r="J1886" s="19">
        <f t="shared" si="29"/>
        <v>0</v>
      </c>
    </row>
    <row r="1887" spans="1:10" x14ac:dyDescent="0.35">
      <c r="A1887" s="4" t="s">
        <v>5907</v>
      </c>
      <c r="B1887" s="7" t="s">
        <v>1322</v>
      </c>
      <c r="C1887" s="7" t="s">
        <v>3744</v>
      </c>
      <c r="D1887" s="5">
        <v>2</v>
      </c>
      <c r="E1887" s="7" t="str">
        <f>_xlfn.XLOOKUP(B1887,Customers!A1887:A2886,Customers!B1887:B2886,"Customer Not Found",0)</f>
        <v>Customer Not Found</v>
      </c>
      <c r="F1887" s="7" t="str">
        <f>_xlfn.XLOOKUP(Orders!B1887,Customers!A1887:A2886,Customers!C1887:C2886,"Country not Found",0)</f>
        <v>Country not Found</v>
      </c>
      <c r="G1887" s="7" t="str">
        <f>_xlfn.XLOOKUP(C1887,Products!A1887:A2386,Products!B1887:B2386,"Product Missing",0)</f>
        <v>Product Missing</v>
      </c>
      <c r="H1887" s="7" t="str">
        <f>_xlfn.XLOOKUP(C1887,Products!A1887:A2386,Products!C1887:C2386,"Category Missing",0)</f>
        <v>Category Missing</v>
      </c>
      <c r="I1887" s="11" t="str">
        <f>_xlfn.XLOOKUP(Orders!C1887,Products!A1887:A2386,Products!D1887:D2386,"Price Missing",0)</f>
        <v>Price Missing</v>
      </c>
      <c r="J1887" s="19">
        <f t="shared" si="29"/>
        <v>0</v>
      </c>
    </row>
    <row r="1888" spans="1:10" x14ac:dyDescent="0.35">
      <c r="A1888" s="4" t="s">
        <v>5908</v>
      </c>
      <c r="B1888" s="7" t="s">
        <v>1649</v>
      </c>
      <c r="C1888" s="7" t="s">
        <v>3072</v>
      </c>
      <c r="D1888" s="5">
        <v>5</v>
      </c>
      <c r="E1888" s="7" t="str">
        <f>_xlfn.XLOOKUP(B1888,Customers!A1888:A2887,Customers!B1888:B2887,"Customer Not Found",0)</f>
        <v>Customer Not Found</v>
      </c>
      <c r="F1888" s="7" t="str">
        <f>_xlfn.XLOOKUP(Orders!B1888,Customers!A1888:A2887,Customers!C1888:C2887,"Country not Found",0)</f>
        <v>Country not Found</v>
      </c>
      <c r="G1888" s="7" t="str">
        <f>_xlfn.XLOOKUP(C1888,Products!A1888:A2387,Products!B1888:B2387,"Product Missing",0)</f>
        <v>Product Missing</v>
      </c>
      <c r="H1888" s="7" t="str">
        <f>_xlfn.XLOOKUP(C1888,Products!A1888:A2387,Products!C1888:C2387,"Category Missing",0)</f>
        <v>Category Missing</v>
      </c>
      <c r="I1888" s="11" t="str">
        <f>_xlfn.XLOOKUP(Orders!C1888,Products!A1888:A2387,Products!D1888:D2387,"Price Missing",0)</f>
        <v>Price Missing</v>
      </c>
      <c r="J1888" s="19">
        <f t="shared" si="29"/>
        <v>0</v>
      </c>
    </row>
    <row r="1889" spans="1:10" x14ac:dyDescent="0.35">
      <c r="A1889" s="4" t="s">
        <v>5909</v>
      </c>
      <c r="B1889" s="7" t="s">
        <v>260</v>
      </c>
      <c r="C1889" s="7" t="s">
        <v>3388</v>
      </c>
      <c r="D1889" s="5">
        <v>8</v>
      </c>
      <c r="E1889" s="7" t="str">
        <f>_xlfn.XLOOKUP(B1889,Customers!A1889:A2888,Customers!B1889:B2888,"Customer Not Found",0)</f>
        <v>Customer Not Found</v>
      </c>
      <c r="F1889" s="7" t="str">
        <f>_xlfn.XLOOKUP(Orders!B1889,Customers!A1889:A2888,Customers!C1889:C2888,"Country not Found",0)</f>
        <v>Country not Found</v>
      </c>
      <c r="G1889" s="7" t="str">
        <f>_xlfn.XLOOKUP(C1889,Products!A1889:A2388,Products!B1889:B2388,"Product Missing",0)</f>
        <v>Product Missing</v>
      </c>
      <c r="H1889" s="7" t="str">
        <f>_xlfn.XLOOKUP(C1889,Products!A1889:A2388,Products!C1889:C2388,"Category Missing",0)</f>
        <v>Category Missing</v>
      </c>
      <c r="I1889" s="11" t="str">
        <f>_xlfn.XLOOKUP(Orders!C1889,Products!A1889:A2388,Products!D1889:D2388,"Price Missing",0)</f>
        <v>Price Missing</v>
      </c>
      <c r="J1889" s="19">
        <f t="shared" si="29"/>
        <v>0</v>
      </c>
    </row>
    <row r="1890" spans="1:10" x14ac:dyDescent="0.35">
      <c r="A1890" s="4" t="s">
        <v>5910</v>
      </c>
      <c r="B1890" s="7" t="s">
        <v>1715</v>
      </c>
      <c r="C1890" s="7" t="s">
        <v>3412</v>
      </c>
      <c r="D1890" s="5">
        <v>2</v>
      </c>
      <c r="E1890" s="7" t="str">
        <f>_xlfn.XLOOKUP(B1890,Customers!A1890:A2889,Customers!B1890:B2889,"Customer Not Found",0)</f>
        <v>Customer Not Found</v>
      </c>
      <c r="F1890" s="7" t="str">
        <f>_xlfn.XLOOKUP(Orders!B1890,Customers!A1890:A2889,Customers!C1890:C2889,"Country not Found",0)</f>
        <v>Country not Found</v>
      </c>
      <c r="G1890" s="7" t="str">
        <f>_xlfn.XLOOKUP(C1890,Products!A1890:A2389,Products!B1890:B2389,"Product Missing",0)</f>
        <v>Product Missing</v>
      </c>
      <c r="H1890" s="7" t="str">
        <f>_xlfn.XLOOKUP(C1890,Products!A1890:A2389,Products!C1890:C2389,"Category Missing",0)</f>
        <v>Category Missing</v>
      </c>
      <c r="I1890" s="11" t="str">
        <f>_xlfn.XLOOKUP(Orders!C1890,Products!A1890:A2389,Products!D1890:D2389,"Price Missing",0)</f>
        <v>Price Missing</v>
      </c>
      <c r="J1890" s="19">
        <f t="shared" si="29"/>
        <v>0</v>
      </c>
    </row>
    <row r="1891" spans="1:10" x14ac:dyDescent="0.35">
      <c r="A1891" s="4" t="s">
        <v>5911</v>
      </c>
      <c r="B1891" s="7" t="s">
        <v>1535</v>
      </c>
      <c r="C1891" s="7" t="s">
        <v>3360</v>
      </c>
      <c r="D1891" s="5">
        <v>10</v>
      </c>
      <c r="E1891" s="7" t="str">
        <f>_xlfn.XLOOKUP(B1891,Customers!A1891:A2890,Customers!B1891:B2890,"Customer Not Found",0)</f>
        <v>Customer Not Found</v>
      </c>
      <c r="F1891" s="7" t="str">
        <f>_xlfn.XLOOKUP(Orders!B1891,Customers!A1891:A2890,Customers!C1891:C2890,"Country not Found",0)</f>
        <v>Country not Found</v>
      </c>
      <c r="G1891" s="7" t="str">
        <f>_xlfn.XLOOKUP(C1891,Products!A1891:A2390,Products!B1891:B2390,"Product Missing",0)</f>
        <v>Product Missing</v>
      </c>
      <c r="H1891" s="7" t="str">
        <f>_xlfn.XLOOKUP(C1891,Products!A1891:A2390,Products!C1891:C2390,"Category Missing",0)</f>
        <v>Category Missing</v>
      </c>
      <c r="I1891" s="11" t="str">
        <f>_xlfn.XLOOKUP(Orders!C1891,Products!A1891:A2390,Products!D1891:D2390,"Price Missing",0)</f>
        <v>Price Missing</v>
      </c>
      <c r="J1891" s="19">
        <f t="shared" si="29"/>
        <v>0</v>
      </c>
    </row>
    <row r="1892" spans="1:10" x14ac:dyDescent="0.35">
      <c r="A1892" s="4" t="s">
        <v>5912</v>
      </c>
      <c r="B1892" s="7" t="s">
        <v>2426</v>
      </c>
      <c r="C1892" s="7" t="s">
        <v>3614</v>
      </c>
      <c r="D1892" s="5">
        <v>2</v>
      </c>
      <c r="E1892" s="7" t="str">
        <f>_xlfn.XLOOKUP(B1892,Customers!A1892:A2891,Customers!B1892:B2891,"Customer Not Found",0)</f>
        <v>Customer Not Found</v>
      </c>
      <c r="F1892" s="7" t="str">
        <f>_xlfn.XLOOKUP(Orders!B1892,Customers!A1892:A2891,Customers!C1892:C2891,"Country not Found",0)</f>
        <v>Country not Found</v>
      </c>
      <c r="G1892" s="7" t="str">
        <f>_xlfn.XLOOKUP(C1892,Products!A1892:A2391,Products!B1892:B2391,"Product Missing",0)</f>
        <v>Product Missing</v>
      </c>
      <c r="H1892" s="7" t="str">
        <f>_xlfn.XLOOKUP(C1892,Products!A1892:A2391,Products!C1892:C2391,"Category Missing",0)</f>
        <v>Category Missing</v>
      </c>
      <c r="I1892" s="11" t="str">
        <f>_xlfn.XLOOKUP(Orders!C1892,Products!A1892:A2391,Products!D1892:D2391,"Price Missing",0)</f>
        <v>Price Missing</v>
      </c>
      <c r="J1892" s="19">
        <f t="shared" si="29"/>
        <v>0</v>
      </c>
    </row>
    <row r="1893" spans="1:10" x14ac:dyDescent="0.35">
      <c r="A1893" s="4" t="s">
        <v>5913</v>
      </c>
      <c r="B1893" s="7" t="s">
        <v>2936</v>
      </c>
      <c r="C1893" s="7" t="s">
        <v>3924</v>
      </c>
      <c r="D1893" s="5">
        <v>10</v>
      </c>
      <c r="E1893" s="7" t="str">
        <f>_xlfn.XLOOKUP(B1893,Customers!A1893:A2892,Customers!B1893:B2892,"Customer Not Found",0)</f>
        <v>Customer Not Found</v>
      </c>
      <c r="F1893" s="7" t="str">
        <f>_xlfn.XLOOKUP(Orders!B1893,Customers!A1893:A2892,Customers!C1893:C2892,"Country not Found",0)</f>
        <v>Country not Found</v>
      </c>
      <c r="G1893" s="7" t="str">
        <f>_xlfn.XLOOKUP(C1893,Products!A1893:A2392,Products!B1893:B2392,"Product Missing",0)</f>
        <v>Product Missing</v>
      </c>
      <c r="H1893" s="7" t="str">
        <f>_xlfn.XLOOKUP(C1893,Products!A1893:A2392,Products!C1893:C2392,"Category Missing",0)</f>
        <v>Category Missing</v>
      </c>
      <c r="I1893" s="11" t="str">
        <f>_xlfn.XLOOKUP(Orders!C1893,Products!A1893:A2392,Products!D1893:D2392,"Price Missing",0)</f>
        <v>Price Missing</v>
      </c>
      <c r="J1893" s="19">
        <f t="shared" si="29"/>
        <v>0</v>
      </c>
    </row>
    <row r="1894" spans="1:10" x14ac:dyDescent="0.35">
      <c r="A1894" s="4" t="s">
        <v>5914</v>
      </c>
      <c r="B1894" s="7" t="s">
        <v>944</v>
      </c>
      <c r="C1894" s="7" t="s">
        <v>3258</v>
      </c>
      <c r="D1894" s="5">
        <v>7</v>
      </c>
      <c r="E1894" s="7" t="str">
        <f>_xlfn.XLOOKUP(B1894,Customers!A1894:A2893,Customers!B1894:B2893,"Customer Not Found",0)</f>
        <v>Customer Not Found</v>
      </c>
      <c r="F1894" s="7" t="str">
        <f>_xlfn.XLOOKUP(Orders!B1894,Customers!A1894:A2893,Customers!C1894:C2893,"Country not Found",0)</f>
        <v>Country not Found</v>
      </c>
      <c r="G1894" s="7" t="str">
        <f>_xlfn.XLOOKUP(C1894,Products!A1894:A2393,Products!B1894:B2393,"Product Missing",0)</f>
        <v>Product Missing</v>
      </c>
      <c r="H1894" s="7" t="str">
        <f>_xlfn.XLOOKUP(C1894,Products!A1894:A2393,Products!C1894:C2393,"Category Missing",0)</f>
        <v>Category Missing</v>
      </c>
      <c r="I1894" s="11" t="str">
        <f>_xlfn.XLOOKUP(Orders!C1894,Products!A1894:A2393,Products!D1894:D2393,"Price Missing",0)</f>
        <v>Price Missing</v>
      </c>
      <c r="J1894" s="19">
        <f t="shared" si="29"/>
        <v>0</v>
      </c>
    </row>
    <row r="1895" spans="1:10" x14ac:dyDescent="0.35">
      <c r="A1895" s="4" t="s">
        <v>5915</v>
      </c>
      <c r="B1895" s="7" t="s">
        <v>1433</v>
      </c>
      <c r="C1895" s="7" t="s">
        <v>3208</v>
      </c>
      <c r="D1895" s="5">
        <v>7</v>
      </c>
      <c r="E1895" s="7" t="str">
        <f>_xlfn.XLOOKUP(B1895,Customers!A1895:A2894,Customers!B1895:B2894,"Customer Not Found",0)</f>
        <v>Customer Not Found</v>
      </c>
      <c r="F1895" s="7" t="str">
        <f>_xlfn.XLOOKUP(Orders!B1895,Customers!A1895:A2894,Customers!C1895:C2894,"Country not Found",0)</f>
        <v>Country not Found</v>
      </c>
      <c r="G1895" s="7" t="str">
        <f>_xlfn.XLOOKUP(C1895,Products!A1895:A2394,Products!B1895:B2394,"Product Missing",0)</f>
        <v>Product Missing</v>
      </c>
      <c r="H1895" s="7" t="str">
        <f>_xlfn.XLOOKUP(C1895,Products!A1895:A2394,Products!C1895:C2394,"Category Missing",0)</f>
        <v>Category Missing</v>
      </c>
      <c r="I1895" s="11" t="str">
        <f>_xlfn.XLOOKUP(Orders!C1895,Products!A1895:A2394,Products!D1895:D2394,"Price Missing",0)</f>
        <v>Price Missing</v>
      </c>
      <c r="J1895" s="19">
        <f t="shared" si="29"/>
        <v>0</v>
      </c>
    </row>
    <row r="1896" spans="1:10" x14ac:dyDescent="0.35">
      <c r="A1896" s="4" t="s">
        <v>5916</v>
      </c>
      <c r="B1896" s="7" t="s">
        <v>1910</v>
      </c>
      <c r="C1896" s="7" t="s">
        <v>3266</v>
      </c>
      <c r="D1896" s="5">
        <v>7</v>
      </c>
      <c r="E1896" s="7" t="str">
        <f>_xlfn.XLOOKUP(B1896,Customers!A1896:A2895,Customers!B1896:B2895,"Customer Not Found",0)</f>
        <v>Customer Not Found</v>
      </c>
      <c r="F1896" s="7" t="str">
        <f>_xlfn.XLOOKUP(Orders!B1896,Customers!A1896:A2895,Customers!C1896:C2895,"Country not Found",0)</f>
        <v>Country not Found</v>
      </c>
      <c r="G1896" s="7" t="str">
        <f>_xlfn.XLOOKUP(C1896,Products!A1896:A2395,Products!B1896:B2395,"Product Missing",0)</f>
        <v>Product Missing</v>
      </c>
      <c r="H1896" s="7" t="str">
        <f>_xlfn.XLOOKUP(C1896,Products!A1896:A2395,Products!C1896:C2395,"Category Missing",0)</f>
        <v>Category Missing</v>
      </c>
      <c r="I1896" s="11" t="str">
        <f>_xlfn.XLOOKUP(Orders!C1896,Products!A1896:A2395,Products!D1896:D2395,"Price Missing",0)</f>
        <v>Price Missing</v>
      </c>
      <c r="J1896" s="19">
        <f t="shared" si="29"/>
        <v>0</v>
      </c>
    </row>
    <row r="1897" spans="1:10" x14ac:dyDescent="0.35">
      <c r="A1897" s="4" t="s">
        <v>5917</v>
      </c>
      <c r="B1897" s="7" t="s">
        <v>2078</v>
      </c>
      <c r="C1897" s="7" t="s">
        <v>3994</v>
      </c>
      <c r="D1897" s="5">
        <v>10</v>
      </c>
      <c r="E1897" s="7" t="str">
        <f>_xlfn.XLOOKUP(B1897,Customers!A1897:A2896,Customers!B1897:B2896,"Customer Not Found",0)</f>
        <v>Customer Not Found</v>
      </c>
      <c r="F1897" s="7" t="str">
        <f>_xlfn.XLOOKUP(Orders!B1897,Customers!A1897:A2896,Customers!C1897:C2896,"Country not Found",0)</f>
        <v>Country not Found</v>
      </c>
      <c r="G1897" s="7" t="str">
        <f>_xlfn.XLOOKUP(C1897,Products!A1897:A2396,Products!B1897:B2396,"Product Missing",0)</f>
        <v>Product Missing</v>
      </c>
      <c r="H1897" s="7" t="str">
        <f>_xlfn.XLOOKUP(C1897,Products!A1897:A2396,Products!C1897:C2396,"Category Missing",0)</f>
        <v>Category Missing</v>
      </c>
      <c r="I1897" s="11" t="str">
        <f>_xlfn.XLOOKUP(Orders!C1897,Products!A1897:A2396,Products!D1897:D2396,"Price Missing",0)</f>
        <v>Price Missing</v>
      </c>
      <c r="J1897" s="19">
        <f t="shared" si="29"/>
        <v>0</v>
      </c>
    </row>
    <row r="1898" spans="1:10" x14ac:dyDescent="0.35">
      <c r="A1898" s="4" t="s">
        <v>5918</v>
      </c>
      <c r="B1898" s="7" t="s">
        <v>70</v>
      </c>
      <c r="C1898" s="7" t="s">
        <v>3744</v>
      </c>
      <c r="D1898" s="5">
        <v>5</v>
      </c>
      <c r="E1898" s="7" t="str">
        <f>_xlfn.XLOOKUP(B1898,Customers!A1898:A2897,Customers!B1898:B2897,"Customer Not Found",0)</f>
        <v>Customer Not Found</v>
      </c>
      <c r="F1898" s="7" t="str">
        <f>_xlfn.XLOOKUP(Orders!B1898,Customers!A1898:A2897,Customers!C1898:C2897,"Country not Found",0)</f>
        <v>Country not Found</v>
      </c>
      <c r="G1898" s="7" t="str">
        <f>_xlfn.XLOOKUP(C1898,Products!A1898:A2397,Products!B1898:B2397,"Product Missing",0)</f>
        <v>Product Missing</v>
      </c>
      <c r="H1898" s="7" t="str">
        <f>_xlfn.XLOOKUP(C1898,Products!A1898:A2397,Products!C1898:C2397,"Category Missing",0)</f>
        <v>Category Missing</v>
      </c>
      <c r="I1898" s="11" t="str">
        <f>_xlfn.XLOOKUP(Orders!C1898,Products!A1898:A2397,Products!D1898:D2397,"Price Missing",0)</f>
        <v>Price Missing</v>
      </c>
      <c r="J1898" s="19">
        <f t="shared" si="29"/>
        <v>0</v>
      </c>
    </row>
    <row r="1899" spans="1:10" x14ac:dyDescent="0.35">
      <c r="A1899" s="4" t="s">
        <v>5919</v>
      </c>
      <c r="B1899" s="7" t="s">
        <v>1475</v>
      </c>
      <c r="C1899" s="7" t="s">
        <v>3960</v>
      </c>
      <c r="D1899" s="5">
        <v>7</v>
      </c>
      <c r="E1899" s="7" t="str">
        <f>_xlfn.XLOOKUP(B1899,Customers!A1899:A2898,Customers!B1899:B2898,"Customer Not Found",0)</f>
        <v>Customer Not Found</v>
      </c>
      <c r="F1899" s="7" t="str">
        <f>_xlfn.XLOOKUP(Orders!B1899,Customers!A1899:A2898,Customers!C1899:C2898,"Country not Found",0)</f>
        <v>Country not Found</v>
      </c>
      <c r="G1899" s="7" t="str">
        <f>_xlfn.XLOOKUP(C1899,Products!A1899:A2398,Products!B1899:B2398,"Product Missing",0)</f>
        <v>Product Missing</v>
      </c>
      <c r="H1899" s="7" t="str">
        <f>_xlfn.XLOOKUP(C1899,Products!A1899:A2398,Products!C1899:C2398,"Category Missing",0)</f>
        <v>Category Missing</v>
      </c>
      <c r="I1899" s="11" t="str">
        <f>_xlfn.XLOOKUP(Orders!C1899,Products!A1899:A2398,Products!D1899:D2398,"Price Missing",0)</f>
        <v>Price Missing</v>
      </c>
      <c r="J1899" s="19">
        <f t="shared" si="29"/>
        <v>0</v>
      </c>
    </row>
    <row r="1900" spans="1:10" x14ac:dyDescent="0.35">
      <c r="A1900" s="4" t="s">
        <v>5920</v>
      </c>
      <c r="B1900" s="7" t="s">
        <v>689</v>
      </c>
      <c r="C1900" s="7" t="s">
        <v>3244</v>
      </c>
      <c r="D1900" s="5">
        <v>5</v>
      </c>
      <c r="E1900" s="7" t="str">
        <f>_xlfn.XLOOKUP(B1900,Customers!A1900:A2899,Customers!B1900:B2899,"Customer Not Found",0)</f>
        <v>Customer Not Found</v>
      </c>
      <c r="F1900" s="7" t="str">
        <f>_xlfn.XLOOKUP(Orders!B1900,Customers!A1900:A2899,Customers!C1900:C2899,"Country not Found",0)</f>
        <v>Country not Found</v>
      </c>
      <c r="G1900" s="7" t="str">
        <f>_xlfn.XLOOKUP(C1900,Products!A1900:A2399,Products!B1900:B2399,"Product Missing",0)</f>
        <v>Product Missing</v>
      </c>
      <c r="H1900" s="7" t="str">
        <f>_xlfn.XLOOKUP(C1900,Products!A1900:A2399,Products!C1900:C2399,"Category Missing",0)</f>
        <v>Category Missing</v>
      </c>
      <c r="I1900" s="11" t="str">
        <f>_xlfn.XLOOKUP(Orders!C1900,Products!A1900:A2399,Products!D1900:D2399,"Price Missing",0)</f>
        <v>Price Missing</v>
      </c>
      <c r="J1900" s="19">
        <f t="shared" si="29"/>
        <v>0</v>
      </c>
    </row>
    <row r="1901" spans="1:10" x14ac:dyDescent="0.35">
      <c r="A1901" s="4" t="s">
        <v>5921</v>
      </c>
      <c r="B1901" s="7" t="s">
        <v>2129</v>
      </c>
      <c r="C1901" s="7" t="s">
        <v>3370</v>
      </c>
      <c r="D1901" s="5">
        <v>2</v>
      </c>
      <c r="E1901" s="7" t="str">
        <f>_xlfn.XLOOKUP(B1901,Customers!A1901:A2900,Customers!B1901:B2900,"Customer Not Found",0)</f>
        <v>Customer Not Found</v>
      </c>
      <c r="F1901" s="7" t="str">
        <f>_xlfn.XLOOKUP(Orders!B1901,Customers!A1901:A2900,Customers!C1901:C2900,"Country not Found",0)</f>
        <v>Country not Found</v>
      </c>
      <c r="G1901" s="7" t="str">
        <f>_xlfn.XLOOKUP(C1901,Products!A1901:A2400,Products!B1901:B2400,"Product Missing",0)</f>
        <v>Product Missing</v>
      </c>
      <c r="H1901" s="7" t="str">
        <f>_xlfn.XLOOKUP(C1901,Products!A1901:A2400,Products!C1901:C2400,"Category Missing",0)</f>
        <v>Category Missing</v>
      </c>
      <c r="I1901" s="11" t="str">
        <f>_xlfn.XLOOKUP(Orders!C1901,Products!A1901:A2400,Products!D1901:D2400,"Price Missing",0)</f>
        <v>Price Missing</v>
      </c>
      <c r="J1901" s="19">
        <f t="shared" si="29"/>
        <v>0</v>
      </c>
    </row>
    <row r="1902" spans="1:10" x14ac:dyDescent="0.35">
      <c r="A1902" s="4" t="s">
        <v>5922</v>
      </c>
      <c r="B1902" s="7" t="s">
        <v>2624</v>
      </c>
      <c r="C1902" s="7" t="s">
        <v>3612</v>
      </c>
      <c r="D1902" s="5">
        <v>6</v>
      </c>
      <c r="E1902" s="7" t="str">
        <f>_xlfn.XLOOKUP(B1902,Customers!A1902:A2901,Customers!B1902:B2901,"Customer Not Found",0)</f>
        <v>Customer Not Found</v>
      </c>
      <c r="F1902" s="7" t="str">
        <f>_xlfn.XLOOKUP(Orders!B1902,Customers!A1902:A2901,Customers!C1902:C2901,"Country not Found",0)</f>
        <v>Country not Found</v>
      </c>
      <c r="G1902" s="7" t="str">
        <f>_xlfn.XLOOKUP(C1902,Products!A1902:A2401,Products!B1902:B2401,"Product Missing",0)</f>
        <v>Product Missing</v>
      </c>
      <c r="H1902" s="7" t="str">
        <f>_xlfn.XLOOKUP(C1902,Products!A1902:A2401,Products!C1902:C2401,"Category Missing",0)</f>
        <v>Category Missing</v>
      </c>
      <c r="I1902" s="11" t="str">
        <f>_xlfn.XLOOKUP(Orders!C1902,Products!A1902:A2401,Products!D1902:D2401,"Price Missing",0)</f>
        <v>Price Missing</v>
      </c>
      <c r="J1902" s="19">
        <f t="shared" si="29"/>
        <v>0</v>
      </c>
    </row>
    <row r="1903" spans="1:10" x14ac:dyDescent="0.35">
      <c r="A1903" s="4" t="s">
        <v>5923</v>
      </c>
      <c r="B1903" s="7" t="s">
        <v>2264</v>
      </c>
      <c r="C1903" s="7" t="s">
        <v>3088</v>
      </c>
      <c r="D1903" s="5">
        <v>1</v>
      </c>
      <c r="E1903" s="7" t="str">
        <f>_xlfn.XLOOKUP(B1903,Customers!A1903:A2902,Customers!B1903:B2902,"Customer Not Found",0)</f>
        <v>Customer Not Found</v>
      </c>
      <c r="F1903" s="7" t="str">
        <f>_xlfn.XLOOKUP(Orders!B1903,Customers!A1903:A2902,Customers!C1903:C2902,"Country not Found",0)</f>
        <v>Country not Found</v>
      </c>
      <c r="G1903" s="7" t="str">
        <f>_xlfn.XLOOKUP(C1903,Products!A1903:A2402,Products!B1903:B2402,"Product Missing",0)</f>
        <v>Product Missing</v>
      </c>
      <c r="H1903" s="7" t="str">
        <f>_xlfn.XLOOKUP(C1903,Products!A1903:A2402,Products!C1903:C2402,"Category Missing",0)</f>
        <v>Category Missing</v>
      </c>
      <c r="I1903" s="11" t="str">
        <f>_xlfn.XLOOKUP(Orders!C1903,Products!A1903:A2402,Products!D1903:D2402,"Price Missing",0)</f>
        <v>Price Missing</v>
      </c>
      <c r="J1903" s="19">
        <f t="shared" si="29"/>
        <v>0</v>
      </c>
    </row>
    <row r="1904" spans="1:10" x14ac:dyDescent="0.35">
      <c r="A1904" s="4" t="s">
        <v>5924</v>
      </c>
      <c r="B1904" s="7" t="s">
        <v>1778</v>
      </c>
      <c r="C1904" s="7" t="s">
        <v>3226</v>
      </c>
      <c r="D1904" s="5">
        <v>2</v>
      </c>
      <c r="E1904" s="7" t="str">
        <f>_xlfn.XLOOKUP(B1904,Customers!A1904:A2903,Customers!B1904:B2903,"Customer Not Found",0)</f>
        <v>Customer Not Found</v>
      </c>
      <c r="F1904" s="7" t="str">
        <f>_xlfn.XLOOKUP(Orders!B1904,Customers!A1904:A2903,Customers!C1904:C2903,"Country not Found",0)</f>
        <v>Country not Found</v>
      </c>
      <c r="G1904" s="7" t="str">
        <f>_xlfn.XLOOKUP(C1904,Products!A1904:A2403,Products!B1904:B2403,"Product Missing",0)</f>
        <v>Product Missing</v>
      </c>
      <c r="H1904" s="7" t="str">
        <f>_xlfn.XLOOKUP(C1904,Products!A1904:A2403,Products!C1904:C2403,"Category Missing",0)</f>
        <v>Category Missing</v>
      </c>
      <c r="I1904" s="11" t="str">
        <f>_xlfn.XLOOKUP(Orders!C1904,Products!A1904:A2403,Products!D1904:D2403,"Price Missing",0)</f>
        <v>Price Missing</v>
      </c>
      <c r="J1904" s="19">
        <f t="shared" si="29"/>
        <v>0</v>
      </c>
    </row>
    <row r="1905" spans="1:10" x14ac:dyDescent="0.35">
      <c r="A1905" s="4" t="s">
        <v>5925</v>
      </c>
      <c r="B1905" s="7" t="s">
        <v>896</v>
      </c>
      <c r="C1905" s="7" t="s">
        <v>3740</v>
      </c>
      <c r="D1905" s="5">
        <v>1</v>
      </c>
      <c r="E1905" s="7" t="str">
        <f>_xlfn.XLOOKUP(B1905,Customers!A1905:A2904,Customers!B1905:B2904,"Customer Not Found",0)</f>
        <v>Customer Not Found</v>
      </c>
      <c r="F1905" s="7" t="str">
        <f>_xlfn.XLOOKUP(Orders!B1905,Customers!A1905:A2904,Customers!C1905:C2904,"Country not Found",0)</f>
        <v>Country not Found</v>
      </c>
      <c r="G1905" s="7" t="str">
        <f>_xlfn.XLOOKUP(C1905,Products!A1905:A2404,Products!B1905:B2404,"Product Missing",0)</f>
        <v>Product Missing</v>
      </c>
      <c r="H1905" s="7" t="str">
        <f>_xlfn.XLOOKUP(C1905,Products!A1905:A2404,Products!C1905:C2404,"Category Missing",0)</f>
        <v>Category Missing</v>
      </c>
      <c r="I1905" s="11" t="str">
        <f>_xlfn.XLOOKUP(Orders!C1905,Products!A1905:A2404,Products!D1905:D2404,"Price Missing",0)</f>
        <v>Price Missing</v>
      </c>
      <c r="J1905" s="19">
        <f t="shared" si="29"/>
        <v>0</v>
      </c>
    </row>
    <row r="1906" spans="1:10" x14ac:dyDescent="0.35">
      <c r="A1906" s="4" t="s">
        <v>5926</v>
      </c>
      <c r="B1906" s="7" t="s">
        <v>401</v>
      </c>
      <c r="C1906" s="7" t="s">
        <v>3772</v>
      </c>
      <c r="D1906" s="5">
        <v>10</v>
      </c>
      <c r="E1906" s="7" t="str">
        <f>_xlfn.XLOOKUP(B1906,Customers!A1906:A2905,Customers!B1906:B2905,"Customer Not Found",0)</f>
        <v>Customer Not Found</v>
      </c>
      <c r="F1906" s="7" t="str">
        <f>_xlfn.XLOOKUP(Orders!B1906,Customers!A1906:A2905,Customers!C1906:C2905,"Country not Found",0)</f>
        <v>Country not Found</v>
      </c>
      <c r="G1906" s="7" t="str">
        <f>_xlfn.XLOOKUP(C1906,Products!A1906:A2405,Products!B1906:B2405,"Product Missing",0)</f>
        <v>Product Missing</v>
      </c>
      <c r="H1906" s="7" t="str">
        <f>_xlfn.XLOOKUP(C1906,Products!A1906:A2405,Products!C1906:C2405,"Category Missing",0)</f>
        <v>Category Missing</v>
      </c>
      <c r="I1906" s="11" t="str">
        <f>_xlfn.XLOOKUP(Orders!C1906,Products!A1906:A2405,Products!D1906:D2405,"Price Missing",0)</f>
        <v>Price Missing</v>
      </c>
      <c r="J1906" s="19">
        <f t="shared" si="29"/>
        <v>0</v>
      </c>
    </row>
    <row r="1907" spans="1:10" x14ac:dyDescent="0.35">
      <c r="A1907" s="4" t="s">
        <v>5927</v>
      </c>
      <c r="B1907" s="7" t="s">
        <v>317</v>
      </c>
      <c r="C1907" s="7" t="s">
        <v>3224</v>
      </c>
      <c r="D1907" s="5">
        <v>8</v>
      </c>
      <c r="E1907" s="7" t="str">
        <f>_xlfn.XLOOKUP(B1907,Customers!A1907:A2906,Customers!B1907:B2906,"Customer Not Found",0)</f>
        <v>Customer Not Found</v>
      </c>
      <c r="F1907" s="7" t="str">
        <f>_xlfn.XLOOKUP(Orders!B1907,Customers!A1907:A2906,Customers!C1907:C2906,"Country not Found",0)</f>
        <v>Country not Found</v>
      </c>
      <c r="G1907" s="7" t="str">
        <f>_xlfn.XLOOKUP(C1907,Products!A1907:A2406,Products!B1907:B2406,"Product Missing",0)</f>
        <v>Product Missing</v>
      </c>
      <c r="H1907" s="7" t="str">
        <f>_xlfn.XLOOKUP(C1907,Products!A1907:A2406,Products!C1907:C2406,"Category Missing",0)</f>
        <v>Category Missing</v>
      </c>
      <c r="I1907" s="11" t="str">
        <f>_xlfn.XLOOKUP(Orders!C1907,Products!A1907:A2406,Products!D1907:D2406,"Price Missing",0)</f>
        <v>Price Missing</v>
      </c>
      <c r="J1907" s="19">
        <f t="shared" si="29"/>
        <v>0</v>
      </c>
    </row>
    <row r="1908" spans="1:10" x14ac:dyDescent="0.35">
      <c r="A1908" s="4" t="s">
        <v>5928</v>
      </c>
      <c r="B1908" s="7" t="s">
        <v>1805</v>
      </c>
      <c r="C1908" s="7" t="s">
        <v>4000</v>
      </c>
      <c r="D1908" s="5">
        <v>10</v>
      </c>
      <c r="E1908" s="7" t="str">
        <f>_xlfn.XLOOKUP(B1908,Customers!A1908:A2907,Customers!B1908:B2907,"Customer Not Found",0)</f>
        <v>Customer Not Found</v>
      </c>
      <c r="F1908" s="7" t="str">
        <f>_xlfn.XLOOKUP(Orders!B1908,Customers!A1908:A2907,Customers!C1908:C2907,"Country not Found",0)</f>
        <v>Country not Found</v>
      </c>
      <c r="G1908" s="7" t="str">
        <f>_xlfn.XLOOKUP(C1908,Products!A1908:A2407,Products!B1908:B2407,"Product Missing",0)</f>
        <v>Product Missing</v>
      </c>
      <c r="H1908" s="7" t="str">
        <f>_xlfn.XLOOKUP(C1908,Products!A1908:A2407,Products!C1908:C2407,"Category Missing",0)</f>
        <v>Category Missing</v>
      </c>
      <c r="I1908" s="11" t="str">
        <f>_xlfn.XLOOKUP(Orders!C1908,Products!A1908:A2407,Products!D1908:D2407,"Price Missing",0)</f>
        <v>Price Missing</v>
      </c>
      <c r="J1908" s="19">
        <f t="shared" si="29"/>
        <v>0</v>
      </c>
    </row>
    <row r="1909" spans="1:10" x14ac:dyDescent="0.35">
      <c r="A1909" s="4" t="s">
        <v>5929</v>
      </c>
      <c r="B1909" s="7" t="s">
        <v>1529</v>
      </c>
      <c r="C1909" s="7" t="s">
        <v>3100</v>
      </c>
      <c r="D1909" s="5">
        <v>6</v>
      </c>
      <c r="E1909" s="7" t="str">
        <f>_xlfn.XLOOKUP(B1909,Customers!A1909:A2908,Customers!B1909:B2908,"Customer Not Found",0)</f>
        <v>Customer Not Found</v>
      </c>
      <c r="F1909" s="7" t="str">
        <f>_xlfn.XLOOKUP(Orders!B1909,Customers!A1909:A2908,Customers!C1909:C2908,"Country not Found",0)</f>
        <v>Country not Found</v>
      </c>
      <c r="G1909" s="7" t="str">
        <f>_xlfn.XLOOKUP(C1909,Products!A1909:A2408,Products!B1909:B2408,"Product Missing",0)</f>
        <v>Product Missing</v>
      </c>
      <c r="H1909" s="7" t="str">
        <f>_xlfn.XLOOKUP(C1909,Products!A1909:A2408,Products!C1909:C2408,"Category Missing",0)</f>
        <v>Category Missing</v>
      </c>
      <c r="I1909" s="11" t="str">
        <f>_xlfn.XLOOKUP(Orders!C1909,Products!A1909:A2408,Products!D1909:D2408,"Price Missing",0)</f>
        <v>Price Missing</v>
      </c>
      <c r="J1909" s="19">
        <f t="shared" si="29"/>
        <v>0</v>
      </c>
    </row>
    <row r="1910" spans="1:10" x14ac:dyDescent="0.35">
      <c r="A1910" s="4" t="s">
        <v>5930</v>
      </c>
      <c r="B1910" s="7" t="s">
        <v>725</v>
      </c>
      <c r="C1910" s="7" t="s">
        <v>3414</v>
      </c>
      <c r="D1910" s="5">
        <v>1</v>
      </c>
      <c r="E1910" s="7" t="str">
        <f>_xlfn.XLOOKUP(B1910,Customers!A1910:A2909,Customers!B1910:B2909,"Customer Not Found",0)</f>
        <v>Customer Not Found</v>
      </c>
      <c r="F1910" s="7" t="str">
        <f>_xlfn.XLOOKUP(Orders!B1910,Customers!A1910:A2909,Customers!C1910:C2909,"Country not Found",0)</f>
        <v>Country not Found</v>
      </c>
      <c r="G1910" s="7" t="str">
        <f>_xlfn.XLOOKUP(C1910,Products!A1910:A2409,Products!B1910:B2409,"Product Missing",0)</f>
        <v>Product Missing</v>
      </c>
      <c r="H1910" s="7" t="str">
        <f>_xlfn.XLOOKUP(C1910,Products!A1910:A2409,Products!C1910:C2409,"Category Missing",0)</f>
        <v>Category Missing</v>
      </c>
      <c r="I1910" s="11" t="str">
        <f>_xlfn.XLOOKUP(Orders!C1910,Products!A1910:A2409,Products!D1910:D2409,"Price Missing",0)</f>
        <v>Price Missing</v>
      </c>
      <c r="J1910" s="19">
        <f t="shared" si="29"/>
        <v>0</v>
      </c>
    </row>
    <row r="1911" spans="1:10" x14ac:dyDescent="0.35">
      <c r="A1911" s="4" t="s">
        <v>5931</v>
      </c>
      <c r="B1911" s="7" t="s">
        <v>872</v>
      </c>
      <c r="C1911" s="7" t="s">
        <v>3654</v>
      </c>
      <c r="D1911" s="5">
        <v>10</v>
      </c>
      <c r="E1911" s="7" t="str">
        <f>_xlfn.XLOOKUP(B1911,Customers!A1911:A2910,Customers!B1911:B2910,"Customer Not Found",0)</f>
        <v>Customer Not Found</v>
      </c>
      <c r="F1911" s="7" t="str">
        <f>_xlfn.XLOOKUP(Orders!B1911,Customers!A1911:A2910,Customers!C1911:C2910,"Country not Found",0)</f>
        <v>Country not Found</v>
      </c>
      <c r="G1911" s="7" t="str">
        <f>_xlfn.XLOOKUP(C1911,Products!A1911:A2410,Products!B1911:B2410,"Product Missing",0)</f>
        <v>Product Missing</v>
      </c>
      <c r="H1911" s="7" t="str">
        <f>_xlfn.XLOOKUP(C1911,Products!A1911:A2410,Products!C1911:C2410,"Category Missing",0)</f>
        <v>Category Missing</v>
      </c>
      <c r="I1911" s="11" t="str">
        <f>_xlfn.XLOOKUP(Orders!C1911,Products!A1911:A2410,Products!D1911:D2410,"Price Missing",0)</f>
        <v>Price Missing</v>
      </c>
      <c r="J1911" s="19">
        <f t="shared" si="29"/>
        <v>0</v>
      </c>
    </row>
    <row r="1912" spans="1:10" x14ac:dyDescent="0.35">
      <c r="A1912" s="4" t="s">
        <v>5932</v>
      </c>
      <c r="B1912" s="7" t="s">
        <v>959</v>
      </c>
      <c r="C1912" s="7" t="s">
        <v>3770</v>
      </c>
      <c r="D1912" s="5">
        <v>8</v>
      </c>
      <c r="E1912" s="7" t="str">
        <f>_xlfn.XLOOKUP(B1912,Customers!A1912:A2911,Customers!B1912:B2911,"Customer Not Found",0)</f>
        <v>Customer Not Found</v>
      </c>
      <c r="F1912" s="7" t="str">
        <f>_xlfn.XLOOKUP(Orders!B1912,Customers!A1912:A2911,Customers!C1912:C2911,"Country not Found",0)</f>
        <v>Country not Found</v>
      </c>
      <c r="G1912" s="7" t="str">
        <f>_xlfn.XLOOKUP(C1912,Products!A1912:A2411,Products!B1912:B2411,"Product Missing",0)</f>
        <v>Product Missing</v>
      </c>
      <c r="H1912" s="7" t="str">
        <f>_xlfn.XLOOKUP(C1912,Products!A1912:A2411,Products!C1912:C2411,"Category Missing",0)</f>
        <v>Category Missing</v>
      </c>
      <c r="I1912" s="11" t="str">
        <f>_xlfn.XLOOKUP(Orders!C1912,Products!A1912:A2411,Products!D1912:D2411,"Price Missing",0)</f>
        <v>Price Missing</v>
      </c>
      <c r="J1912" s="19">
        <f t="shared" si="29"/>
        <v>0</v>
      </c>
    </row>
    <row r="1913" spans="1:10" x14ac:dyDescent="0.35">
      <c r="A1913" s="4" t="s">
        <v>5933</v>
      </c>
      <c r="B1913" s="7" t="s">
        <v>2081</v>
      </c>
      <c r="C1913" s="7" t="s">
        <v>3514</v>
      </c>
      <c r="D1913" s="5">
        <v>3</v>
      </c>
      <c r="E1913" s="7" t="str">
        <f>_xlfn.XLOOKUP(B1913,Customers!A1913:A2912,Customers!B1913:B2912,"Customer Not Found",0)</f>
        <v>Customer Not Found</v>
      </c>
      <c r="F1913" s="7" t="str">
        <f>_xlfn.XLOOKUP(Orders!B1913,Customers!A1913:A2912,Customers!C1913:C2912,"Country not Found",0)</f>
        <v>Country not Found</v>
      </c>
      <c r="G1913" s="7" t="str">
        <f>_xlfn.XLOOKUP(C1913,Products!A1913:A2412,Products!B1913:B2412,"Product Missing",0)</f>
        <v>Product Missing</v>
      </c>
      <c r="H1913" s="7" t="str">
        <f>_xlfn.XLOOKUP(C1913,Products!A1913:A2412,Products!C1913:C2412,"Category Missing",0)</f>
        <v>Category Missing</v>
      </c>
      <c r="I1913" s="11" t="str">
        <f>_xlfn.XLOOKUP(Orders!C1913,Products!A1913:A2412,Products!D1913:D2412,"Price Missing",0)</f>
        <v>Price Missing</v>
      </c>
      <c r="J1913" s="19">
        <f t="shared" si="29"/>
        <v>0</v>
      </c>
    </row>
    <row r="1914" spans="1:10" x14ac:dyDescent="0.35">
      <c r="A1914" s="4" t="s">
        <v>5934</v>
      </c>
      <c r="B1914" s="7" t="s">
        <v>422</v>
      </c>
      <c r="C1914" s="7" t="s">
        <v>3174</v>
      </c>
      <c r="D1914" s="5">
        <v>6</v>
      </c>
      <c r="E1914" s="7" t="str">
        <f>_xlfn.XLOOKUP(B1914,Customers!A1914:A2913,Customers!B1914:B2913,"Customer Not Found",0)</f>
        <v>Customer Not Found</v>
      </c>
      <c r="F1914" s="7" t="str">
        <f>_xlfn.XLOOKUP(Orders!B1914,Customers!A1914:A2913,Customers!C1914:C2913,"Country not Found",0)</f>
        <v>Country not Found</v>
      </c>
      <c r="G1914" s="7" t="str">
        <f>_xlfn.XLOOKUP(C1914,Products!A1914:A2413,Products!B1914:B2413,"Product Missing",0)</f>
        <v>Product Missing</v>
      </c>
      <c r="H1914" s="7" t="str">
        <f>_xlfn.XLOOKUP(C1914,Products!A1914:A2413,Products!C1914:C2413,"Category Missing",0)</f>
        <v>Category Missing</v>
      </c>
      <c r="I1914" s="11" t="str">
        <f>_xlfn.XLOOKUP(Orders!C1914,Products!A1914:A2413,Products!D1914:D2413,"Price Missing",0)</f>
        <v>Price Missing</v>
      </c>
      <c r="J1914" s="19">
        <f t="shared" si="29"/>
        <v>0</v>
      </c>
    </row>
    <row r="1915" spans="1:10" x14ac:dyDescent="0.35">
      <c r="A1915" s="4" t="s">
        <v>5935</v>
      </c>
      <c r="B1915" s="7" t="s">
        <v>2663</v>
      </c>
      <c r="C1915" s="7" t="s">
        <v>3958</v>
      </c>
      <c r="D1915" s="5">
        <v>2</v>
      </c>
      <c r="E1915" s="7" t="str">
        <f>_xlfn.XLOOKUP(B1915,Customers!A1915:A2914,Customers!B1915:B2914,"Customer Not Found",0)</f>
        <v>Customer Not Found</v>
      </c>
      <c r="F1915" s="7" t="str">
        <f>_xlfn.XLOOKUP(Orders!B1915,Customers!A1915:A2914,Customers!C1915:C2914,"Country not Found",0)</f>
        <v>Country not Found</v>
      </c>
      <c r="G1915" s="7" t="str">
        <f>_xlfn.XLOOKUP(C1915,Products!A1915:A2414,Products!B1915:B2414,"Product Missing",0)</f>
        <v>Product Missing</v>
      </c>
      <c r="H1915" s="7" t="str">
        <f>_xlfn.XLOOKUP(C1915,Products!A1915:A2414,Products!C1915:C2414,"Category Missing",0)</f>
        <v>Category Missing</v>
      </c>
      <c r="I1915" s="11" t="str">
        <f>_xlfn.XLOOKUP(Orders!C1915,Products!A1915:A2414,Products!D1915:D2414,"Price Missing",0)</f>
        <v>Price Missing</v>
      </c>
      <c r="J1915" s="19">
        <f t="shared" si="29"/>
        <v>0</v>
      </c>
    </row>
    <row r="1916" spans="1:10" x14ac:dyDescent="0.35">
      <c r="A1916" s="4" t="s">
        <v>5936</v>
      </c>
      <c r="B1916" s="7" t="s">
        <v>857</v>
      </c>
      <c r="C1916" s="7" t="s">
        <v>3662</v>
      </c>
      <c r="D1916" s="5">
        <v>9</v>
      </c>
      <c r="E1916" s="7" t="str">
        <f>_xlfn.XLOOKUP(B1916,Customers!A1916:A2915,Customers!B1916:B2915,"Customer Not Found",0)</f>
        <v>Customer Not Found</v>
      </c>
      <c r="F1916" s="7" t="str">
        <f>_xlfn.XLOOKUP(Orders!B1916,Customers!A1916:A2915,Customers!C1916:C2915,"Country not Found",0)</f>
        <v>Country not Found</v>
      </c>
      <c r="G1916" s="7" t="str">
        <f>_xlfn.XLOOKUP(C1916,Products!A1916:A2415,Products!B1916:B2415,"Product Missing",0)</f>
        <v>Product Missing</v>
      </c>
      <c r="H1916" s="7" t="str">
        <f>_xlfn.XLOOKUP(C1916,Products!A1916:A2415,Products!C1916:C2415,"Category Missing",0)</f>
        <v>Category Missing</v>
      </c>
      <c r="I1916" s="11" t="str">
        <f>_xlfn.XLOOKUP(Orders!C1916,Products!A1916:A2415,Products!D1916:D2415,"Price Missing",0)</f>
        <v>Price Missing</v>
      </c>
      <c r="J1916" s="19">
        <f t="shared" si="29"/>
        <v>0</v>
      </c>
    </row>
    <row r="1917" spans="1:10" x14ac:dyDescent="0.35">
      <c r="A1917" s="4" t="s">
        <v>5937</v>
      </c>
      <c r="B1917" s="7" t="s">
        <v>284</v>
      </c>
      <c r="C1917" s="7" t="s">
        <v>3966</v>
      </c>
      <c r="D1917" s="5">
        <v>4</v>
      </c>
      <c r="E1917" s="7" t="str">
        <f>_xlfn.XLOOKUP(B1917,Customers!A1917:A2916,Customers!B1917:B2916,"Customer Not Found",0)</f>
        <v>Customer Not Found</v>
      </c>
      <c r="F1917" s="7" t="str">
        <f>_xlfn.XLOOKUP(Orders!B1917,Customers!A1917:A2916,Customers!C1917:C2916,"Country not Found",0)</f>
        <v>Country not Found</v>
      </c>
      <c r="G1917" s="7" t="str">
        <f>_xlfn.XLOOKUP(C1917,Products!A1917:A2416,Products!B1917:B2416,"Product Missing",0)</f>
        <v>Product Missing</v>
      </c>
      <c r="H1917" s="7" t="str">
        <f>_xlfn.XLOOKUP(C1917,Products!A1917:A2416,Products!C1917:C2416,"Category Missing",0)</f>
        <v>Category Missing</v>
      </c>
      <c r="I1917" s="11" t="str">
        <f>_xlfn.XLOOKUP(Orders!C1917,Products!A1917:A2416,Products!D1917:D2416,"Price Missing",0)</f>
        <v>Price Missing</v>
      </c>
      <c r="J1917" s="19">
        <f t="shared" si="29"/>
        <v>0</v>
      </c>
    </row>
    <row r="1918" spans="1:10" x14ac:dyDescent="0.35">
      <c r="A1918" s="4" t="s">
        <v>5938</v>
      </c>
      <c r="B1918" s="7" t="s">
        <v>2555</v>
      </c>
      <c r="C1918" s="7" t="s">
        <v>3818</v>
      </c>
      <c r="D1918" s="5">
        <v>6</v>
      </c>
      <c r="E1918" s="7" t="str">
        <f>_xlfn.XLOOKUP(B1918,Customers!A1918:A2917,Customers!B1918:B2917,"Customer Not Found",0)</f>
        <v>Customer Not Found</v>
      </c>
      <c r="F1918" s="7" t="str">
        <f>_xlfn.XLOOKUP(Orders!B1918,Customers!A1918:A2917,Customers!C1918:C2917,"Country not Found",0)</f>
        <v>Country not Found</v>
      </c>
      <c r="G1918" s="7" t="str">
        <f>_xlfn.XLOOKUP(C1918,Products!A1918:A2417,Products!B1918:B2417,"Product Missing",0)</f>
        <v>Product Missing</v>
      </c>
      <c r="H1918" s="7" t="str">
        <f>_xlfn.XLOOKUP(C1918,Products!A1918:A2417,Products!C1918:C2417,"Category Missing",0)</f>
        <v>Category Missing</v>
      </c>
      <c r="I1918" s="11" t="str">
        <f>_xlfn.XLOOKUP(Orders!C1918,Products!A1918:A2417,Products!D1918:D2417,"Price Missing",0)</f>
        <v>Price Missing</v>
      </c>
      <c r="J1918" s="19">
        <f t="shared" si="29"/>
        <v>0</v>
      </c>
    </row>
    <row r="1919" spans="1:10" x14ac:dyDescent="0.35">
      <c r="A1919" s="4" t="s">
        <v>5939</v>
      </c>
      <c r="B1919" s="7" t="s">
        <v>1649</v>
      </c>
      <c r="C1919" s="7" t="s">
        <v>3284</v>
      </c>
      <c r="D1919" s="5">
        <v>7</v>
      </c>
      <c r="E1919" s="7" t="str">
        <f>_xlfn.XLOOKUP(B1919,Customers!A1919:A2918,Customers!B1919:B2918,"Customer Not Found",0)</f>
        <v>Customer Not Found</v>
      </c>
      <c r="F1919" s="7" t="str">
        <f>_xlfn.XLOOKUP(Orders!B1919,Customers!A1919:A2918,Customers!C1919:C2918,"Country not Found",0)</f>
        <v>Country not Found</v>
      </c>
      <c r="G1919" s="7" t="str">
        <f>_xlfn.XLOOKUP(C1919,Products!A1919:A2418,Products!B1919:B2418,"Product Missing",0)</f>
        <v>Product Missing</v>
      </c>
      <c r="H1919" s="7" t="str">
        <f>_xlfn.XLOOKUP(C1919,Products!A1919:A2418,Products!C1919:C2418,"Category Missing",0)</f>
        <v>Category Missing</v>
      </c>
      <c r="I1919" s="11" t="str">
        <f>_xlfn.XLOOKUP(Orders!C1919,Products!A1919:A2418,Products!D1919:D2418,"Price Missing",0)</f>
        <v>Price Missing</v>
      </c>
      <c r="J1919" s="19">
        <f t="shared" si="29"/>
        <v>0</v>
      </c>
    </row>
    <row r="1920" spans="1:10" x14ac:dyDescent="0.35">
      <c r="A1920" s="4" t="s">
        <v>5940</v>
      </c>
      <c r="B1920" s="7" t="s">
        <v>2990</v>
      </c>
      <c r="C1920" s="7" t="s">
        <v>3132</v>
      </c>
      <c r="D1920" s="5">
        <v>8</v>
      </c>
      <c r="E1920" s="7" t="str">
        <f>_xlfn.XLOOKUP(B1920,Customers!A1920:A2919,Customers!B1920:B2919,"Customer Not Found",0)</f>
        <v>Customer Not Found</v>
      </c>
      <c r="F1920" s="7" t="str">
        <f>_xlfn.XLOOKUP(Orders!B1920,Customers!A1920:A2919,Customers!C1920:C2919,"Country not Found",0)</f>
        <v>Country not Found</v>
      </c>
      <c r="G1920" s="7" t="str">
        <f>_xlfn.XLOOKUP(C1920,Products!A1920:A2419,Products!B1920:B2419,"Product Missing",0)</f>
        <v>Product Missing</v>
      </c>
      <c r="H1920" s="7" t="str">
        <f>_xlfn.XLOOKUP(C1920,Products!A1920:A2419,Products!C1920:C2419,"Category Missing",0)</f>
        <v>Category Missing</v>
      </c>
      <c r="I1920" s="11" t="str">
        <f>_xlfn.XLOOKUP(Orders!C1920,Products!A1920:A2419,Products!D1920:D2419,"Price Missing",0)</f>
        <v>Price Missing</v>
      </c>
      <c r="J1920" s="19">
        <f t="shared" si="29"/>
        <v>0</v>
      </c>
    </row>
    <row r="1921" spans="1:10" x14ac:dyDescent="0.35">
      <c r="A1921" s="4" t="s">
        <v>5941</v>
      </c>
      <c r="B1921" s="7" t="s">
        <v>1796</v>
      </c>
      <c r="C1921" s="7" t="s">
        <v>3246</v>
      </c>
      <c r="D1921" s="5">
        <v>2</v>
      </c>
      <c r="E1921" s="7" t="str">
        <f>_xlfn.XLOOKUP(B1921,Customers!A1921:A2920,Customers!B1921:B2920,"Customer Not Found",0)</f>
        <v>Customer Not Found</v>
      </c>
      <c r="F1921" s="7" t="str">
        <f>_xlfn.XLOOKUP(Orders!B1921,Customers!A1921:A2920,Customers!C1921:C2920,"Country not Found",0)</f>
        <v>Country not Found</v>
      </c>
      <c r="G1921" s="7" t="str">
        <f>_xlfn.XLOOKUP(C1921,Products!A1921:A2420,Products!B1921:B2420,"Product Missing",0)</f>
        <v>Product Missing</v>
      </c>
      <c r="H1921" s="7" t="str">
        <f>_xlfn.XLOOKUP(C1921,Products!A1921:A2420,Products!C1921:C2420,"Category Missing",0)</f>
        <v>Category Missing</v>
      </c>
      <c r="I1921" s="11" t="str">
        <f>_xlfn.XLOOKUP(Orders!C1921,Products!A1921:A2420,Products!D1921:D2420,"Price Missing",0)</f>
        <v>Price Missing</v>
      </c>
      <c r="J1921" s="19">
        <f t="shared" si="29"/>
        <v>0</v>
      </c>
    </row>
    <row r="1922" spans="1:10" x14ac:dyDescent="0.35">
      <c r="A1922" s="4" t="s">
        <v>5942</v>
      </c>
      <c r="B1922" s="7" t="s">
        <v>1982</v>
      </c>
      <c r="C1922" s="7" t="s">
        <v>3536</v>
      </c>
      <c r="D1922" s="5">
        <v>2</v>
      </c>
      <c r="E1922" s="7" t="str">
        <f>_xlfn.XLOOKUP(B1922,Customers!A1922:A2921,Customers!B1922:B2921,"Customer Not Found",0)</f>
        <v>Customer Not Found</v>
      </c>
      <c r="F1922" s="7" t="str">
        <f>_xlfn.XLOOKUP(Orders!B1922,Customers!A1922:A2921,Customers!C1922:C2921,"Country not Found",0)</f>
        <v>Country not Found</v>
      </c>
      <c r="G1922" s="7" t="str">
        <f>_xlfn.XLOOKUP(C1922,Products!A1922:A2421,Products!B1922:B2421,"Product Missing",0)</f>
        <v>Product Missing</v>
      </c>
      <c r="H1922" s="7" t="str">
        <f>_xlfn.XLOOKUP(C1922,Products!A1922:A2421,Products!C1922:C2421,"Category Missing",0)</f>
        <v>Category Missing</v>
      </c>
      <c r="I1922" s="11" t="str">
        <f>_xlfn.XLOOKUP(Orders!C1922,Products!A1922:A2421,Products!D1922:D2421,"Price Missing",0)</f>
        <v>Price Missing</v>
      </c>
      <c r="J1922" s="19">
        <f t="shared" si="29"/>
        <v>0</v>
      </c>
    </row>
    <row r="1923" spans="1:10" x14ac:dyDescent="0.35">
      <c r="A1923" s="4" t="s">
        <v>5943</v>
      </c>
      <c r="B1923" s="7" t="s">
        <v>1076</v>
      </c>
      <c r="C1923" s="7" t="s">
        <v>3160</v>
      </c>
      <c r="D1923" s="5">
        <v>5</v>
      </c>
      <c r="E1923" s="7" t="str">
        <f>_xlfn.XLOOKUP(B1923,Customers!A1923:A2922,Customers!B1923:B2922,"Customer Not Found",0)</f>
        <v>Customer Not Found</v>
      </c>
      <c r="F1923" s="7" t="str">
        <f>_xlfn.XLOOKUP(Orders!B1923,Customers!A1923:A2922,Customers!C1923:C2922,"Country not Found",0)</f>
        <v>Country not Found</v>
      </c>
      <c r="G1923" s="7" t="str">
        <f>_xlfn.XLOOKUP(C1923,Products!A1923:A2422,Products!B1923:B2422,"Product Missing",0)</f>
        <v>Product Missing</v>
      </c>
      <c r="H1923" s="7" t="str">
        <f>_xlfn.XLOOKUP(C1923,Products!A1923:A2422,Products!C1923:C2422,"Category Missing",0)</f>
        <v>Category Missing</v>
      </c>
      <c r="I1923" s="11" t="str">
        <f>_xlfn.XLOOKUP(Orders!C1923,Products!A1923:A2422,Products!D1923:D2422,"Price Missing",0)</f>
        <v>Price Missing</v>
      </c>
      <c r="J1923" s="19">
        <f t="shared" ref="J1923:J1986" si="30">IFERROR(I1923*D1923,0)</f>
        <v>0</v>
      </c>
    </row>
    <row r="1924" spans="1:10" x14ac:dyDescent="0.35">
      <c r="A1924" s="4" t="s">
        <v>5944</v>
      </c>
      <c r="B1924" s="7" t="s">
        <v>731</v>
      </c>
      <c r="C1924" s="7" t="s">
        <v>3034</v>
      </c>
      <c r="D1924" s="5">
        <v>10</v>
      </c>
      <c r="E1924" s="7" t="str">
        <f>_xlfn.XLOOKUP(B1924,Customers!A1924:A2923,Customers!B1924:B2923,"Customer Not Found",0)</f>
        <v>Customer Not Found</v>
      </c>
      <c r="F1924" s="7" t="str">
        <f>_xlfn.XLOOKUP(Orders!B1924,Customers!A1924:A2923,Customers!C1924:C2923,"Country not Found",0)</f>
        <v>Country not Found</v>
      </c>
      <c r="G1924" s="7" t="str">
        <f>_xlfn.XLOOKUP(C1924,Products!A1924:A2423,Products!B1924:B2423,"Product Missing",0)</f>
        <v>Product Missing</v>
      </c>
      <c r="H1924" s="7" t="str">
        <f>_xlfn.XLOOKUP(C1924,Products!A1924:A2423,Products!C1924:C2423,"Category Missing",0)</f>
        <v>Category Missing</v>
      </c>
      <c r="I1924" s="11" t="str">
        <f>_xlfn.XLOOKUP(Orders!C1924,Products!A1924:A2423,Products!D1924:D2423,"Price Missing",0)</f>
        <v>Price Missing</v>
      </c>
      <c r="J1924" s="19">
        <f t="shared" si="30"/>
        <v>0</v>
      </c>
    </row>
    <row r="1925" spans="1:10" x14ac:dyDescent="0.35">
      <c r="A1925" s="4" t="s">
        <v>5945</v>
      </c>
      <c r="B1925" s="7" t="s">
        <v>43</v>
      </c>
      <c r="C1925" s="7" t="s">
        <v>3996</v>
      </c>
      <c r="D1925" s="5">
        <v>1</v>
      </c>
      <c r="E1925" s="7" t="str">
        <f>_xlfn.XLOOKUP(B1925,Customers!A1925:A2924,Customers!B1925:B2924,"Customer Not Found",0)</f>
        <v>Customer Not Found</v>
      </c>
      <c r="F1925" s="7" t="str">
        <f>_xlfn.XLOOKUP(Orders!B1925,Customers!A1925:A2924,Customers!C1925:C2924,"Country not Found",0)</f>
        <v>Country not Found</v>
      </c>
      <c r="G1925" s="7" t="str">
        <f>_xlfn.XLOOKUP(C1925,Products!A1925:A2424,Products!B1925:B2424,"Product Missing",0)</f>
        <v>Product Missing</v>
      </c>
      <c r="H1925" s="7" t="str">
        <f>_xlfn.XLOOKUP(C1925,Products!A1925:A2424,Products!C1925:C2424,"Category Missing",0)</f>
        <v>Category Missing</v>
      </c>
      <c r="I1925" s="11" t="str">
        <f>_xlfn.XLOOKUP(Orders!C1925,Products!A1925:A2424,Products!D1925:D2424,"Price Missing",0)</f>
        <v>Price Missing</v>
      </c>
      <c r="J1925" s="19">
        <f t="shared" si="30"/>
        <v>0</v>
      </c>
    </row>
    <row r="1926" spans="1:10" x14ac:dyDescent="0.35">
      <c r="A1926" s="4" t="s">
        <v>5946</v>
      </c>
      <c r="B1926" s="7" t="s">
        <v>1022</v>
      </c>
      <c r="C1926" s="7" t="s">
        <v>3664</v>
      </c>
      <c r="D1926" s="5">
        <v>7</v>
      </c>
      <c r="E1926" s="7" t="str">
        <f>_xlfn.XLOOKUP(B1926,Customers!A1926:A2925,Customers!B1926:B2925,"Customer Not Found",0)</f>
        <v>Customer Not Found</v>
      </c>
      <c r="F1926" s="7" t="str">
        <f>_xlfn.XLOOKUP(Orders!B1926,Customers!A1926:A2925,Customers!C1926:C2925,"Country not Found",0)</f>
        <v>Country not Found</v>
      </c>
      <c r="G1926" s="7" t="str">
        <f>_xlfn.XLOOKUP(C1926,Products!A1926:A2425,Products!B1926:B2425,"Product Missing",0)</f>
        <v>Product Missing</v>
      </c>
      <c r="H1926" s="7" t="str">
        <f>_xlfn.XLOOKUP(C1926,Products!A1926:A2425,Products!C1926:C2425,"Category Missing",0)</f>
        <v>Category Missing</v>
      </c>
      <c r="I1926" s="11" t="str">
        <f>_xlfn.XLOOKUP(Orders!C1926,Products!A1926:A2425,Products!D1926:D2425,"Price Missing",0)</f>
        <v>Price Missing</v>
      </c>
      <c r="J1926" s="19">
        <f t="shared" si="30"/>
        <v>0</v>
      </c>
    </row>
    <row r="1927" spans="1:10" x14ac:dyDescent="0.35">
      <c r="A1927" s="4" t="s">
        <v>5947</v>
      </c>
      <c r="B1927" s="7" t="s">
        <v>1301</v>
      </c>
      <c r="C1927" s="7" t="s">
        <v>3200</v>
      </c>
      <c r="D1927" s="5">
        <v>7</v>
      </c>
      <c r="E1927" s="7" t="str">
        <f>_xlfn.XLOOKUP(B1927,Customers!A1927:A2926,Customers!B1927:B2926,"Customer Not Found",0)</f>
        <v>Customer Not Found</v>
      </c>
      <c r="F1927" s="7" t="str">
        <f>_xlfn.XLOOKUP(Orders!B1927,Customers!A1927:A2926,Customers!C1927:C2926,"Country not Found",0)</f>
        <v>Country not Found</v>
      </c>
      <c r="G1927" s="7" t="str">
        <f>_xlfn.XLOOKUP(C1927,Products!A1927:A2426,Products!B1927:B2426,"Product Missing",0)</f>
        <v>Product Missing</v>
      </c>
      <c r="H1927" s="7" t="str">
        <f>_xlfn.XLOOKUP(C1927,Products!A1927:A2426,Products!C1927:C2426,"Category Missing",0)</f>
        <v>Category Missing</v>
      </c>
      <c r="I1927" s="11" t="str">
        <f>_xlfn.XLOOKUP(Orders!C1927,Products!A1927:A2426,Products!D1927:D2426,"Price Missing",0)</f>
        <v>Price Missing</v>
      </c>
      <c r="J1927" s="19">
        <f t="shared" si="30"/>
        <v>0</v>
      </c>
    </row>
    <row r="1928" spans="1:10" x14ac:dyDescent="0.35">
      <c r="A1928" s="4" t="s">
        <v>5948</v>
      </c>
      <c r="B1928" s="7" t="s">
        <v>2693</v>
      </c>
      <c r="C1928" s="7" t="s">
        <v>3888</v>
      </c>
      <c r="D1928" s="5">
        <v>2</v>
      </c>
      <c r="E1928" s="7" t="str">
        <f>_xlfn.XLOOKUP(B1928,Customers!A1928:A2927,Customers!B1928:B2927,"Customer Not Found",0)</f>
        <v>Customer Not Found</v>
      </c>
      <c r="F1928" s="7" t="str">
        <f>_xlfn.XLOOKUP(Orders!B1928,Customers!A1928:A2927,Customers!C1928:C2927,"Country not Found",0)</f>
        <v>Country not Found</v>
      </c>
      <c r="G1928" s="7" t="str">
        <f>_xlfn.XLOOKUP(C1928,Products!A1928:A2427,Products!B1928:B2427,"Product Missing",0)</f>
        <v>Product Missing</v>
      </c>
      <c r="H1928" s="7" t="str">
        <f>_xlfn.XLOOKUP(C1928,Products!A1928:A2427,Products!C1928:C2427,"Category Missing",0)</f>
        <v>Category Missing</v>
      </c>
      <c r="I1928" s="11" t="str">
        <f>_xlfn.XLOOKUP(Orders!C1928,Products!A1928:A2427,Products!D1928:D2427,"Price Missing",0)</f>
        <v>Price Missing</v>
      </c>
      <c r="J1928" s="19">
        <f t="shared" si="30"/>
        <v>0</v>
      </c>
    </row>
    <row r="1929" spans="1:10" x14ac:dyDescent="0.35">
      <c r="A1929" s="4" t="s">
        <v>5949</v>
      </c>
      <c r="B1929" s="7" t="s">
        <v>2636</v>
      </c>
      <c r="C1929" s="7" t="s">
        <v>3750</v>
      </c>
      <c r="D1929" s="5">
        <v>10</v>
      </c>
      <c r="E1929" s="7" t="str">
        <f>_xlfn.XLOOKUP(B1929,Customers!A1929:A2928,Customers!B1929:B2928,"Customer Not Found",0)</f>
        <v>Customer Not Found</v>
      </c>
      <c r="F1929" s="7" t="str">
        <f>_xlfn.XLOOKUP(Orders!B1929,Customers!A1929:A2928,Customers!C1929:C2928,"Country not Found",0)</f>
        <v>Country not Found</v>
      </c>
      <c r="G1929" s="7" t="str">
        <f>_xlfn.XLOOKUP(C1929,Products!A1929:A2428,Products!B1929:B2428,"Product Missing",0)</f>
        <v>Product Missing</v>
      </c>
      <c r="H1929" s="7" t="str">
        <f>_xlfn.XLOOKUP(C1929,Products!A1929:A2428,Products!C1929:C2428,"Category Missing",0)</f>
        <v>Category Missing</v>
      </c>
      <c r="I1929" s="11" t="str">
        <f>_xlfn.XLOOKUP(Orders!C1929,Products!A1929:A2428,Products!D1929:D2428,"Price Missing",0)</f>
        <v>Price Missing</v>
      </c>
      <c r="J1929" s="19">
        <f t="shared" si="30"/>
        <v>0</v>
      </c>
    </row>
    <row r="1930" spans="1:10" x14ac:dyDescent="0.35">
      <c r="A1930" s="4" t="s">
        <v>5950</v>
      </c>
      <c r="B1930" s="7" t="s">
        <v>551</v>
      </c>
      <c r="C1930" s="7" t="s">
        <v>3114</v>
      </c>
      <c r="D1930" s="5">
        <v>2</v>
      </c>
      <c r="E1930" s="7" t="str">
        <f>_xlfn.XLOOKUP(B1930,Customers!A1930:A2929,Customers!B1930:B2929,"Customer Not Found",0)</f>
        <v>Customer Not Found</v>
      </c>
      <c r="F1930" s="7" t="str">
        <f>_xlfn.XLOOKUP(Orders!B1930,Customers!A1930:A2929,Customers!C1930:C2929,"Country not Found",0)</f>
        <v>Country not Found</v>
      </c>
      <c r="G1930" s="7" t="str">
        <f>_xlfn.XLOOKUP(C1930,Products!A1930:A2429,Products!B1930:B2429,"Product Missing",0)</f>
        <v>Product Missing</v>
      </c>
      <c r="H1930" s="7" t="str">
        <f>_xlfn.XLOOKUP(C1930,Products!A1930:A2429,Products!C1930:C2429,"Category Missing",0)</f>
        <v>Category Missing</v>
      </c>
      <c r="I1930" s="11" t="str">
        <f>_xlfn.XLOOKUP(Orders!C1930,Products!A1930:A2429,Products!D1930:D2429,"Price Missing",0)</f>
        <v>Price Missing</v>
      </c>
      <c r="J1930" s="19">
        <f t="shared" si="30"/>
        <v>0</v>
      </c>
    </row>
    <row r="1931" spans="1:10" x14ac:dyDescent="0.35">
      <c r="A1931" s="4" t="s">
        <v>5951</v>
      </c>
      <c r="B1931" s="7" t="s">
        <v>554</v>
      </c>
      <c r="C1931" s="7" t="s">
        <v>3818</v>
      </c>
      <c r="D1931" s="5">
        <v>4</v>
      </c>
      <c r="E1931" s="7" t="str">
        <f>_xlfn.XLOOKUP(B1931,Customers!A1931:A2930,Customers!B1931:B2930,"Customer Not Found",0)</f>
        <v>Customer Not Found</v>
      </c>
      <c r="F1931" s="7" t="str">
        <f>_xlfn.XLOOKUP(Orders!B1931,Customers!A1931:A2930,Customers!C1931:C2930,"Country not Found",0)</f>
        <v>Country not Found</v>
      </c>
      <c r="G1931" s="7" t="str">
        <f>_xlfn.XLOOKUP(C1931,Products!A1931:A2430,Products!B1931:B2430,"Product Missing",0)</f>
        <v>Product Missing</v>
      </c>
      <c r="H1931" s="7" t="str">
        <f>_xlfn.XLOOKUP(C1931,Products!A1931:A2430,Products!C1931:C2430,"Category Missing",0)</f>
        <v>Category Missing</v>
      </c>
      <c r="I1931" s="11" t="str">
        <f>_xlfn.XLOOKUP(Orders!C1931,Products!A1931:A2430,Products!D1931:D2430,"Price Missing",0)</f>
        <v>Price Missing</v>
      </c>
      <c r="J1931" s="19">
        <f t="shared" si="30"/>
        <v>0</v>
      </c>
    </row>
    <row r="1932" spans="1:10" x14ac:dyDescent="0.35">
      <c r="A1932" s="4" t="s">
        <v>5952</v>
      </c>
      <c r="B1932" s="7" t="s">
        <v>1259</v>
      </c>
      <c r="C1932" s="7" t="s">
        <v>4014</v>
      </c>
      <c r="D1932" s="5">
        <v>6</v>
      </c>
      <c r="E1932" s="7" t="str">
        <f>_xlfn.XLOOKUP(B1932,Customers!A1932:A2931,Customers!B1932:B2931,"Customer Not Found",0)</f>
        <v>Customer Not Found</v>
      </c>
      <c r="F1932" s="7" t="str">
        <f>_xlfn.XLOOKUP(Orders!B1932,Customers!A1932:A2931,Customers!C1932:C2931,"Country not Found",0)</f>
        <v>Country not Found</v>
      </c>
      <c r="G1932" s="7" t="str">
        <f>_xlfn.XLOOKUP(C1932,Products!A1932:A2431,Products!B1932:B2431,"Product Missing",0)</f>
        <v>Product Missing</v>
      </c>
      <c r="H1932" s="7" t="str">
        <f>_xlfn.XLOOKUP(C1932,Products!A1932:A2431,Products!C1932:C2431,"Category Missing",0)</f>
        <v>Category Missing</v>
      </c>
      <c r="I1932" s="11" t="str">
        <f>_xlfn.XLOOKUP(Orders!C1932,Products!A1932:A2431,Products!D1932:D2431,"Price Missing",0)</f>
        <v>Price Missing</v>
      </c>
      <c r="J1932" s="19">
        <f t="shared" si="30"/>
        <v>0</v>
      </c>
    </row>
    <row r="1933" spans="1:10" x14ac:dyDescent="0.35">
      <c r="A1933" s="4" t="s">
        <v>5953</v>
      </c>
      <c r="B1933" s="7" t="s">
        <v>1781</v>
      </c>
      <c r="C1933" s="7" t="s">
        <v>3490</v>
      </c>
      <c r="D1933" s="5">
        <v>8</v>
      </c>
      <c r="E1933" s="7" t="str">
        <f>_xlfn.XLOOKUP(B1933,Customers!A1933:A2932,Customers!B1933:B2932,"Customer Not Found",0)</f>
        <v>Customer Not Found</v>
      </c>
      <c r="F1933" s="7" t="str">
        <f>_xlfn.XLOOKUP(Orders!B1933,Customers!A1933:A2932,Customers!C1933:C2932,"Country not Found",0)</f>
        <v>Country not Found</v>
      </c>
      <c r="G1933" s="7" t="str">
        <f>_xlfn.XLOOKUP(C1933,Products!A1933:A2432,Products!B1933:B2432,"Product Missing",0)</f>
        <v>Product Missing</v>
      </c>
      <c r="H1933" s="7" t="str">
        <f>_xlfn.XLOOKUP(C1933,Products!A1933:A2432,Products!C1933:C2432,"Category Missing",0)</f>
        <v>Category Missing</v>
      </c>
      <c r="I1933" s="11" t="str">
        <f>_xlfn.XLOOKUP(Orders!C1933,Products!A1933:A2432,Products!D1933:D2432,"Price Missing",0)</f>
        <v>Price Missing</v>
      </c>
      <c r="J1933" s="19">
        <f t="shared" si="30"/>
        <v>0</v>
      </c>
    </row>
    <row r="1934" spans="1:10" x14ac:dyDescent="0.35">
      <c r="A1934" s="4" t="s">
        <v>5954</v>
      </c>
      <c r="B1934" s="7" t="s">
        <v>1895</v>
      </c>
      <c r="C1934" s="7" t="s">
        <v>3784</v>
      </c>
      <c r="D1934" s="5">
        <v>8</v>
      </c>
      <c r="E1934" s="7" t="str">
        <f>_xlfn.XLOOKUP(B1934,Customers!A1934:A2933,Customers!B1934:B2933,"Customer Not Found",0)</f>
        <v>Customer Not Found</v>
      </c>
      <c r="F1934" s="7" t="str">
        <f>_xlfn.XLOOKUP(Orders!B1934,Customers!A1934:A2933,Customers!C1934:C2933,"Country not Found",0)</f>
        <v>Country not Found</v>
      </c>
      <c r="G1934" s="7" t="str">
        <f>_xlfn.XLOOKUP(C1934,Products!A1934:A2433,Products!B1934:B2433,"Product Missing",0)</f>
        <v>Product Missing</v>
      </c>
      <c r="H1934" s="7" t="str">
        <f>_xlfn.XLOOKUP(C1934,Products!A1934:A2433,Products!C1934:C2433,"Category Missing",0)</f>
        <v>Category Missing</v>
      </c>
      <c r="I1934" s="11" t="str">
        <f>_xlfn.XLOOKUP(Orders!C1934,Products!A1934:A2433,Products!D1934:D2433,"Price Missing",0)</f>
        <v>Price Missing</v>
      </c>
      <c r="J1934" s="19">
        <f t="shared" si="30"/>
        <v>0</v>
      </c>
    </row>
    <row r="1935" spans="1:10" x14ac:dyDescent="0.35">
      <c r="A1935" s="4" t="s">
        <v>5955</v>
      </c>
      <c r="B1935" s="7" t="s">
        <v>227</v>
      </c>
      <c r="C1935" s="7" t="s">
        <v>3544</v>
      </c>
      <c r="D1935" s="5">
        <v>6</v>
      </c>
      <c r="E1935" s="7" t="str">
        <f>_xlfn.XLOOKUP(B1935,Customers!A1935:A2934,Customers!B1935:B2934,"Customer Not Found",0)</f>
        <v>Customer Not Found</v>
      </c>
      <c r="F1935" s="7" t="str">
        <f>_xlfn.XLOOKUP(Orders!B1935,Customers!A1935:A2934,Customers!C1935:C2934,"Country not Found",0)</f>
        <v>Country not Found</v>
      </c>
      <c r="G1935" s="7" t="str">
        <f>_xlfn.XLOOKUP(C1935,Products!A1935:A2434,Products!B1935:B2434,"Product Missing",0)</f>
        <v>Product Missing</v>
      </c>
      <c r="H1935" s="7" t="str">
        <f>_xlfn.XLOOKUP(C1935,Products!A1935:A2434,Products!C1935:C2434,"Category Missing",0)</f>
        <v>Category Missing</v>
      </c>
      <c r="I1935" s="11" t="str">
        <f>_xlfn.XLOOKUP(Orders!C1935,Products!A1935:A2434,Products!D1935:D2434,"Price Missing",0)</f>
        <v>Price Missing</v>
      </c>
      <c r="J1935" s="19">
        <f t="shared" si="30"/>
        <v>0</v>
      </c>
    </row>
    <row r="1936" spans="1:10" x14ac:dyDescent="0.35">
      <c r="A1936" s="4" t="s">
        <v>5956</v>
      </c>
      <c r="B1936" s="7" t="s">
        <v>46</v>
      </c>
      <c r="C1936" s="7" t="s">
        <v>3230</v>
      </c>
      <c r="D1936" s="5">
        <v>10</v>
      </c>
      <c r="E1936" s="7" t="str">
        <f>_xlfn.XLOOKUP(B1936,Customers!A1936:A2935,Customers!B1936:B2935,"Customer Not Found",0)</f>
        <v>Customer Not Found</v>
      </c>
      <c r="F1936" s="7" t="str">
        <f>_xlfn.XLOOKUP(Orders!B1936,Customers!A1936:A2935,Customers!C1936:C2935,"Country not Found",0)</f>
        <v>Country not Found</v>
      </c>
      <c r="G1936" s="7" t="str">
        <f>_xlfn.XLOOKUP(C1936,Products!A1936:A2435,Products!B1936:B2435,"Product Missing",0)</f>
        <v>Product Missing</v>
      </c>
      <c r="H1936" s="7" t="str">
        <f>_xlfn.XLOOKUP(C1936,Products!A1936:A2435,Products!C1936:C2435,"Category Missing",0)</f>
        <v>Category Missing</v>
      </c>
      <c r="I1936" s="11" t="str">
        <f>_xlfn.XLOOKUP(Orders!C1936,Products!A1936:A2435,Products!D1936:D2435,"Price Missing",0)</f>
        <v>Price Missing</v>
      </c>
      <c r="J1936" s="19">
        <f t="shared" si="30"/>
        <v>0</v>
      </c>
    </row>
    <row r="1937" spans="1:10" x14ac:dyDescent="0.35">
      <c r="A1937" s="4" t="s">
        <v>5957</v>
      </c>
      <c r="B1937" s="7" t="s">
        <v>1652</v>
      </c>
      <c r="C1937" s="7" t="s">
        <v>3056</v>
      </c>
      <c r="D1937" s="5">
        <v>3</v>
      </c>
      <c r="E1937" s="7" t="str">
        <f>_xlfn.XLOOKUP(B1937,Customers!A1937:A2936,Customers!B1937:B2936,"Customer Not Found",0)</f>
        <v>Customer Not Found</v>
      </c>
      <c r="F1937" s="7" t="str">
        <f>_xlfn.XLOOKUP(Orders!B1937,Customers!A1937:A2936,Customers!C1937:C2936,"Country not Found",0)</f>
        <v>Country not Found</v>
      </c>
      <c r="G1937" s="7" t="str">
        <f>_xlfn.XLOOKUP(C1937,Products!A1937:A2436,Products!B1937:B2436,"Product Missing",0)</f>
        <v>Product Missing</v>
      </c>
      <c r="H1937" s="7" t="str">
        <f>_xlfn.XLOOKUP(C1937,Products!A1937:A2436,Products!C1937:C2436,"Category Missing",0)</f>
        <v>Category Missing</v>
      </c>
      <c r="I1937" s="11" t="str">
        <f>_xlfn.XLOOKUP(Orders!C1937,Products!A1937:A2436,Products!D1937:D2436,"Price Missing",0)</f>
        <v>Price Missing</v>
      </c>
      <c r="J1937" s="19">
        <f t="shared" si="30"/>
        <v>0</v>
      </c>
    </row>
    <row r="1938" spans="1:10" x14ac:dyDescent="0.35">
      <c r="A1938" s="4" t="s">
        <v>5958</v>
      </c>
      <c r="B1938" s="7" t="s">
        <v>2642</v>
      </c>
      <c r="C1938" s="7" t="s">
        <v>3842</v>
      </c>
      <c r="D1938" s="5">
        <v>6</v>
      </c>
      <c r="E1938" s="7" t="str">
        <f>_xlfn.XLOOKUP(B1938,Customers!A1938:A2937,Customers!B1938:B2937,"Customer Not Found",0)</f>
        <v>Customer Not Found</v>
      </c>
      <c r="F1938" s="7" t="str">
        <f>_xlfn.XLOOKUP(Orders!B1938,Customers!A1938:A2937,Customers!C1938:C2937,"Country not Found",0)</f>
        <v>Country not Found</v>
      </c>
      <c r="G1938" s="7" t="str">
        <f>_xlfn.XLOOKUP(C1938,Products!A1938:A2437,Products!B1938:B2437,"Product Missing",0)</f>
        <v>Product Missing</v>
      </c>
      <c r="H1938" s="7" t="str">
        <f>_xlfn.XLOOKUP(C1938,Products!A1938:A2437,Products!C1938:C2437,"Category Missing",0)</f>
        <v>Category Missing</v>
      </c>
      <c r="I1938" s="11" t="str">
        <f>_xlfn.XLOOKUP(Orders!C1938,Products!A1938:A2437,Products!D1938:D2437,"Price Missing",0)</f>
        <v>Price Missing</v>
      </c>
      <c r="J1938" s="19">
        <f t="shared" si="30"/>
        <v>0</v>
      </c>
    </row>
    <row r="1939" spans="1:10" x14ac:dyDescent="0.35">
      <c r="A1939" s="4" t="s">
        <v>5959</v>
      </c>
      <c r="B1939" s="7" t="s">
        <v>932</v>
      </c>
      <c r="C1939" s="7" t="s">
        <v>3144</v>
      </c>
      <c r="D1939" s="5">
        <v>3</v>
      </c>
      <c r="E1939" s="7" t="str">
        <f>_xlfn.XLOOKUP(B1939,Customers!A1939:A2938,Customers!B1939:B2938,"Customer Not Found",0)</f>
        <v>Customer Not Found</v>
      </c>
      <c r="F1939" s="7" t="str">
        <f>_xlfn.XLOOKUP(Orders!B1939,Customers!A1939:A2938,Customers!C1939:C2938,"Country not Found",0)</f>
        <v>Country not Found</v>
      </c>
      <c r="G1939" s="7" t="str">
        <f>_xlfn.XLOOKUP(C1939,Products!A1939:A2438,Products!B1939:B2438,"Product Missing",0)</f>
        <v>Product Missing</v>
      </c>
      <c r="H1939" s="7" t="str">
        <f>_xlfn.XLOOKUP(C1939,Products!A1939:A2438,Products!C1939:C2438,"Category Missing",0)</f>
        <v>Category Missing</v>
      </c>
      <c r="I1939" s="11" t="str">
        <f>_xlfn.XLOOKUP(Orders!C1939,Products!A1939:A2438,Products!D1939:D2438,"Price Missing",0)</f>
        <v>Price Missing</v>
      </c>
      <c r="J1939" s="19">
        <f t="shared" si="30"/>
        <v>0</v>
      </c>
    </row>
    <row r="1940" spans="1:10" x14ac:dyDescent="0.35">
      <c r="A1940" s="4" t="s">
        <v>5960</v>
      </c>
      <c r="B1940" s="7" t="s">
        <v>1154</v>
      </c>
      <c r="C1940" s="7" t="s">
        <v>3212</v>
      </c>
      <c r="D1940" s="5">
        <v>1</v>
      </c>
      <c r="E1940" s="7" t="str">
        <f>_xlfn.XLOOKUP(B1940,Customers!A1940:A2939,Customers!B1940:B2939,"Customer Not Found",0)</f>
        <v>Customer Not Found</v>
      </c>
      <c r="F1940" s="7" t="str">
        <f>_xlfn.XLOOKUP(Orders!B1940,Customers!A1940:A2939,Customers!C1940:C2939,"Country not Found",0)</f>
        <v>Country not Found</v>
      </c>
      <c r="G1940" s="7" t="str">
        <f>_xlfn.XLOOKUP(C1940,Products!A1940:A2439,Products!B1940:B2439,"Product Missing",0)</f>
        <v>Product Missing</v>
      </c>
      <c r="H1940" s="7" t="str">
        <f>_xlfn.XLOOKUP(C1940,Products!A1940:A2439,Products!C1940:C2439,"Category Missing",0)</f>
        <v>Category Missing</v>
      </c>
      <c r="I1940" s="11" t="str">
        <f>_xlfn.XLOOKUP(Orders!C1940,Products!A1940:A2439,Products!D1940:D2439,"Price Missing",0)</f>
        <v>Price Missing</v>
      </c>
      <c r="J1940" s="19">
        <f t="shared" si="30"/>
        <v>0</v>
      </c>
    </row>
    <row r="1941" spans="1:10" x14ac:dyDescent="0.35">
      <c r="A1941" s="4" t="s">
        <v>5961</v>
      </c>
      <c r="B1941" s="7" t="s">
        <v>173</v>
      </c>
      <c r="C1941" s="7" t="s">
        <v>3043</v>
      </c>
      <c r="D1941" s="5">
        <v>5</v>
      </c>
      <c r="E1941" s="7" t="str">
        <f>_xlfn.XLOOKUP(B1941,Customers!A1941:A2940,Customers!B1941:B2940,"Customer Not Found",0)</f>
        <v>Customer Not Found</v>
      </c>
      <c r="F1941" s="7" t="str">
        <f>_xlfn.XLOOKUP(Orders!B1941,Customers!A1941:A2940,Customers!C1941:C2940,"Country not Found",0)</f>
        <v>Country not Found</v>
      </c>
      <c r="G1941" s="7" t="str">
        <f>_xlfn.XLOOKUP(C1941,Products!A1941:A2440,Products!B1941:B2440,"Product Missing",0)</f>
        <v>Product Missing</v>
      </c>
      <c r="H1941" s="7" t="str">
        <f>_xlfn.XLOOKUP(C1941,Products!A1941:A2440,Products!C1941:C2440,"Category Missing",0)</f>
        <v>Category Missing</v>
      </c>
      <c r="I1941" s="11" t="str">
        <f>_xlfn.XLOOKUP(Orders!C1941,Products!A1941:A2440,Products!D1941:D2440,"Price Missing",0)</f>
        <v>Price Missing</v>
      </c>
      <c r="J1941" s="19">
        <f t="shared" si="30"/>
        <v>0</v>
      </c>
    </row>
    <row r="1942" spans="1:10" x14ac:dyDescent="0.35">
      <c r="A1942" s="4" t="s">
        <v>5962</v>
      </c>
      <c r="B1942" s="7" t="s">
        <v>1067</v>
      </c>
      <c r="C1942" s="7" t="s">
        <v>3918</v>
      </c>
      <c r="D1942" s="5">
        <v>9</v>
      </c>
      <c r="E1942" s="7" t="str">
        <f>_xlfn.XLOOKUP(B1942,Customers!A1942:A2941,Customers!B1942:B2941,"Customer Not Found",0)</f>
        <v>Customer Not Found</v>
      </c>
      <c r="F1942" s="7" t="str">
        <f>_xlfn.XLOOKUP(Orders!B1942,Customers!A1942:A2941,Customers!C1942:C2941,"Country not Found",0)</f>
        <v>Country not Found</v>
      </c>
      <c r="G1942" s="7" t="str">
        <f>_xlfn.XLOOKUP(C1942,Products!A1942:A2441,Products!B1942:B2441,"Product Missing",0)</f>
        <v>Product Missing</v>
      </c>
      <c r="H1942" s="7" t="str">
        <f>_xlfn.XLOOKUP(C1942,Products!A1942:A2441,Products!C1942:C2441,"Category Missing",0)</f>
        <v>Category Missing</v>
      </c>
      <c r="I1942" s="11" t="str">
        <f>_xlfn.XLOOKUP(Orders!C1942,Products!A1942:A2441,Products!D1942:D2441,"Price Missing",0)</f>
        <v>Price Missing</v>
      </c>
      <c r="J1942" s="19">
        <f t="shared" si="30"/>
        <v>0</v>
      </c>
    </row>
    <row r="1943" spans="1:10" x14ac:dyDescent="0.35">
      <c r="A1943" s="4" t="s">
        <v>5963</v>
      </c>
      <c r="B1943" s="7" t="s">
        <v>1178</v>
      </c>
      <c r="C1943" s="7" t="s">
        <v>3338</v>
      </c>
      <c r="D1943" s="5">
        <v>3</v>
      </c>
      <c r="E1943" s="7" t="str">
        <f>_xlfn.XLOOKUP(B1943,Customers!A1943:A2942,Customers!B1943:B2942,"Customer Not Found",0)</f>
        <v>Customer Not Found</v>
      </c>
      <c r="F1943" s="7" t="str">
        <f>_xlfn.XLOOKUP(Orders!B1943,Customers!A1943:A2942,Customers!C1943:C2942,"Country not Found",0)</f>
        <v>Country not Found</v>
      </c>
      <c r="G1943" s="7" t="str">
        <f>_xlfn.XLOOKUP(C1943,Products!A1943:A2442,Products!B1943:B2442,"Product Missing",0)</f>
        <v>Product Missing</v>
      </c>
      <c r="H1943" s="7" t="str">
        <f>_xlfn.XLOOKUP(C1943,Products!A1943:A2442,Products!C1943:C2442,"Category Missing",0)</f>
        <v>Category Missing</v>
      </c>
      <c r="I1943" s="11" t="str">
        <f>_xlfn.XLOOKUP(Orders!C1943,Products!A1943:A2442,Products!D1943:D2442,"Price Missing",0)</f>
        <v>Price Missing</v>
      </c>
      <c r="J1943" s="19">
        <f t="shared" si="30"/>
        <v>0</v>
      </c>
    </row>
    <row r="1944" spans="1:10" x14ac:dyDescent="0.35">
      <c r="A1944" s="4" t="s">
        <v>5964</v>
      </c>
      <c r="B1944" s="7" t="s">
        <v>1037</v>
      </c>
      <c r="C1944" s="7" t="s">
        <v>3630</v>
      </c>
      <c r="D1944" s="5">
        <v>3</v>
      </c>
      <c r="E1944" s="7" t="str">
        <f>_xlfn.XLOOKUP(B1944,Customers!A1944:A2943,Customers!B1944:B2943,"Customer Not Found",0)</f>
        <v>Customer Not Found</v>
      </c>
      <c r="F1944" s="7" t="str">
        <f>_xlfn.XLOOKUP(Orders!B1944,Customers!A1944:A2943,Customers!C1944:C2943,"Country not Found",0)</f>
        <v>Country not Found</v>
      </c>
      <c r="G1944" s="7" t="str">
        <f>_xlfn.XLOOKUP(C1944,Products!A1944:A2443,Products!B1944:B2443,"Product Missing",0)</f>
        <v>Product Missing</v>
      </c>
      <c r="H1944" s="7" t="str">
        <f>_xlfn.XLOOKUP(C1944,Products!A1944:A2443,Products!C1944:C2443,"Category Missing",0)</f>
        <v>Category Missing</v>
      </c>
      <c r="I1944" s="11" t="str">
        <f>_xlfn.XLOOKUP(Orders!C1944,Products!A1944:A2443,Products!D1944:D2443,"Price Missing",0)</f>
        <v>Price Missing</v>
      </c>
      <c r="J1944" s="19">
        <f t="shared" si="30"/>
        <v>0</v>
      </c>
    </row>
    <row r="1945" spans="1:10" x14ac:dyDescent="0.35">
      <c r="A1945" s="4" t="s">
        <v>5965</v>
      </c>
      <c r="B1945" s="7" t="s">
        <v>2339</v>
      </c>
      <c r="C1945" s="7" t="s">
        <v>3974</v>
      </c>
      <c r="D1945" s="5">
        <v>4</v>
      </c>
      <c r="E1945" s="7" t="str">
        <f>_xlfn.XLOOKUP(B1945,Customers!A1945:A2944,Customers!B1945:B2944,"Customer Not Found",0)</f>
        <v>Customer Not Found</v>
      </c>
      <c r="F1945" s="7" t="str">
        <f>_xlfn.XLOOKUP(Orders!B1945,Customers!A1945:A2944,Customers!C1945:C2944,"Country not Found",0)</f>
        <v>Country not Found</v>
      </c>
      <c r="G1945" s="7" t="str">
        <f>_xlfn.XLOOKUP(C1945,Products!A1945:A2444,Products!B1945:B2444,"Product Missing",0)</f>
        <v>Product Missing</v>
      </c>
      <c r="H1945" s="7" t="str">
        <f>_xlfn.XLOOKUP(C1945,Products!A1945:A2444,Products!C1945:C2444,"Category Missing",0)</f>
        <v>Category Missing</v>
      </c>
      <c r="I1945" s="11" t="str">
        <f>_xlfn.XLOOKUP(Orders!C1945,Products!A1945:A2444,Products!D1945:D2444,"Price Missing",0)</f>
        <v>Price Missing</v>
      </c>
      <c r="J1945" s="19">
        <f t="shared" si="30"/>
        <v>0</v>
      </c>
    </row>
    <row r="1946" spans="1:10" x14ac:dyDescent="0.35">
      <c r="A1946" s="4" t="s">
        <v>5966</v>
      </c>
      <c r="B1946" s="7" t="s">
        <v>1181</v>
      </c>
      <c r="C1946" s="7" t="s">
        <v>3878</v>
      </c>
      <c r="D1946" s="5">
        <v>4</v>
      </c>
      <c r="E1946" s="7" t="str">
        <f>_xlfn.XLOOKUP(B1946,Customers!A1946:A2945,Customers!B1946:B2945,"Customer Not Found",0)</f>
        <v>Customer Not Found</v>
      </c>
      <c r="F1946" s="7" t="str">
        <f>_xlfn.XLOOKUP(Orders!B1946,Customers!A1946:A2945,Customers!C1946:C2945,"Country not Found",0)</f>
        <v>Country not Found</v>
      </c>
      <c r="G1946" s="7" t="str">
        <f>_xlfn.XLOOKUP(C1946,Products!A1946:A2445,Products!B1946:B2445,"Product Missing",0)</f>
        <v>Product Missing</v>
      </c>
      <c r="H1946" s="7" t="str">
        <f>_xlfn.XLOOKUP(C1946,Products!A1946:A2445,Products!C1946:C2445,"Category Missing",0)</f>
        <v>Category Missing</v>
      </c>
      <c r="I1946" s="11" t="str">
        <f>_xlfn.XLOOKUP(Orders!C1946,Products!A1946:A2445,Products!D1946:D2445,"Price Missing",0)</f>
        <v>Price Missing</v>
      </c>
      <c r="J1946" s="19">
        <f t="shared" si="30"/>
        <v>0</v>
      </c>
    </row>
    <row r="1947" spans="1:10" x14ac:dyDescent="0.35">
      <c r="A1947" s="4" t="s">
        <v>5967</v>
      </c>
      <c r="B1947" s="7" t="s">
        <v>1850</v>
      </c>
      <c r="C1947" s="7" t="s">
        <v>3114</v>
      </c>
      <c r="D1947" s="5">
        <v>9</v>
      </c>
      <c r="E1947" s="7" t="str">
        <f>_xlfn.XLOOKUP(B1947,Customers!A1947:A2946,Customers!B1947:B2946,"Customer Not Found",0)</f>
        <v>Customer Not Found</v>
      </c>
      <c r="F1947" s="7" t="str">
        <f>_xlfn.XLOOKUP(Orders!B1947,Customers!A1947:A2946,Customers!C1947:C2946,"Country not Found",0)</f>
        <v>Country not Found</v>
      </c>
      <c r="G1947" s="7" t="str">
        <f>_xlfn.XLOOKUP(C1947,Products!A1947:A2446,Products!B1947:B2446,"Product Missing",0)</f>
        <v>Product Missing</v>
      </c>
      <c r="H1947" s="7" t="str">
        <f>_xlfn.XLOOKUP(C1947,Products!A1947:A2446,Products!C1947:C2446,"Category Missing",0)</f>
        <v>Category Missing</v>
      </c>
      <c r="I1947" s="11" t="str">
        <f>_xlfn.XLOOKUP(Orders!C1947,Products!A1947:A2446,Products!D1947:D2446,"Price Missing",0)</f>
        <v>Price Missing</v>
      </c>
      <c r="J1947" s="19">
        <f t="shared" si="30"/>
        <v>0</v>
      </c>
    </row>
    <row r="1948" spans="1:10" x14ac:dyDescent="0.35">
      <c r="A1948" s="4" t="s">
        <v>5968</v>
      </c>
      <c r="B1948" s="7" t="s">
        <v>818</v>
      </c>
      <c r="C1948" s="7" t="s">
        <v>3074</v>
      </c>
      <c r="D1948" s="5">
        <v>3</v>
      </c>
      <c r="E1948" s="7" t="str">
        <f>_xlfn.XLOOKUP(B1948,Customers!A1948:A2947,Customers!B1948:B2947,"Customer Not Found",0)</f>
        <v>Customer Not Found</v>
      </c>
      <c r="F1948" s="7" t="str">
        <f>_xlfn.XLOOKUP(Orders!B1948,Customers!A1948:A2947,Customers!C1948:C2947,"Country not Found",0)</f>
        <v>Country not Found</v>
      </c>
      <c r="G1948" s="7" t="str">
        <f>_xlfn.XLOOKUP(C1948,Products!A1948:A2447,Products!B1948:B2447,"Product Missing",0)</f>
        <v>Product Missing</v>
      </c>
      <c r="H1948" s="7" t="str">
        <f>_xlfn.XLOOKUP(C1948,Products!A1948:A2447,Products!C1948:C2447,"Category Missing",0)</f>
        <v>Category Missing</v>
      </c>
      <c r="I1948" s="11" t="str">
        <f>_xlfn.XLOOKUP(Orders!C1948,Products!A1948:A2447,Products!D1948:D2447,"Price Missing",0)</f>
        <v>Price Missing</v>
      </c>
      <c r="J1948" s="19">
        <f t="shared" si="30"/>
        <v>0</v>
      </c>
    </row>
    <row r="1949" spans="1:10" x14ac:dyDescent="0.35">
      <c r="A1949" s="4" t="s">
        <v>5969</v>
      </c>
      <c r="B1949" s="7" t="s">
        <v>2843</v>
      </c>
      <c r="C1949" s="7" t="s">
        <v>3564</v>
      </c>
      <c r="D1949" s="5">
        <v>9</v>
      </c>
      <c r="E1949" s="7" t="str">
        <f>_xlfn.XLOOKUP(B1949,Customers!A1949:A2948,Customers!B1949:B2948,"Customer Not Found",0)</f>
        <v>Customer Not Found</v>
      </c>
      <c r="F1949" s="7" t="str">
        <f>_xlfn.XLOOKUP(Orders!B1949,Customers!A1949:A2948,Customers!C1949:C2948,"Country not Found",0)</f>
        <v>Country not Found</v>
      </c>
      <c r="G1949" s="7" t="str">
        <f>_xlfn.XLOOKUP(C1949,Products!A1949:A2448,Products!B1949:B2448,"Product Missing",0)</f>
        <v>Product Missing</v>
      </c>
      <c r="H1949" s="7" t="str">
        <f>_xlfn.XLOOKUP(C1949,Products!A1949:A2448,Products!C1949:C2448,"Category Missing",0)</f>
        <v>Category Missing</v>
      </c>
      <c r="I1949" s="11" t="str">
        <f>_xlfn.XLOOKUP(Orders!C1949,Products!A1949:A2448,Products!D1949:D2448,"Price Missing",0)</f>
        <v>Price Missing</v>
      </c>
      <c r="J1949" s="19">
        <f t="shared" si="30"/>
        <v>0</v>
      </c>
    </row>
    <row r="1950" spans="1:10" x14ac:dyDescent="0.35">
      <c r="A1950" s="4" t="s">
        <v>5970</v>
      </c>
      <c r="B1950" s="7" t="s">
        <v>119</v>
      </c>
      <c r="C1950" s="7" t="s">
        <v>3542</v>
      </c>
      <c r="D1950" s="5">
        <v>1</v>
      </c>
      <c r="E1950" s="7" t="str">
        <f>_xlfn.XLOOKUP(B1950,Customers!A1950:A2949,Customers!B1950:B2949,"Customer Not Found",0)</f>
        <v>Customer Not Found</v>
      </c>
      <c r="F1950" s="7" t="str">
        <f>_xlfn.XLOOKUP(Orders!B1950,Customers!A1950:A2949,Customers!C1950:C2949,"Country not Found",0)</f>
        <v>Country not Found</v>
      </c>
      <c r="G1950" s="7" t="str">
        <f>_xlfn.XLOOKUP(C1950,Products!A1950:A2449,Products!B1950:B2449,"Product Missing",0)</f>
        <v>Product Missing</v>
      </c>
      <c r="H1950" s="7" t="str">
        <f>_xlfn.XLOOKUP(C1950,Products!A1950:A2449,Products!C1950:C2449,"Category Missing",0)</f>
        <v>Category Missing</v>
      </c>
      <c r="I1950" s="11" t="str">
        <f>_xlfn.XLOOKUP(Orders!C1950,Products!A1950:A2449,Products!D1950:D2449,"Price Missing",0)</f>
        <v>Price Missing</v>
      </c>
      <c r="J1950" s="19">
        <f t="shared" si="30"/>
        <v>0</v>
      </c>
    </row>
    <row r="1951" spans="1:10" x14ac:dyDescent="0.35">
      <c r="A1951" s="4" t="s">
        <v>5971</v>
      </c>
      <c r="B1951" s="7" t="s">
        <v>779</v>
      </c>
      <c r="C1951" s="7" t="s">
        <v>3444</v>
      </c>
      <c r="D1951" s="5">
        <v>9</v>
      </c>
      <c r="E1951" s="7" t="str">
        <f>_xlfn.XLOOKUP(B1951,Customers!A1951:A2950,Customers!B1951:B2950,"Customer Not Found",0)</f>
        <v>Customer Not Found</v>
      </c>
      <c r="F1951" s="7" t="str">
        <f>_xlfn.XLOOKUP(Orders!B1951,Customers!A1951:A2950,Customers!C1951:C2950,"Country not Found",0)</f>
        <v>Country not Found</v>
      </c>
      <c r="G1951" s="7" t="str">
        <f>_xlfn.XLOOKUP(C1951,Products!A1951:A2450,Products!B1951:B2450,"Product Missing",0)</f>
        <v>Product Missing</v>
      </c>
      <c r="H1951" s="7" t="str">
        <f>_xlfn.XLOOKUP(C1951,Products!A1951:A2450,Products!C1951:C2450,"Category Missing",0)</f>
        <v>Category Missing</v>
      </c>
      <c r="I1951" s="11" t="str">
        <f>_xlfn.XLOOKUP(Orders!C1951,Products!A1951:A2450,Products!D1951:D2450,"Price Missing",0)</f>
        <v>Price Missing</v>
      </c>
      <c r="J1951" s="19">
        <f t="shared" si="30"/>
        <v>0</v>
      </c>
    </row>
    <row r="1952" spans="1:10" x14ac:dyDescent="0.35">
      <c r="A1952" s="4" t="s">
        <v>5972</v>
      </c>
      <c r="B1952" s="7" t="s">
        <v>347</v>
      </c>
      <c r="C1952" s="7" t="s">
        <v>3438</v>
      </c>
      <c r="D1952" s="5">
        <v>3</v>
      </c>
      <c r="E1952" s="7" t="str">
        <f>_xlfn.XLOOKUP(B1952,Customers!A1952:A2951,Customers!B1952:B2951,"Customer Not Found",0)</f>
        <v>Customer Not Found</v>
      </c>
      <c r="F1952" s="7" t="str">
        <f>_xlfn.XLOOKUP(Orders!B1952,Customers!A1952:A2951,Customers!C1952:C2951,"Country not Found",0)</f>
        <v>Country not Found</v>
      </c>
      <c r="G1952" s="7" t="str">
        <f>_xlfn.XLOOKUP(C1952,Products!A1952:A2451,Products!B1952:B2451,"Product Missing",0)</f>
        <v>Product Missing</v>
      </c>
      <c r="H1952" s="7" t="str">
        <f>_xlfn.XLOOKUP(C1952,Products!A1952:A2451,Products!C1952:C2451,"Category Missing",0)</f>
        <v>Category Missing</v>
      </c>
      <c r="I1952" s="11" t="str">
        <f>_xlfn.XLOOKUP(Orders!C1952,Products!A1952:A2451,Products!D1952:D2451,"Price Missing",0)</f>
        <v>Price Missing</v>
      </c>
      <c r="J1952" s="19">
        <f t="shared" si="30"/>
        <v>0</v>
      </c>
    </row>
    <row r="1953" spans="1:10" x14ac:dyDescent="0.35">
      <c r="A1953" s="4" t="s">
        <v>5973</v>
      </c>
      <c r="B1953" s="7" t="s">
        <v>2786</v>
      </c>
      <c r="C1953" s="7" t="s">
        <v>3378</v>
      </c>
      <c r="D1953" s="5">
        <v>4</v>
      </c>
      <c r="E1953" s="7" t="str">
        <f>_xlfn.XLOOKUP(B1953,Customers!A1953:A2952,Customers!B1953:B2952,"Customer Not Found",0)</f>
        <v>Customer Not Found</v>
      </c>
      <c r="F1953" s="7" t="str">
        <f>_xlfn.XLOOKUP(Orders!B1953,Customers!A1953:A2952,Customers!C1953:C2952,"Country not Found",0)</f>
        <v>Country not Found</v>
      </c>
      <c r="G1953" s="7" t="str">
        <f>_xlfn.XLOOKUP(C1953,Products!A1953:A2452,Products!B1953:B2452,"Product Missing",0)</f>
        <v>Product Missing</v>
      </c>
      <c r="H1953" s="7" t="str">
        <f>_xlfn.XLOOKUP(C1953,Products!A1953:A2452,Products!C1953:C2452,"Category Missing",0)</f>
        <v>Category Missing</v>
      </c>
      <c r="I1953" s="11" t="str">
        <f>_xlfn.XLOOKUP(Orders!C1953,Products!A1953:A2452,Products!D1953:D2452,"Price Missing",0)</f>
        <v>Price Missing</v>
      </c>
      <c r="J1953" s="19">
        <f t="shared" si="30"/>
        <v>0</v>
      </c>
    </row>
    <row r="1954" spans="1:10" x14ac:dyDescent="0.35">
      <c r="A1954" s="4" t="s">
        <v>5974</v>
      </c>
      <c r="B1954" s="7" t="s">
        <v>2027</v>
      </c>
      <c r="C1954" s="7" t="s">
        <v>3862</v>
      </c>
      <c r="D1954" s="5">
        <v>10</v>
      </c>
      <c r="E1954" s="7" t="str">
        <f>_xlfn.XLOOKUP(B1954,Customers!A1954:A2953,Customers!B1954:B2953,"Customer Not Found",0)</f>
        <v>Customer Not Found</v>
      </c>
      <c r="F1954" s="7" t="str">
        <f>_xlfn.XLOOKUP(Orders!B1954,Customers!A1954:A2953,Customers!C1954:C2953,"Country not Found",0)</f>
        <v>Country not Found</v>
      </c>
      <c r="G1954" s="7" t="str">
        <f>_xlfn.XLOOKUP(C1954,Products!A1954:A2453,Products!B1954:B2453,"Product Missing",0)</f>
        <v>Product Missing</v>
      </c>
      <c r="H1954" s="7" t="str">
        <f>_xlfn.XLOOKUP(C1954,Products!A1954:A2453,Products!C1954:C2453,"Category Missing",0)</f>
        <v>Category Missing</v>
      </c>
      <c r="I1954" s="11" t="str">
        <f>_xlfn.XLOOKUP(Orders!C1954,Products!A1954:A2453,Products!D1954:D2453,"Price Missing",0)</f>
        <v>Price Missing</v>
      </c>
      <c r="J1954" s="19">
        <f t="shared" si="30"/>
        <v>0</v>
      </c>
    </row>
    <row r="1955" spans="1:10" x14ac:dyDescent="0.35">
      <c r="A1955" s="4" t="s">
        <v>5975</v>
      </c>
      <c r="B1955" s="7" t="s">
        <v>383</v>
      </c>
      <c r="C1955" s="7" t="s">
        <v>3758</v>
      </c>
      <c r="D1955" s="5">
        <v>5</v>
      </c>
      <c r="E1955" s="7" t="str">
        <f>_xlfn.XLOOKUP(B1955,Customers!A1955:A2954,Customers!B1955:B2954,"Customer Not Found",0)</f>
        <v>Customer Not Found</v>
      </c>
      <c r="F1955" s="7" t="str">
        <f>_xlfn.XLOOKUP(Orders!B1955,Customers!A1955:A2954,Customers!C1955:C2954,"Country not Found",0)</f>
        <v>Country not Found</v>
      </c>
      <c r="G1955" s="7" t="str">
        <f>_xlfn.XLOOKUP(C1955,Products!A1955:A2454,Products!B1955:B2454,"Product Missing",0)</f>
        <v>Product Missing</v>
      </c>
      <c r="H1955" s="7" t="str">
        <f>_xlfn.XLOOKUP(C1955,Products!A1955:A2454,Products!C1955:C2454,"Category Missing",0)</f>
        <v>Category Missing</v>
      </c>
      <c r="I1955" s="11" t="str">
        <f>_xlfn.XLOOKUP(Orders!C1955,Products!A1955:A2454,Products!D1955:D2454,"Price Missing",0)</f>
        <v>Price Missing</v>
      </c>
      <c r="J1955" s="19">
        <f t="shared" si="30"/>
        <v>0</v>
      </c>
    </row>
    <row r="1956" spans="1:10" x14ac:dyDescent="0.35">
      <c r="A1956" s="4" t="s">
        <v>5976</v>
      </c>
      <c r="B1956" s="7" t="s">
        <v>2018</v>
      </c>
      <c r="C1956" s="7" t="s">
        <v>3900</v>
      </c>
      <c r="D1956" s="5">
        <v>7</v>
      </c>
      <c r="E1956" s="7" t="str">
        <f>_xlfn.XLOOKUP(B1956,Customers!A1956:A2955,Customers!B1956:B2955,"Customer Not Found",0)</f>
        <v>Customer Not Found</v>
      </c>
      <c r="F1956" s="7" t="str">
        <f>_xlfn.XLOOKUP(Orders!B1956,Customers!A1956:A2955,Customers!C1956:C2955,"Country not Found",0)</f>
        <v>Country not Found</v>
      </c>
      <c r="G1956" s="7" t="str">
        <f>_xlfn.XLOOKUP(C1956,Products!A1956:A2455,Products!B1956:B2455,"Product Missing",0)</f>
        <v>Product Missing</v>
      </c>
      <c r="H1956" s="7" t="str">
        <f>_xlfn.XLOOKUP(C1956,Products!A1956:A2455,Products!C1956:C2455,"Category Missing",0)</f>
        <v>Category Missing</v>
      </c>
      <c r="I1956" s="11" t="str">
        <f>_xlfn.XLOOKUP(Orders!C1956,Products!A1956:A2455,Products!D1956:D2455,"Price Missing",0)</f>
        <v>Price Missing</v>
      </c>
      <c r="J1956" s="19">
        <f t="shared" si="30"/>
        <v>0</v>
      </c>
    </row>
    <row r="1957" spans="1:10" x14ac:dyDescent="0.35">
      <c r="A1957" s="4" t="s">
        <v>5977</v>
      </c>
      <c r="B1957" s="7" t="s">
        <v>785</v>
      </c>
      <c r="C1957" s="7" t="s">
        <v>3948</v>
      </c>
      <c r="D1957" s="5">
        <v>3</v>
      </c>
      <c r="E1957" s="7" t="str">
        <f>_xlfn.XLOOKUP(B1957,Customers!A1957:A2956,Customers!B1957:B2956,"Customer Not Found",0)</f>
        <v>Customer Not Found</v>
      </c>
      <c r="F1957" s="7" t="str">
        <f>_xlfn.XLOOKUP(Orders!B1957,Customers!A1957:A2956,Customers!C1957:C2956,"Country not Found",0)</f>
        <v>Country not Found</v>
      </c>
      <c r="G1957" s="7" t="str">
        <f>_xlfn.XLOOKUP(C1957,Products!A1957:A2456,Products!B1957:B2456,"Product Missing",0)</f>
        <v>Product Missing</v>
      </c>
      <c r="H1957" s="7" t="str">
        <f>_xlfn.XLOOKUP(C1957,Products!A1957:A2456,Products!C1957:C2456,"Category Missing",0)</f>
        <v>Category Missing</v>
      </c>
      <c r="I1957" s="11" t="str">
        <f>_xlfn.XLOOKUP(Orders!C1957,Products!A1957:A2456,Products!D1957:D2456,"Price Missing",0)</f>
        <v>Price Missing</v>
      </c>
      <c r="J1957" s="19">
        <f t="shared" si="30"/>
        <v>0</v>
      </c>
    </row>
    <row r="1958" spans="1:10" x14ac:dyDescent="0.35">
      <c r="A1958" s="4" t="s">
        <v>5978</v>
      </c>
      <c r="B1958" s="7" t="s">
        <v>2744</v>
      </c>
      <c r="C1958" s="7" t="s">
        <v>3094</v>
      </c>
      <c r="D1958" s="5">
        <v>4</v>
      </c>
      <c r="E1958" s="7" t="str">
        <f>_xlfn.XLOOKUP(B1958,Customers!A1958:A2957,Customers!B1958:B2957,"Customer Not Found",0)</f>
        <v>Customer Not Found</v>
      </c>
      <c r="F1958" s="7" t="str">
        <f>_xlfn.XLOOKUP(Orders!B1958,Customers!A1958:A2957,Customers!C1958:C2957,"Country not Found",0)</f>
        <v>Country not Found</v>
      </c>
      <c r="G1958" s="7" t="str">
        <f>_xlfn.XLOOKUP(C1958,Products!A1958:A2457,Products!B1958:B2457,"Product Missing",0)</f>
        <v>Product Missing</v>
      </c>
      <c r="H1958" s="7" t="str">
        <f>_xlfn.XLOOKUP(C1958,Products!A1958:A2457,Products!C1958:C2457,"Category Missing",0)</f>
        <v>Category Missing</v>
      </c>
      <c r="I1958" s="11" t="str">
        <f>_xlfn.XLOOKUP(Orders!C1958,Products!A1958:A2457,Products!D1958:D2457,"Price Missing",0)</f>
        <v>Price Missing</v>
      </c>
      <c r="J1958" s="19">
        <f t="shared" si="30"/>
        <v>0</v>
      </c>
    </row>
    <row r="1959" spans="1:10" x14ac:dyDescent="0.35">
      <c r="A1959" s="4" t="s">
        <v>5979</v>
      </c>
      <c r="B1959" s="7" t="s">
        <v>2276</v>
      </c>
      <c r="C1959" s="7" t="s">
        <v>3294</v>
      </c>
      <c r="D1959" s="5">
        <v>3</v>
      </c>
      <c r="E1959" s="7" t="str">
        <f>_xlfn.XLOOKUP(B1959,Customers!A1959:A2958,Customers!B1959:B2958,"Customer Not Found",0)</f>
        <v>Customer Not Found</v>
      </c>
      <c r="F1959" s="7" t="str">
        <f>_xlfn.XLOOKUP(Orders!B1959,Customers!A1959:A2958,Customers!C1959:C2958,"Country not Found",0)</f>
        <v>Country not Found</v>
      </c>
      <c r="G1959" s="7" t="str">
        <f>_xlfn.XLOOKUP(C1959,Products!A1959:A2458,Products!B1959:B2458,"Product Missing",0)</f>
        <v>Product Missing</v>
      </c>
      <c r="H1959" s="7" t="str">
        <f>_xlfn.XLOOKUP(C1959,Products!A1959:A2458,Products!C1959:C2458,"Category Missing",0)</f>
        <v>Category Missing</v>
      </c>
      <c r="I1959" s="11" t="str">
        <f>_xlfn.XLOOKUP(Orders!C1959,Products!A1959:A2458,Products!D1959:D2458,"Price Missing",0)</f>
        <v>Price Missing</v>
      </c>
      <c r="J1959" s="19">
        <f t="shared" si="30"/>
        <v>0</v>
      </c>
    </row>
    <row r="1960" spans="1:10" x14ac:dyDescent="0.35">
      <c r="A1960" s="4" t="s">
        <v>5980</v>
      </c>
      <c r="B1960" s="7" t="s">
        <v>2957</v>
      </c>
      <c r="C1960" s="7" t="s">
        <v>3368</v>
      </c>
      <c r="D1960" s="5">
        <v>2</v>
      </c>
      <c r="E1960" s="7" t="str">
        <f>_xlfn.XLOOKUP(B1960,Customers!A1960:A2959,Customers!B1960:B2959,"Customer Not Found",0)</f>
        <v>Customer Not Found</v>
      </c>
      <c r="F1960" s="7" t="str">
        <f>_xlfn.XLOOKUP(Orders!B1960,Customers!A1960:A2959,Customers!C1960:C2959,"Country not Found",0)</f>
        <v>Country not Found</v>
      </c>
      <c r="G1960" s="7" t="str">
        <f>_xlfn.XLOOKUP(C1960,Products!A1960:A2459,Products!B1960:B2459,"Product Missing",0)</f>
        <v>Product Missing</v>
      </c>
      <c r="H1960" s="7" t="str">
        <f>_xlfn.XLOOKUP(C1960,Products!A1960:A2459,Products!C1960:C2459,"Category Missing",0)</f>
        <v>Category Missing</v>
      </c>
      <c r="I1960" s="11" t="str">
        <f>_xlfn.XLOOKUP(Orders!C1960,Products!A1960:A2459,Products!D1960:D2459,"Price Missing",0)</f>
        <v>Price Missing</v>
      </c>
      <c r="J1960" s="19">
        <f t="shared" si="30"/>
        <v>0</v>
      </c>
    </row>
    <row r="1961" spans="1:10" x14ac:dyDescent="0.35">
      <c r="A1961" s="4" t="s">
        <v>5981</v>
      </c>
      <c r="B1961" s="7" t="s">
        <v>2723</v>
      </c>
      <c r="C1961" s="7" t="s">
        <v>3746</v>
      </c>
      <c r="D1961" s="5">
        <v>5</v>
      </c>
      <c r="E1961" s="7" t="str">
        <f>_xlfn.XLOOKUP(B1961,Customers!A1961:A2960,Customers!B1961:B2960,"Customer Not Found",0)</f>
        <v>Customer Not Found</v>
      </c>
      <c r="F1961" s="7" t="str">
        <f>_xlfn.XLOOKUP(Orders!B1961,Customers!A1961:A2960,Customers!C1961:C2960,"Country not Found",0)</f>
        <v>Country not Found</v>
      </c>
      <c r="G1961" s="7" t="str">
        <f>_xlfn.XLOOKUP(C1961,Products!A1961:A2460,Products!B1961:B2460,"Product Missing",0)</f>
        <v>Product Missing</v>
      </c>
      <c r="H1961" s="7" t="str">
        <f>_xlfn.XLOOKUP(C1961,Products!A1961:A2460,Products!C1961:C2460,"Category Missing",0)</f>
        <v>Category Missing</v>
      </c>
      <c r="I1961" s="11" t="str">
        <f>_xlfn.XLOOKUP(Orders!C1961,Products!A1961:A2460,Products!D1961:D2460,"Price Missing",0)</f>
        <v>Price Missing</v>
      </c>
      <c r="J1961" s="19">
        <f t="shared" si="30"/>
        <v>0</v>
      </c>
    </row>
    <row r="1962" spans="1:10" x14ac:dyDescent="0.35">
      <c r="A1962" s="4" t="s">
        <v>5982</v>
      </c>
      <c r="B1962" s="7" t="s">
        <v>2612</v>
      </c>
      <c r="C1962" s="7" t="s">
        <v>3566</v>
      </c>
      <c r="D1962" s="5">
        <v>3</v>
      </c>
      <c r="E1962" s="7" t="str">
        <f>_xlfn.XLOOKUP(B1962,Customers!A1962:A2961,Customers!B1962:B2961,"Customer Not Found",0)</f>
        <v>Customer Not Found</v>
      </c>
      <c r="F1962" s="7" t="str">
        <f>_xlfn.XLOOKUP(Orders!B1962,Customers!A1962:A2961,Customers!C1962:C2961,"Country not Found",0)</f>
        <v>Country not Found</v>
      </c>
      <c r="G1962" s="7" t="str">
        <f>_xlfn.XLOOKUP(C1962,Products!A1962:A2461,Products!B1962:B2461,"Product Missing",0)</f>
        <v>Product Missing</v>
      </c>
      <c r="H1962" s="7" t="str">
        <f>_xlfn.XLOOKUP(C1962,Products!A1962:A2461,Products!C1962:C2461,"Category Missing",0)</f>
        <v>Category Missing</v>
      </c>
      <c r="I1962" s="11" t="str">
        <f>_xlfn.XLOOKUP(Orders!C1962,Products!A1962:A2461,Products!D1962:D2461,"Price Missing",0)</f>
        <v>Price Missing</v>
      </c>
      <c r="J1962" s="19">
        <f t="shared" si="30"/>
        <v>0</v>
      </c>
    </row>
    <row r="1963" spans="1:10" x14ac:dyDescent="0.35">
      <c r="A1963" s="4" t="s">
        <v>5983</v>
      </c>
      <c r="B1963" s="7" t="s">
        <v>2594</v>
      </c>
      <c r="C1963" s="7" t="s">
        <v>3308</v>
      </c>
      <c r="D1963" s="5">
        <v>6</v>
      </c>
      <c r="E1963" s="7" t="str">
        <f>_xlfn.XLOOKUP(B1963,Customers!A1963:A2962,Customers!B1963:B2962,"Customer Not Found",0)</f>
        <v>Customer Not Found</v>
      </c>
      <c r="F1963" s="7" t="str">
        <f>_xlfn.XLOOKUP(Orders!B1963,Customers!A1963:A2962,Customers!C1963:C2962,"Country not Found",0)</f>
        <v>Country not Found</v>
      </c>
      <c r="G1963" s="7" t="str">
        <f>_xlfn.XLOOKUP(C1963,Products!A1963:A2462,Products!B1963:B2462,"Product Missing",0)</f>
        <v>Product Missing</v>
      </c>
      <c r="H1963" s="7" t="str">
        <f>_xlfn.XLOOKUP(C1963,Products!A1963:A2462,Products!C1963:C2462,"Category Missing",0)</f>
        <v>Category Missing</v>
      </c>
      <c r="I1963" s="11" t="str">
        <f>_xlfn.XLOOKUP(Orders!C1963,Products!A1963:A2462,Products!D1963:D2462,"Price Missing",0)</f>
        <v>Price Missing</v>
      </c>
      <c r="J1963" s="19">
        <f t="shared" si="30"/>
        <v>0</v>
      </c>
    </row>
    <row r="1964" spans="1:10" x14ac:dyDescent="0.35">
      <c r="A1964" s="4" t="s">
        <v>5984</v>
      </c>
      <c r="B1964" s="7" t="s">
        <v>1349</v>
      </c>
      <c r="C1964" s="7" t="s">
        <v>3021</v>
      </c>
      <c r="D1964" s="5">
        <v>9</v>
      </c>
      <c r="E1964" s="7" t="str">
        <f>_xlfn.XLOOKUP(B1964,Customers!A1964:A2963,Customers!B1964:B2963,"Customer Not Found",0)</f>
        <v>Customer Not Found</v>
      </c>
      <c r="F1964" s="7" t="str">
        <f>_xlfn.XLOOKUP(Orders!B1964,Customers!A1964:A2963,Customers!C1964:C2963,"Country not Found",0)</f>
        <v>Country not Found</v>
      </c>
      <c r="G1964" s="7" t="str">
        <f>_xlfn.XLOOKUP(C1964,Products!A1964:A2463,Products!B1964:B2463,"Product Missing",0)</f>
        <v>Product Missing</v>
      </c>
      <c r="H1964" s="7" t="str">
        <f>_xlfn.XLOOKUP(C1964,Products!A1964:A2463,Products!C1964:C2463,"Category Missing",0)</f>
        <v>Category Missing</v>
      </c>
      <c r="I1964" s="11" t="str">
        <f>_xlfn.XLOOKUP(Orders!C1964,Products!A1964:A2463,Products!D1964:D2463,"Price Missing",0)</f>
        <v>Price Missing</v>
      </c>
      <c r="J1964" s="19">
        <f t="shared" si="30"/>
        <v>0</v>
      </c>
    </row>
    <row r="1965" spans="1:10" x14ac:dyDescent="0.35">
      <c r="A1965" s="4" t="s">
        <v>5985</v>
      </c>
      <c r="B1965" s="7" t="s">
        <v>707</v>
      </c>
      <c r="C1965" s="7" t="s">
        <v>3840</v>
      </c>
      <c r="D1965" s="5">
        <v>6</v>
      </c>
      <c r="E1965" s="7" t="str">
        <f>_xlfn.XLOOKUP(B1965,Customers!A1965:A2964,Customers!B1965:B2964,"Customer Not Found",0)</f>
        <v>Customer Not Found</v>
      </c>
      <c r="F1965" s="7" t="str">
        <f>_xlfn.XLOOKUP(Orders!B1965,Customers!A1965:A2964,Customers!C1965:C2964,"Country not Found",0)</f>
        <v>Country not Found</v>
      </c>
      <c r="G1965" s="7" t="str">
        <f>_xlfn.XLOOKUP(C1965,Products!A1965:A2464,Products!B1965:B2464,"Product Missing",0)</f>
        <v>Product Missing</v>
      </c>
      <c r="H1965" s="7" t="str">
        <f>_xlfn.XLOOKUP(C1965,Products!A1965:A2464,Products!C1965:C2464,"Category Missing",0)</f>
        <v>Category Missing</v>
      </c>
      <c r="I1965" s="11" t="str">
        <f>_xlfn.XLOOKUP(Orders!C1965,Products!A1965:A2464,Products!D1965:D2464,"Price Missing",0)</f>
        <v>Price Missing</v>
      </c>
      <c r="J1965" s="19">
        <f t="shared" si="30"/>
        <v>0</v>
      </c>
    </row>
    <row r="1966" spans="1:10" x14ac:dyDescent="0.35">
      <c r="A1966" s="4" t="s">
        <v>5986</v>
      </c>
      <c r="B1966" s="7" t="s">
        <v>2720</v>
      </c>
      <c r="C1966" s="7" t="s">
        <v>3614</v>
      </c>
      <c r="D1966" s="5">
        <v>7</v>
      </c>
      <c r="E1966" s="7" t="str">
        <f>_xlfn.XLOOKUP(B1966,Customers!A1966:A2965,Customers!B1966:B2965,"Customer Not Found",0)</f>
        <v>Customer Not Found</v>
      </c>
      <c r="F1966" s="7" t="str">
        <f>_xlfn.XLOOKUP(Orders!B1966,Customers!A1966:A2965,Customers!C1966:C2965,"Country not Found",0)</f>
        <v>Country not Found</v>
      </c>
      <c r="G1966" s="7" t="str">
        <f>_xlfn.XLOOKUP(C1966,Products!A1966:A2465,Products!B1966:B2465,"Product Missing",0)</f>
        <v>Product Missing</v>
      </c>
      <c r="H1966" s="7" t="str">
        <f>_xlfn.XLOOKUP(C1966,Products!A1966:A2465,Products!C1966:C2465,"Category Missing",0)</f>
        <v>Category Missing</v>
      </c>
      <c r="I1966" s="11" t="str">
        <f>_xlfn.XLOOKUP(Orders!C1966,Products!A1966:A2465,Products!D1966:D2465,"Price Missing",0)</f>
        <v>Price Missing</v>
      </c>
      <c r="J1966" s="19">
        <f t="shared" si="30"/>
        <v>0</v>
      </c>
    </row>
    <row r="1967" spans="1:10" x14ac:dyDescent="0.35">
      <c r="A1967" s="4" t="s">
        <v>5987</v>
      </c>
      <c r="B1967" s="7" t="s">
        <v>224</v>
      </c>
      <c r="C1967" s="7" t="s">
        <v>3928</v>
      </c>
      <c r="D1967" s="5">
        <v>1</v>
      </c>
      <c r="E1967" s="7" t="str">
        <f>_xlfn.XLOOKUP(B1967,Customers!A1967:A2966,Customers!B1967:B2966,"Customer Not Found",0)</f>
        <v>Customer Not Found</v>
      </c>
      <c r="F1967" s="7" t="str">
        <f>_xlfn.XLOOKUP(Orders!B1967,Customers!A1967:A2966,Customers!C1967:C2966,"Country not Found",0)</f>
        <v>Country not Found</v>
      </c>
      <c r="G1967" s="7" t="str">
        <f>_xlfn.XLOOKUP(C1967,Products!A1967:A2466,Products!B1967:B2466,"Product Missing",0)</f>
        <v>Product Missing</v>
      </c>
      <c r="H1967" s="7" t="str">
        <f>_xlfn.XLOOKUP(C1967,Products!A1967:A2466,Products!C1967:C2466,"Category Missing",0)</f>
        <v>Category Missing</v>
      </c>
      <c r="I1967" s="11" t="str">
        <f>_xlfn.XLOOKUP(Orders!C1967,Products!A1967:A2466,Products!D1967:D2466,"Price Missing",0)</f>
        <v>Price Missing</v>
      </c>
      <c r="J1967" s="19">
        <f t="shared" si="30"/>
        <v>0</v>
      </c>
    </row>
    <row r="1968" spans="1:10" x14ac:dyDescent="0.35">
      <c r="A1968" s="4" t="s">
        <v>5988</v>
      </c>
      <c r="B1968" s="7" t="s">
        <v>1592</v>
      </c>
      <c r="C1968" s="7" t="s">
        <v>3194</v>
      </c>
      <c r="D1968" s="5">
        <v>10</v>
      </c>
      <c r="E1968" s="7" t="str">
        <f>_xlfn.XLOOKUP(B1968,Customers!A1968:A2967,Customers!B1968:B2967,"Customer Not Found",0)</f>
        <v>Customer Not Found</v>
      </c>
      <c r="F1968" s="7" t="str">
        <f>_xlfn.XLOOKUP(Orders!B1968,Customers!A1968:A2967,Customers!C1968:C2967,"Country not Found",0)</f>
        <v>Country not Found</v>
      </c>
      <c r="G1968" s="7" t="str">
        <f>_xlfn.XLOOKUP(C1968,Products!A1968:A2467,Products!B1968:B2467,"Product Missing",0)</f>
        <v>Product Missing</v>
      </c>
      <c r="H1968" s="7" t="str">
        <f>_xlfn.XLOOKUP(C1968,Products!A1968:A2467,Products!C1968:C2467,"Category Missing",0)</f>
        <v>Category Missing</v>
      </c>
      <c r="I1968" s="11" t="str">
        <f>_xlfn.XLOOKUP(Orders!C1968,Products!A1968:A2467,Products!D1968:D2467,"Price Missing",0)</f>
        <v>Price Missing</v>
      </c>
      <c r="J1968" s="19">
        <f t="shared" si="30"/>
        <v>0</v>
      </c>
    </row>
    <row r="1969" spans="1:10" x14ac:dyDescent="0.35">
      <c r="A1969" s="4" t="s">
        <v>5989</v>
      </c>
      <c r="B1969" s="7" t="s">
        <v>2246</v>
      </c>
      <c r="C1969" s="7" t="s">
        <v>3710</v>
      </c>
      <c r="D1969" s="5">
        <v>2</v>
      </c>
      <c r="E1969" s="7" t="str">
        <f>_xlfn.XLOOKUP(B1969,Customers!A1969:A2968,Customers!B1969:B2968,"Customer Not Found",0)</f>
        <v>Customer Not Found</v>
      </c>
      <c r="F1969" s="7" t="str">
        <f>_xlfn.XLOOKUP(Orders!B1969,Customers!A1969:A2968,Customers!C1969:C2968,"Country not Found",0)</f>
        <v>Country not Found</v>
      </c>
      <c r="G1969" s="7" t="str">
        <f>_xlfn.XLOOKUP(C1969,Products!A1969:A2468,Products!B1969:B2468,"Product Missing",0)</f>
        <v>Product Missing</v>
      </c>
      <c r="H1969" s="7" t="str">
        <f>_xlfn.XLOOKUP(C1969,Products!A1969:A2468,Products!C1969:C2468,"Category Missing",0)</f>
        <v>Category Missing</v>
      </c>
      <c r="I1969" s="11" t="str">
        <f>_xlfn.XLOOKUP(Orders!C1969,Products!A1969:A2468,Products!D1969:D2468,"Price Missing",0)</f>
        <v>Price Missing</v>
      </c>
      <c r="J1969" s="19">
        <f t="shared" si="30"/>
        <v>0</v>
      </c>
    </row>
    <row r="1970" spans="1:10" x14ac:dyDescent="0.35">
      <c r="A1970" s="4" t="s">
        <v>5990</v>
      </c>
      <c r="B1970" s="7" t="s">
        <v>257</v>
      </c>
      <c r="C1970" s="7" t="s">
        <v>3602</v>
      </c>
      <c r="D1970" s="5">
        <v>8</v>
      </c>
      <c r="E1970" s="7" t="str">
        <f>_xlfn.XLOOKUP(B1970,Customers!A1970:A2969,Customers!B1970:B2969,"Customer Not Found",0)</f>
        <v>Customer Not Found</v>
      </c>
      <c r="F1970" s="7" t="str">
        <f>_xlfn.XLOOKUP(Orders!B1970,Customers!A1970:A2969,Customers!C1970:C2969,"Country not Found",0)</f>
        <v>Country not Found</v>
      </c>
      <c r="G1970" s="7" t="str">
        <f>_xlfn.XLOOKUP(C1970,Products!A1970:A2469,Products!B1970:B2469,"Product Missing",0)</f>
        <v>Product Missing</v>
      </c>
      <c r="H1970" s="7" t="str">
        <f>_xlfn.XLOOKUP(C1970,Products!A1970:A2469,Products!C1970:C2469,"Category Missing",0)</f>
        <v>Category Missing</v>
      </c>
      <c r="I1970" s="11" t="str">
        <f>_xlfn.XLOOKUP(Orders!C1970,Products!A1970:A2469,Products!D1970:D2469,"Price Missing",0)</f>
        <v>Price Missing</v>
      </c>
      <c r="J1970" s="19">
        <f t="shared" si="30"/>
        <v>0</v>
      </c>
    </row>
    <row r="1971" spans="1:10" x14ac:dyDescent="0.35">
      <c r="A1971" s="4" t="s">
        <v>5991</v>
      </c>
      <c r="B1971" s="7" t="s">
        <v>422</v>
      </c>
      <c r="C1971" s="7" t="s">
        <v>3914</v>
      </c>
      <c r="D1971" s="5">
        <v>4</v>
      </c>
      <c r="E1971" s="7" t="str">
        <f>_xlfn.XLOOKUP(B1971,Customers!A1971:A2970,Customers!B1971:B2970,"Customer Not Found",0)</f>
        <v>Customer Not Found</v>
      </c>
      <c r="F1971" s="7" t="str">
        <f>_xlfn.XLOOKUP(Orders!B1971,Customers!A1971:A2970,Customers!C1971:C2970,"Country not Found",0)</f>
        <v>Country not Found</v>
      </c>
      <c r="G1971" s="7" t="str">
        <f>_xlfn.XLOOKUP(C1971,Products!A1971:A2470,Products!B1971:B2470,"Product Missing",0)</f>
        <v>Product Missing</v>
      </c>
      <c r="H1971" s="7" t="str">
        <f>_xlfn.XLOOKUP(C1971,Products!A1971:A2470,Products!C1971:C2470,"Category Missing",0)</f>
        <v>Category Missing</v>
      </c>
      <c r="I1971" s="11" t="str">
        <f>_xlfn.XLOOKUP(Orders!C1971,Products!A1971:A2470,Products!D1971:D2470,"Price Missing",0)</f>
        <v>Price Missing</v>
      </c>
      <c r="J1971" s="19">
        <f t="shared" si="30"/>
        <v>0</v>
      </c>
    </row>
    <row r="1972" spans="1:10" x14ac:dyDescent="0.35">
      <c r="A1972" s="4" t="s">
        <v>5992</v>
      </c>
      <c r="B1972" s="7" t="s">
        <v>473</v>
      </c>
      <c r="C1972" s="7" t="s">
        <v>3914</v>
      </c>
      <c r="D1972" s="5">
        <v>7</v>
      </c>
      <c r="E1972" s="7" t="str">
        <f>_xlfn.XLOOKUP(B1972,Customers!A1972:A2971,Customers!B1972:B2971,"Customer Not Found",0)</f>
        <v>Customer Not Found</v>
      </c>
      <c r="F1972" s="7" t="str">
        <f>_xlfn.XLOOKUP(Orders!B1972,Customers!A1972:A2971,Customers!C1972:C2971,"Country not Found",0)</f>
        <v>Country not Found</v>
      </c>
      <c r="G1972" s="7" t="str">
        <f>_xlfn.XLOOKUP(C1972,Products!A1972:A2471,Products!B1972:B2471,"Product Missing",0)</f>
        <v>Product Missing</v>
      </c>
      <c r="H1972" s="7" t="str">
        <f>_xlfn.XLOOKUP(C1972,Products!A1972:A2471,Products!C1972:C2471,"Category Missing",0)</f>
        <v>Category Missing</v>
      </c>
      <c r="I1972" s="11" t="str">
        <f>_xlfn.XLOOKUP(Orders!C1972,Products!A1972:A2471,Products!D1972:D2471,"Price Missing",0)</f>
        <v>Price Missing</v>
      </c>
      <c r="J1972" s="19">
        <f t="shared" si="30"/>
        <v>0</v>
      </c>
    </row>
    <row r="1973" spans="1:10" x14ac:dyDescent="0.35">
      <c r="A1973" s="4" t="s">
        <v>5993</v>
      </c>
      <c r="B1973" s="7" t="s">
        <v>19</v>
      </c>
      <c r="C1973" s="7" t="s">
        <v>3500</v>
      </c>
      <c r="D1973" s="5">
        <v>7</v>
      </c>
      <c r="E1973" s="7" t="str">
        <f>_xlfn.XLOOKUP(B1973,Customers!A1973:A2972,Customers!B1973:B2972,"Customer Not Found",0)</f>
        <v>Customer Not Found</v>
      </c>
      <c r="F1973" s="7" t="str">
        <f>_xlfn.XLOOKUP(Orders!B1973,Customers!A1973:A2972,Customers!C1973:C2972,"Country not Found",0)</f>
        <v>Country not Found</v>
      </c>
      <c r="G1973" s="7" t="str">
        <f>_xlfn.XLOOKUP(C1973,Products!A1973:A2472,Products!B1973:B2472,"Product Missing",0)</f>
        <v>Product Missing</v>
      </c>
      <c r="H1973" s="7" t="str">
        <f>_xlfn.XLOOKUP(C1973,Products!A1973:A2472,Products!C1973:C2472,"Category Missing",0)</f>
        <v>Category Missing</v>
      </c>
      <c r="I1973" s="11" t="str">
        <f>_xlfn.XLOOKUP(Orders!C1973,Products!A1973:A2472,Products!D1973:D2472,"Price Missing",0)</f>
        <v>Price Missing</v>
      </c>
      <c r="J1973" s="19">
        <f t="shared" si="30"/>
        <v>0</v>
      </c>
    </row>
    <row r="1974" spans="1:10" x14ac:dyDescent="0.35">
      <c r="A1974" s="4" t="s">
        <v>5994</v>
      </c>
      <c r="B1974" s="7" t="s">
        <v>653</v>
      </c>
      <c r="C1974" s="7" t="s">
        <v>3754</v>
      </c>
      <c r="D1974" s="5">
        <v>4</v>
      </c>
      <c r="E1974" s="7" t="str">
        <f>_xlfn.XLOOKUP(B1974,Customers!A1974:A2973,Customers!B1974:B2973,"Customer Not Found",0)</f>
        <v>Customer Not Found</v>
      </c>
      <c r="F1974" s="7" t="str">
        <f>_xlfn.XLOOKUP(Orders!B1974,Customers!A1974:A2973,Customers!C1974:C2973,"Country not Found",0)</f>
        <v>Country not Found</v>
      </c>
      <c r="G1974" s="7" t="str">
        <f>_xlfn.XLOOKUP(C1974,Products!A1974:A2473,Products!B1974:B2473,"Product Missing",0)</f>
        <v>Product Missing</v>
      </c>
      <c r="H1974" s="7" t="str">
        <f>_xlfn.XLOOKUP(C1974,Products!A1974:A2473,Products!C1974:C2473,"Category Missing",0)</f>
        <v>Category Missing</v>
      </c>
      <c r="I1974" s="11" t="str">
        <f>_xlfn.XLOOKUP(Orders!C1974,Products!A1974:A2473,Products!D1974:D2473,"Price Missing",0)</f>
        <v>Price Missing</v>
      </c>
      <c r="J1974" s="19">
        <f t="shared" si="30"/>
        <v>0</v>
      </c>
    </row>
    <row r="1975" spans="1:10" x14ac:dyDescent="0.35">
      <c r="A1975" s="4" t="s">
        <v>5995</v>
      </c>
      <c r="B1975" s="7" t="s">
        <v>998</v>
      </c>
      <c r="C1975" s="7" t="s">
        <v>3582</v>
      </c>
      <c r="D1975" s="5">
        <v>10</v>
      </c>
      <c r="E1975" s="7" t="str">
        <f>_xlfn.XLOOKUP(B1975,Customers!A1975:A2974,Customers!B1975:B2974,"Customer Not Found",0)</f>
        <v>Customer Not Found</v>
      </c>
      <c r="F1975" s="7" t="str">
        <f>_xlfn.XLOOKUP(Orders!B1975,Customers!A1975:A2974,Customers!C1975:C2974,"Country not Found",0)</f>
        <v>Country not Found</v>
      </c>
      <c r="G1975" s="7" t="str">
        <f>_xlfn.XLOOKUP(C1975,Products!A1975:A2474,Products!B1975:B2474,"Product Missing",0)</f>
        <v>Product Missing</v>
      </c>
      <c r="H1975" s="7" t="str">
        <f>_xlfn.XLOOKUP(C1975,Products!A1975:A2474,Products!C1975:C2474,"Category Missing",0)</f>
        <v>Category Missing</v>
      </c>
      <c r="I1975" s="11" t="str">
        <f>_xlfn.XLOOKUP(Orders!C1975,Products!A1975:A2474,Products!D1975:D2474,"Price Missing",0)</f>
        <v>Price Missing</v>
      </c>
      <c r="J1975" s="19">
        <f t="shared" si="30"/>
        <v>0</v>
      </c>
    </row>
    <row r="1976" spans="1:10" x14ac:dyDescent="0.35">
      <c r="A1976" s="4" t="s">
        <v>5996</v>
      </c>
      <c r="B1976" s="7" t="s">
        <v>2270</v>
      </c>
      <c r="C1976" s="7" t="s">
        <v>3802</v>
      </c>
      <c r="D1976" s="5">
        <v>10</v>
      </c>
      <c r="E1976" s="7" t="str">
        <f>_xlfn.XLOOKUP(B1976,Customers!A1976:A2975,Customers!B1976:B2975,"Customer Not Found",0)</f>
        <v>Customer Not Found</v>
      </c>
      <c r="F1976" s="7" t="str">
        <f>_xlfn.XLOOKUP(Orders!B1976,Customers!A1976:A2975,Customers!C1976:C2975,"Country not Found",0)</f>
        <v>Country not Found</v>
      </c>
      <c r="G1976" s="7" t="str">
        <f>_xlfn.XLOOKUP(C1976,Products!A1976:A2475,Products!B1976:B2475,"Product Missing",0)</f>
        <v>Product Missing</v>
      </c>
      <c r="H1976" s="7" t="str">
        <f>_xlfn.XLOOKUP(C1976,Products!A1976:A2475,Products!C1976:C2475,"Category Missing",0)</f>
        <v>Category Missing</v>
      </c>
      <c r="I1976" s="11" t="str">
        <f>_xlfn.XLOOKUP(Orders!C1976,Products!A1976:A2475,Products!D1976:D2475,"Price Missing",0)</f>
        <v>Price Missing</v>
      </c>
      <c r="J1976" s="19">
        <f t="shared" si="30"/>
        <v>0</v>
      </c>
    </row>
    <row r="1977" spans="1:10" x14ac:dyDescent="0.35">
      <c r="A1977" s="4" t="s">
        <v>5997</v>
      </c>
      <c r="B1977" s="7" t="s">
        <v>1043</v>
      </c>
      <c r="C1977" s="7" t="s">
        <v>3784</v>
      </c>
      <c r="D1977" s="5">
        <v>5</v>
      </c>
      <c r="E1977" s="7" t="str">
        <f>_xlfn.XLOOKUP(B1977,Customers!A1977:A2976,Customers!B1977:B2976,"Customer Not Found",0)</f>
        <v>Customer Not Found</v>
      </c>
      <c r="F1977" s="7" t="str">
        <f>_xlfn.XLOOKUP(Orders!B1977,Customers!A1977:A2976,Customers!C1977:C2976,"Country not Found",0)</f>
        <v>Country not Found</v>
      </c>
      <c r="G1977" s="7" t="str">
        <f>_xlfn.XLOOKUP(C1977,Products!A1977:A2476,Products!B1977:B2476,"Product Missing",0)</f>
        <v>Product Missing</v>
      </c>
      <c r="H1977" s="7" t="str">
        <f>_xlfn.XLOOKUP(C1977,Products!A1977:A2476,Products!C1977:C2476,"Category Missing",0)</f>
        <v>Category Missing</v>
      </c>
      <c r="I1977" s="11" t="str">
        <f>_xlfn.XLOOKUP(Orders!C1977,Products!A1977:A2476,Products!D1977:D2476,"Price Missing",0)</f>
        <v>Price Missing</v>
      </c>
      <c r="J1977" s="19">
        <f t="shared" si="30"/>
        <v>0</v>
      </c>
    </row>
    <row r="1978" spans="1:10" x14ac:dyDescent="0.35">
      <c r="A1978" s="4" t="s">
        <v>5998</v>
      </c>
      <c r="B1978" s="7" t="s">
        <v>2195</v>
      </c>
      <c r="C1978" s="7" t="s">
        <v>3814</v>
      </c>
      <c r="D1978" s="5">
        <v>7</v>
      </c>
      <c r="E1978" s="7" t="str">
        <f>_xlfn.XLOOKUP(B1978,Customers!A1978:A2977,Customers!B1978:B2977,"Customer Not Found",0)</f>
        <v>Customer Not Found</v>
      </c>
      <c r="F1978" s="7" t="str">
        <f>_xlfn.XLOOKUP(Orders!B1978,Customers!A1978:A2977,Customers!C1978:C2977,"Country not Found",0)</f>
        <v>Country not Found</v>
      </c>
      <c r="G1978" s="7" t="str">
        <f>_xlfn.XLOOKUP(C1978,Products!A1978:A2477,Products!B1978:B2477,"Product Missing",0)</f>
        <v>Product Missing</v>
      </c>
      <c r="H1978" s="7" t="str">
        <f>_xlfn.XLOOKUP(C1978,Products!A1978:A2477,Products!C1978:C2477,"Category Missing",0)</f>
        <v>Category Missing</v>
      </c>
      <c r="I1978" s="11" t="str">
        <f>_xlfn.XLOOKUP(Orders!C1978,Products!A1978:A2477,Products!D1978:D2477,"Price Missing",0)</f>
        <v>Price Missing</v>
      </c>
      <c r="J1978" s="19">
        <f t="shared" si="30"/>
        <v>0</v>
      </c>
    </row>
    <row r="1979" spans="1:10" x14ac:dyDescent="0.35">
      <c r="A1979" s="4" t="s">
        <v>5999</v>
      </c>
      <c r="B1979" s="7" t="s">
        <v>1232</v>
      </c>
      <c r="C1979" s="7" t="s">
        <v>3508</v>
      </c>
      <c r="D1979" s="5">
        <v>10</v>
      </c>
      <c r="E1979" s="7" t="str">
        <f>_xlfn.XLOOKUP(B1979,Customers!A1979:A2978,Customers!B1979:B2978,"Customer Not Found",0)</f>
        <v>Customer Not Found</v>
      </c>
      <c r="F1979" s="7" t="str">
        <f>_xlfn.XLOOKUP(Orders!B1979,Customers!A1979:A2978,Customers!C1979:C2978,"Country not Found",0)</f>
        <v>Country not Found</v>
      </c>
      <c r="G1979" s="7" t="str">
        <f>_xlfn.XLOOKUP(C1979,Products!A1979:A2478,Products!B1979:B2478,"Product Missing",0)</f>
        <v>Product Missing</v>
      </c>
      <c r="H1979" s="7" t="str">
        <f>_xlfn.XLOOKUP(C1979,Products!A1979:A2478,Products!C1979:C2478,"Category Missing",0)</f>
        <v>Category Missing</v>
      </c>
      <c r="I1979" s="11" t="str">
        <f>_xlfn.XLOOKUP(Orders!C1979,Products!A1979:A2478,Products!D1979:D2478,"Price Missing",0)</f>
        <v>Price Missing</v>
      </c>
      <c r="J1979" s="19">
        <f t="shared" si="30"/>
        <v>0</v>
      </c>
    </row>
    <row r="1980" spans="1:10" x14ac:dyDescent="0.35">
      <c r="A1980" s="4" t="s">
        <v>6000</v>
      </c>
      <c r="B1980" s="7" t="s">
        <v>230</v>
      </c>
      <c r="C1980" s="7" t="s">
        <v>3792</v>
      </c>
      <c r="D1980" s="5">
        <v>6</v>
      </c>
      <c r="E1980" s="7" t="str">
        <f>_xlfn.XLOOKUP(B1980,Customers!A1980:A2979,Customers!B1980:B2979,"Customer Not Found",0)</f>
        <v>Customer Not Found</v>
      </c>
      <c r="F1980" s="7" t="str">
        <f>_xlfn.XLOOKUP(Orders!B1980,Customers!A1980:A2979,Customers!C1980:C2979,"Country not Found",0)</f>
        <v>Country not Found</v>
      </c>
      <c r="G1980" s="7" t="str">
        <f>_xlfn.XLOOKUP(C1980,Products!A1980:A2479,Products!B1980:B2479,"Product Missing",0)</f>
        <v>Product Missing</v>
      </c>
      <c r="H1980" s="7" t="str">
        <f>_xlfn.XLOOKUP(C1980,Products!A1980:A2479,Products!C1980:C2479,"Category Missing",0)</f>
        <v>Category Missing</v>
      </c>
      <c r="I1980" s="11" t="str">
        <f>_xlfn.XLOOKUP(Orders!C1980,Products!A1980:A2479,Products!D1980:D2479,"Price Missing",0)</f>
        <v>Price Missing</v>
      </c>
      <c r="J1980" s="19">
        <f t="shared" si="30"/>
        <v>0</v>
      </c>
    </row>
    <row r="1981" spans="1:10" x14ac:dyDescent="0.35">
      <c r="A1981" s="4" t="s">
        <v>6001</v>
      </c>
      <c r="B1981" s="7" t="s">
        <v>2720</v>
      </c>
      <c r="C1981" s="7" t="s">
        <v>3792</v>
      </c>
      <c r="D1981" s="5">
        <v>1</v>
      </c>
      <c r="E1981" s="7" t="str">
        <f>_xlfn.XLOOKUP(B1981,Customers!A1981:A2980,Customers!B1981:B2980,"Customer Not Found",0)</f>
        <v>Customer Not Found</v>
      </c>
      <c r="F1981" s="7" t="str">
        <f>_xlfn.XLOOKUP(Orders!B1981,Customers!A1981:A2980,Customers!C1981:C2980,"Country not Found",0)</f>
        <v>Country not Found</v>
      </c>
      <c r="G1981" s="7" t="str">
        <f>_xlfn.XLOOKUP(C1981,Products!A1981:A2480,Products!B1981:B2480,"Product Missing",0)</f>
        <v>Product Missing</v>
      </c>
      <c r="H1981" s="7" t="str">
        <f>_xlfn.XLOOKUP(C1981,Products!A1981:A2480,Products!C1981:C2480,"Category Missing",0)</f>
        <v>Category Missing</v>
      </c>
      <c r="I1981" s="11" t="str">
        <f>_xlfn.XLOOKUP(Orders!C1981,Products!A1981:A2480,Products!D1981:D2480,"Price Missing",0)</f>
        <v>Price Missing</v>
      </c>
      <c r="J1981" s="19">
        <f t="shared" si="30"/>
        <v>0</v>
      </c>
    </row>
    <row r="1982" spans="1:10" x14ac:dyDescent="0.35">
      <c r="A1982" s="4" t="s">
        <v>6002</v>
      </c>
      <c r="B1982" s="7" t="s">
        <v>992</v>
      </c>
      <c r="C1982" s="7" t="s">
        <v>3636</v>
      </c>
      <c r="D1982" s="5">
        <v>5</v>
      </c>
      <c r="E1982" s="7" t="str">
        <f>_xlfn.XLOOKUP(B1982,Customers!A1982:A2981,Customers!B1982:B2981,"Customer Not Found",0)</f>
        <v>Customer Not Found</v>
      </c>
      <c r="F1982" s="7" t="str">
        <f>_xlfn.XLOOKUP(Orders!B1982,Customers!A1982:A2981,Customers!C1982:C2981,"Country not Found",0)</f>
        <v>Country not Found</v>
      </c>
      <c r="G1982" s="7" t="str">
        <f>_xlfn.XLOOKUP(C1982,Products!A1982:A2481,Products!B1982:B2481,"Product Missing",0)</f>
        <v>Product Missing</v>
      </c>
      <c r="H1982" s="7" t="str">
        <f>_xlfn.XLOOKUP(C1982,Products!A1982:A2481,Products!C1982:C2481,"Category Missing",0)</f>
        <v>Category Missing</v>
      </c>
      <c r="I1982" s="11" t="str">
        <f>_xlfn.XLOOKUP(Orders!C1982,Products!A1982:A2481,Products!D1982:D2481,"Price Missing",0)</f>
        <v>Price Missing</v>
      </c>
      <c r="J1982" s="19">
        <f t="shared" si="30"/>
        <v>0</v>
      </c>
    </row>
    <row r="1983" spans="1:10" x14ac:dyDescent="0.35">
      <c r="A1983" s="4" t="s">
        <v>6003</v>
      </c>
      <c r="B1983" s="7" t="s">
        <v>1211</v>
      </c>
      <c r="C1983" s="7" t="s">
        <v>3702</v>
      </c>
      <c r="D1983" s="5">
        <v>7</v>
      </c>
      <c r="E1983" s="7" t="str">
        <f>_xlfn.XLOOKUP(B1983,Customers!A1983:A2982,Customers!B1983:B2982,"Customer Not Found",0)</f>
        <v>Customer Not Found</v>
      </c>
      <c r="F1983" s="7" t="str">
        <f>_xlfn.XLOOKUP(Orders!B1983,Customers!A1983:A2982,Customers!C1983:C2982,"Country not Found",0)</f>
        <v>Country not Found</v>
      </c>
      <c r="G1983" s="7" t="str">
        <f>_xlfn.XLOOKUP(C1983,Products!A1983:A2482,Products!B1983:B2482,"Product Missing",0)</f>
        <v>Product Missing</v>
      </c>
      <c r="H1983" s="7" t="str">
        <f>_xlfn.XLOOKUP(C1983,Products!A1983:A2482,Products!C1983:C2482,"Category Missing",0)</f>
        <v>Category Missing</v>
      </c>
      <c r="I1983" s="11" t="str">
        <f>_xlfn.XLOOKUP(Orders!C1983,Products!A1983:A2482,Products!D1983:D2482,"Price Missing",0)</f>
        <v>Price Missing</v>
      </c>
      <c r="J1983" s="19">
        <f t="shared" si="30"/>
        <v>0</v>
      </c>
    </row>
    <row r="1984" spans="1:10" x14ac:dyDescent="0.35">
      <c r="A1984" s="4" t="s">
        <v>6004</v>
      </c>
      <c r="B1984" s="7" t="s">
        <v>2189</v>
      </c>
      <c r="C1984" s="7" t="s">
        <v>3378</v>
      </c>
      <c r="D1984" s="5">
        <v>6</v>
      </c>
      <c r="E1984" s="7" t="str">
        <f>_xlfn.XLOOKUP(B1984,Customers!A1984:A2983,Customers!B1984:B2983,"Customer Not Found",0)</f>
        <v>Customer Not Found</v>
      </c>
      <c r="F1984" s="7" t="str">
        <f>_xlfn.XLOOKUP(Orders!B1984,Customers!A1984:A2983,Customers!C1984:C2983,"Country not Found",0)</f>
        <v>Country not Found</v>
      </c>
      <c r="G1984" s="7" t="str">
        <f>_xlfn.XLOOKUP(C1984,Products!A1984:A2483,Products!B1984:B2483,"Product Missing",0)</f>
        <v>Product Missing</v>
      </c>
      <c r="H1984" s="7" t="str">
        <f>_xlfn.XLOOKUP(C1984,Products!A1984:A2483,Products!C1984:C2483,"Category Missing",0)</f>
        <v>Category Missing</v>
      </c>
      <c r="I1984" s="11" t="str">
        <f>_xlfn.XLOOKUP(Orders!C1984,Products!A1984:A2483,Products!D1984:D2483,"Price Missing",0)</f>
        <v>Price Missing</v>
      </c>
      <c r="J1984" s="19">
        <f t="shared" si="30"/>
        <v>0</v>
      </c>
    </row>
    <row r="1985" spans="1:10" x14ac:dyDescent="0.35">
      <c r="A1985" s="4" t="s">
        <v>6005</v>
      </c>
      <c r="B1985" s="7" t="s">
        <v>1286</v>
      </c>
      <c r="C1985" s="7" t="s">
        <v>3960</v>
      </c>
      <c r="D1985" s="5">
        <v>9</v>
      </c>
      <c r="E1985" s="7" t="str">
        <f>_xlfn.XLOOKUP(B1985,Customers!A1985:A2984,Customers!B1985:B2984,"Customer Not Found",0)</f>
        <v>Customer Not Found</v>
      </c>
      <c r="F1985" s="7" t="str">
        <f>_xlfn.XLOOKUP(Orders!B1985,Customers!A1985:A2984,Customers!C1985:C2984,"Country not Found",0)</f>
        <v>Country not Found</v>
      </c>
      <c r="G1985" s="7" t="str">
        <f>_xlfn.XLOOKUP(C1985,Products!A1985:A2484,Products!B1985:B2484,"Product Missing",0)</f>
        <v>Product Missing</v>
      </c>
      <c r="H1985" s="7" t="str">
        <f>_xlfn.XLOOKUP(C1985,Products!A1985:A2484,Products!C1985:C2484,"Category Missing",0)</f>
        <v>Category Missing</v>
      </c>
      <c r="I1985" s="11" t="str">
        <f>_xlfn.XLOOKUP(Orders!C1985,Products!A1985:A2484,Products!D1985:D2484,"Price Missing",0)</f>
        <v>Price Missing</v>
      </c>
      <c r="J1985" s="19">
        <f t="shared" si="30"/>
        <v>0</v>
      </c>
    </row>
    <row r="1986" spans="1:10" x14ac:dyDescent="0.35">
      <c r="A1986" s="4" t="s">
        <v>6006</v>
      </c>
      <c r="B1986" s="7" t="s">
        <v>2186</v>
      </c>
      <c r="C1986" s="7" t="s">
        <v>3328</v>
      </c>
      <c r="D1986" s="5">
        <v>2</v>
      </c>
      <c r="E1986" s="7" t="str">
        <f>_xlfn.XLOOKUP(B1986,Customers!A1986:A2985,Customers!B1986:B2985,"Customer Not Found",0)</f>
        <v>Customer Not Found</v>
      </c>
      <c r="F1986" s="7" t="str">
        <f>_xlfn.XLOOKUP(Orders!B1986,Customers!A1986:A2985,Customers!C1986:C2985,"Country not Found",0)</f>
        <v>Country not Found</v>
      </c>
      <c r="G1986" s="7" t="str">
        <f>_xlfn.XLOOKUP(C1986,Products!A1986:A2485,Products!B1986:B2485,"Product Missing",0)</f>
        <v>Product Missing</v>
      </c>
      <c r="H1986" s="7" t="str">
        <f>_xlfn.XLOOKUP(C1986,Products!A1986:A2485,Products!C1986:C2485,"Category Missing",0)</f>
        <v>Category Missing</v>
      </c>
      <c r="I1986" s="11" t="str">
        <f>_xlfn.XLOOKUP(Orders!C1986,Products!A1986:A2485,Products!D1986:D2485,"Price Missing",0)</f>
        <v>Price Missing</v>
      </c>
      <c r="J1986" s="19">
        <f t="shared" si="30"/>
        <v>0</v>
      </c>
    </row>
    <row r="1987" spans="1:10" x14ac:dyDescent="0.35">
      <c r="A1987" s="4" t="s">
        <v>6007</v>
      </c>
      <c r="B1987" s="7" t="s">
        <v>1358</v>
      </c>
      <c r="C1987" s="7" t="s">
        <v>3158</v>
      </c>
      <c r="D1987" s="5">
        <v>6</v>
      </c>
      <c r="E1987" s="7" t="str">
        <f>_xlfn.XLOOKUP(B1987,Customers!A1987:A2986,Customers!B1987:B2986,"Customer Not Found",0)</f>
        <v>Customer Not Found</v>
      </c>
      <c r="F1987" s="7" t="str">
        <f>_xlfn.XLOOKUP(Orders!B1987,Customers!A1987:A2986,Customers!C1987:C2986,"Country not Found",0)</f>
        <v>Country not Found</v>
      </c>
      <c r="G1987" s="7" t="str">
        <f>_xlfn.XLOOKUP(C1987,Products!A1987:A2486,Products!B1987:B2486,"Product Missing",0)</f>
        <v>Product Missing</v>
      </c>
      <c r="H1987" s="7" t="str">
        <f>_xlfn.XLOOKUP(C1987,Products!A1987:A2486,Products!C1987:C2486,"Category Missing",0)</f>
        <v>Category Missing</v>
      </c>
      <c r="I1987" s="11" t="str">
        <f>_xlfn.XLOOKUP(Orders!C1987,Products!A1987:A2486,Products!D1987:D2486,"Price Missing",0)</f>
        <v>Price Missing</v>
      </c>
      <c r="J1987" s="19">
        <f t="shared" ref="J1987:J2050" si="31">IFERROR(I1987*D1987,0)</f>
        <v>0</v>
      </c>
    </row>
    <row r="1988" spans="1:10" x14ac:dyDescent="0.35">
      <c r="A1988" s="4" t="s">
        <v>6008</v>
      </c>
      <c r="B1988" s="7" t="s">
        <v>1034</v>
      </c>
      <c r="C1988" s="7" t="s">
        <v>3740</v>
      </c>
      <c r="D1988" s="5">
        <v>5</v>
      </c>
      <c r="E1988" s="7" t="str">
        <f>_xlfn.XLOOKUP(B1988,Customers!A1988:A2987,Customers!B1988:B2987,"Customer Not Found",0)</f>
        <v>Customer Not Found</v>
      </c>
      <c r="F1988" s="7" t="str">
        <f>_xlfn.XLOOKUP(Orders!B1988,Customers!A1988:A2987,Customers!C1988:C2987,"Country not Found",0)</f>
        <v>Country not Found</v>
      </c>
      <c r="G1988" s="7" t="str">
        <f>_xlfn.XLOOKUP(C1988,Products!A1988:A2487,Products!B1988:B2487,"Product Missing",0)</f>
        <v>Product Missing</v>
      </c>
      <c r="H1988" s="7" t="str">
        <f>_xlfn.XLOOKUP(C1988,Products!A1988:A2487,Products!C1988:C2487,"Category Missing",0)</f>
        <v>Category Missing</v>
      </c>
      <c r="I1988" s="11" t="str">
        <f>_xlfn.XLOOKUP(Orders!C1988,Products!A1988:A2487,Products!D1988:D2487,"Price Missing",0)</f>
        <v>Price Missing</v>
      </c>
      <c r="J1988" s="19">
        <f t="shared" si="31"/>
        <v>0</v>
      </c>
    </row>
    <row r="1989" spans="1:10" x14ac:dyDescent="0.35">
      <c r="A1989" s="4" t="s">
        <v>6009</v>
      </c>
      <c r="B1989" s="7" t="s">
        <v>1712</v>
      </c>
      <c r="C1989" s="7" t="s">
        <v>3736</v>
      </c>
      <c r="D1989" s="5">
        <v>9</v>
      </c>
      <c r="E1989" s="7" t="str">
        <f>_xlfn.XLOOKUP(B1989,Customers!A1989:A2988,Customers!B1989:B2988,"Customer Not Found",0)</f>
        <v>Customer Not Found</v>
      </c>
      <c r="F1989" s="7" t="str">
        <f>_xlfn.XLOOKUP(Orders!B1989,Customers!A1989:A2988,Customers!C1989:C2988,"Country not Found",0)</f>
        <v>Country not Found</v>
      </c>
      <c r="G1989" s="7" t="str">
        <f>_xlfn.XLOOKUP(C1989,Products!A1989:A2488,Products!B1989:B2488,"Product Missing",0)</f>
        <v>Product Missing</v>
      </c>
      <c r="H1989" s="7" t="str">
        <f>_xlfn.XLOOKUP(C1989,Products!A1989:A2488,Products!C1989:C2488,"Category Missing",0)</f>
        <v>Category Missing</v>
      </c>
      <c r="I1989" s="11" t="str">
        <f>_xlfn.XLOOKUP(Orders!C1989,Products!A1989:A2488,Products!D1989:D2488,"Price Missing",0)</f>
        <v>Price Missing</v>
      </c>
      <c r="J1989" s="19">
        <f t="shared" si="31"/>
        <v>0</v>
      </c>
    </row>
    <row r="1990" spans="1:10" x14ac:dyDescent="0.35">
      <c r="A1990" s="4" t="s">
        <v>6010</v>
      </c>
      <c r="B1990" s="7" t="s">
        <v>323</v>
      </c>
      <c r="C1990" s="7" t="s">
        <v>3822</v>
      </c>
      <c r="D1990" s="5">
        <v>9</v>
      </c>
      <c r="E1990" s="7" t="str">
        <f>_xlfn.XLOOKUP(B1990,Customers!A1990:A2989,Customers!B1990:B2989,"Customer Not Found",0)</f>
        <v>Customer Not Found</v>
      </c>
      <c r="F1990" s="7" t="str">
        <f>_xlfn.XLOOKUP(Orders!B1990,Customers!A1990:A2989,Customers!C1990:C2989,"Country not Found",0)</f>
        <v>Country not Found</v>
      </c>
      <c r="G1990" s="7" t="str">
        <f>_xlfn.XLOOKUP(C1990,Products!A1990:A2489,Products!B1990:B2489,"Product Missing",0)</f>
        <v>Product Missing</v>
      </c>
      <c r="H1990" s="7" t="str">
        <f>_xlfn.XLOOKUP(C1990,Products!A1990:A2489,Products!C1990:C2489,"Category Missing",0)</f>
        <v>Category Missing</v>
      </c>
      <c r="I1990" s="11" t="str">
        <f>_xlfn.XLOOKUP(Orders!C1990,Products!A1990:A2489,Products!D1990:D2489,"Price Missing",0)</f>
        <v>Price Missing</v>
      </c>
      <c r="J1990" s="19">
        <f t="shared" si="31"/>
        <v>0</v>
      </c>
    </row>
    <row r="1991" spans="1:10" x14ac:dyDescent="0.35">
      <c r="A1991" s="4" t="s">
        <v>6011</v>
      </c>
      <c r="B1991" s="7" t="s">
        <v>2933</v>
      </c>
      <c r="C1991" s="7" t="s">
        <v>3520</v>
      </c>
      <c r="D1991" s="5">
        <v>9</v>
      </c>
      <c r="E1991" s="7" t="str">
        <f>_xlfn.XLOOKUP(B1991,Customers!A1991:A2990,Customers!B1991:B2990,"Customer Not Found",0)</f>
        <v>Customer Not Found</v>
      </c>
      <c r="F1991" s="7" t="str">
        <f>_xlfn.XLOOKUP(Orders!B1991,Customers!A1991:A2990,Customers!C1991:C2990,"Country not Found",0)</f>
        <v>Country not Found</v>
      </c>
      <c r="G1991" s="7" t="str">
        <f>_xlfn.XLOOKUP(C1991,Products!A1991:A2490,Products!B1991:B2490,"Product Missing",0)</f>
        <v>Product Missing</v>
      </c>
      <c r="H1991" s="7" t="str">
        <f>_xlfn.XLOOKUP(C1991,Products!A1991:A2490,Products!C1991:C2490,"Category Missing",0)</f>
        <v>Category Missing</v>
      </c>
      <c r="I1991" s="11" t="str">
        <f>_xlfn.XLOOKUP(Orders!C1991,Products!A1991:A2490,Products!D1991:D2490,"Price Missing",0)</f>
        <v>Price Missing</v>
      </c>
      <c r="J1991" s="19">
        <f t="shared" si="31"/>
        <v>0</v>
      </c>
    </row>
    <row r="1992" spans="1:10" x14ac:dyDescent="0.35">
      <c r="A1992" s="4" t="s">
        <v>6012</v>
      </c>
      <c r="B1992" s="7" t="s">
        <v>2321</v>
      </c>
      <c r="C1992" s="7" t="s">
        <v>3120</v>
      </c>
      <c r="D1992" s="5">
        <v>2</v>
      </c>
      <c r="E1992" s="7" t="str">
        <f>_xlfn.XLOOKUP(B1992,Customers!A1992:A2991,Customers!B1992:B2991,"Customer Not Found",0)</f>
        <v>Customer Not Found</v>
      </c>
      <c r="F1992" s="7" t="str">
        <f>_xlfn.XLOOKUP(Orders!B1992,Customers!A1992:A2991,Customers!C1992:C2991,"Country not Found",0)</f>
        <v>Country not Found</v>
      </c>
      <c r="G1992" s="7" t="str">
        <f>_xlfn.XLOOKUP(C1992,Products!A1992:A2491,Products!B1992:B2491,"Product Missing",0)</f>
        <v>Product Missing</v>
      </c>
      <c r="H1992" s="7" t="str">
        <f>_xlfn.XLOOKUP(C1992,Products!A1992:A2491,Products!C1992:C2491,"Category Missing",0)</f>
        <v>Category Missing</v>
      </c>
      <c r="I1992" s="11" t="str">
        <f>_xlfn.XLOOKUP(Orders!C1992,Products!A1992:A2491,Products!D1992:D2491,"Price Missing",0)</f>
        <v>Price Missing</v>
      </c>
      <c r="J1992" s="19">
        <f t="shared" si="31"/>
        <v>0</v>
      </c>
    </row>
    <row r="1993" spans="1:10" x14ac:dyDescent="0.35">
      <c r="A1993" s="4" t="s">
        <v>6013</v>
      </c>
      <c r="B1993" s="7" t="s">
        <v>1382</v>
      </c>
      <c r="C1993" s="7" t="s">
        <v>3164</v>
      </c>
      <c r="D1993" s="5">
        <v>5</v>
      </c>
      <c r="E1993" s="7" t="str">
        <f>_xlfn.XLOOKUP(B1993,Customers!A1993:A2992,Customers!B1993:B2992,"Customer Not Found",0)</f>
        <v>Customer Not Found</v>
      </c>
      <c r="F1993" s="7" t="str">
        <f>_xlfn.XLOOKUP(Orders!B1993,Customers!A1993:A2992,Customers!C1993:C2992,"Country not Found",0)</f>
        <v>Country not Found</v>
      </c>
      <c r="G1993" s="7" t="str">
        <f>_xlfn.XLOOKUP(C1993,Products!A1993:A2492,Products!B1993:B2492,"Product Missing",0)</f>
        <v>Product Missing</v>
      </c>
      <c r="H1993" s="7" t="str">
        <f>_xlfn.XLOOKUP(C1993,Products!A1993:A2492,Products!C1993:C2492,"Category Missing",0)</f>
        <v>Category Missing</v>
      </c>
      <c r="I1993" s="11" t="str">
        <f>_xlfn.XLOOKUP(Orders!C1993,Products!A1993:A2492,Products!D1993:D2492,"Price Missing",0)</f>
        <v>Price Missing</v>
      </c>
      <c r="J1993" s="19">
        <f t="shared" si="31"/>
        <v>0</v>
      </c>
    </row>
    <row r="1994" spans="1:10" x14ac:dyDescent="0.35">
      <c r="A1994" s="4" t="s">
        <v>6014</v>
      </c>
      <c r="B1994" s="7" t="s">
        <v>1223</v>
      </c>
      <c r="C1994" s="7" t="s">
        <v>3884</v>
      </c>
      <c r="D1994" s="5">
        <v>7</v>
      </c>
      <c r="E1994" s="7" t="str">
        <f>_xlfn.XLOOKUP(B1994,Customers!A1994:A2993,Customers!B1994:B2993,"Customer Not Found",0)</f>
        <v>Customer Not Found</v>
      </c>
      <c r="F1994" s="7" t="str">
        <f>_xlfn.XLOOKUP(Orders!B1994,Customers!A1994:A2993,Customers!C1994:C2993,"Country not Found",0)</f>
        <v>Country not Found</v>
      </c>
      <c r="G1994" s="7" t="str">
        <f>_xlfn.XLOOKUP(C1994,Products!A1994:A2493,Products!B1994:B2493,"Product Missing",0)</f>
        <v>Product Missing</v>
      </c>
      <c r="H1994" s="7" t="str">
        <f>_xlfn.XLOOKUP(C1994,Products!A1994:A2493,Products!C1994:C2493,"Category Missing",0)</f>
        <v>Category Missing</v>
      </c>
      <c r="I1994" s="11" t="str">
        <f>_xlfn.XLOOKUP(Orders!C1994,Products!A1994:A2493,Products!D1994:D2493,"Price Missing",0)</f>
        <v>Price Missing</v>
      </c>
      <c r="J1994" s="19">
        <f t="shared" si="31"/>
        <v>0</v>
      </c>
    </row>
    <row r="1995" spans="1:10" x14ac:dyDescent="0.35">
      <c r="A1995" s="4" t="s">
        <v>6015</v>
      </c>
      <c r="B1995" s="7" t="s">
        <v>1877</v>
      </c>
      <c r="C1995" s="7" t="s">
        <v>3492</v>
      </c>
      <c r="D1995" s="5">
        <v>10</v>
      </c>
      <c r="E1995" s="7" t="str">
        <f>_xlfn.XLOOKUP(B1995,Customers!A1995:A2994,Customers!B1995:B2994,"Customer Not Found",0)</f>
        <v>Customer Not Found</v>
      </c>
      <c r="F1995" s="7" t="str">
        <f>_xlfn.XLOOKUP(Orders!B1995,Customers!A1995:A2994,Customers!C1995:C2994,"Country not Found",0)</f>
        <v>Country not Found</v>
      </c>
      <c r="G1995" s="7" t="str">
        <f>_xlfn.XLOOKUP(C1995,Products!A1995:A2494,Products!B1995:B2494,"Product Missing",0)</f>
        <v>Product Missing</v>
      </c>
      <c r="H1995" s="7" t="str">
        <f>_xlfn.XLOOKUP(C1995,Products!A1995:A2494,Products!C1995:C2494,"Category Missing",0)</f>
        <v>Category Missing</v>
      </c>
      <c r="I1995" s="11" t="str">
        <f>_xlfn.XLOOKUP(Orders!C1995,Products!A1995:A2494,Products!D1995:D2494,"Price Missing",0)</f>
        <v>Price Missing</v>
      </c>
      <c r="J1995" s="19">
        <f t="shared" si="31"/>
        <v>0</v>
      </c>
    </row>
    <row r="1996" spans="1:10" x14ac:dyDescent="0.35">
      <c r="A1996" s="4" t="s">
        <v>6016</v>
      </c>
      <c r="B1996" s="7" t="s">
        <v>512</v>
      </c>
      <c r="C1996" s="7" t="s">
        <v>3970</v>
      </c>
      <c r="D1996" s="5">
        <v>3</v>
      </c>
      <c r="E1996" s="7" t="str">
        <f>_xlfn.XLOOKUP(B1996,Customers!A1996:A2995,Customers!B1996:B2995,"Customer Not Found",0)</f>
        <v>Customer Not Found</v>
      </c>
      <c r="F1996" s="7" t="str">
        <f>_xlfn.XLOOKUP(Orders!B1996,Customers!A1996:A2995,Customers!C1996:C2995,"Country not Found",0)</f>
        <v>Country not Found</v>
      </c>
      <c r="G1996" s="7" t="str">
        <f>_xlfn.XLOOKUP(C1996,Products!A1996:A2495,Products!B1996:B2495,"Product Missing",0)</f>
        <v>Product Missing</v>
      </c>
      <c r="H1996" s="7" t="str">
        <f>_xlfn.XLOOKUP(C1996,Products!A1996:A2495,Products!C1996:C2495,"Category Missing",0)</f>
        <v>Category Missing</v>
      </c>
      <c r="I1996" s="11" t="str">
        <f>_xlfn.XLOOKUP(Orders!C1996,Products!A1996:A2495,Products!D1996:D2495,"Price Missing",0)</f>
        <v>Price Missing</v>
      </c>
      <c r="J1996" s="19">
        <f t="shared" si="31"/>
        <v>0</v>
      </c>
    </row>
    <row r="1997" spans="1:10" x14ac:dyDescent="0.35">
      <c r="A1997" s="4" t="s">
        <v>6017</v>
      </c>
      <c r="B1997" s="7" t="s">
        <v>1739</v>
      </c>
      <c r="C1997" s="7" t="s">
        <v>3210</v>
      </c>
      <c r="D1997" s="5">
        <v>8</v>
      </c>
      <c r="E1997" s="7" t="str">
        <f>_xlfn.XLOOKUP(B1997,Customers!A1997:A2996,Customers!B1997:B2996,"Customer Not Found",0)</f>
        <v>Customer Not Found</v>
      </c>
      <c r="F1997" s="7" t="str">
        <f>_xlfn.XLOOKUP(Orders!B1997,Customers!A1997:A2996,Customers!C1997:C2996,"Country not Found",0)</f>
        <v>Country not Found</v>
      </c>
      <c r="G1997" s="7" t="str">
        <f>_xlfn.XLOOKUP(C1997,Products!A1997:A2496,Products!B1997:B2496,"Product Missing",0)</f>
        <v>Product Missing</v>
      </c>
      <c r="H1997" s="7" t="str">
        <f>_xlfn.XLOOKUP(C1997,Products!A1997:A2496,Products!C1997:C2496,"Category Missing",0)</f>
        <v>Category Missing</v>
      </c>
      <c r="I1997" s="11" t="str">
        <f>_xlfn.XLOOKUP(Orders!C1997,Products!A1997:A2496,Products!D1997:D2496,"Price Missing",0)</f>
        <v>Price Missing</v>
      </c>
      <c r="J1997" s="19">
        <f t="shared" si="31"/>
        <v>0</v>
      </c>
    </row>
    <row r="1998" spans="1:10" x14ac:dyDescent="0.35">
      <c r="A1998" s="4" t="s">
        <v>6018</v>
      </c>
      <c r="B1998" s="7" t="s">
        <v>707</v>
      </c>
      <c r="C1998" s="7" t="s">
        <v>3946</v>
      </c>
      <c r="D1998" s="5">
        <v>7</v>
      </c>
      <c r="E1998" s="7" t="str">
        <f>_xlfn.XLOOKUP(B1998,Customers!A1998:A2997,Customers!B1998:B2997,"Customer Not Found",0)</f>
        <v>Customer Not Found</v>
      </c>
      <c r="F1998" s="7" t="str">
        <f>_xlfn.XLOOKUP(Orders!B1998,Customers!A1998:A2997,Customers!C1998:C2997,"Country not Found",0)</f>
        <v>Country not Found</v>
      </c>
      <c r="G1998" s="7" t="str">
        <f>_xlfn.XLOOKUP(C1998,Products!A1998:A2497,Products!B1998:B2497,"Product Missing",0)</f>
        <v>Product Missing</v>
      </c>
      <c r="H1998" s="7" t="str">
        <f>_xlfn.XLOOKUP(C1998,Products!A1998:A2497,Products!C1998:C2497,"Category Missing",0)</f>
        <v>Category Missing</v>
      </c>
      <c r="I1998" s="11" t="str">
        <f>_xlfn.XLOOKUP(Orders!C1998,Products!A1998:A2497,Products!D1998:D2497,"Price Missing",0)</f>
        <v>Price Missing</v>
      </c>
      <c r="J1998" s="19">
        <f t="shared" si="31"/>
        <v>0</v>
      </c>
    </row>
    <row r="1999" spans="1:10" x14ac:dyDescent="0.35">
      <c r="A1999" s="4" t="s">
        <v>6019</v>
      </c>
      <c r="B1999" s="7" t="s">
        <v>1259</v>
      </c>
      <c r="C1999" s="7" t="s">
        <v>3584</v>
      </c>
      <c r="D1999" s="5">
        <v>6</v>
      </c>
      <c r="E1999" s="7" t="str">
        <f>_xlfn.XLOOKUP(B1999,Customers!A1999:A2998,Customers!B1999:B2998,"Customer Not Found",0)</f>
        <v>Customer Not Found</v>
      </c>
      <c r="F1999" s="7" t="str">
        <f>_xlfn.XLOOKUP(Orders!B1999,Customers!A1999:A2998,Customers!C1999:C2998,"Country not Found",0)</f>
        <v>Country not Found</v>
      </c>
      <c r="G1999" s="7" t="str">
        <f>_xlfn.XLOOKUP(C1999,Products!A1999:A2498,Products!B1999:B2498,"Product Missing",0)</f>
        <v>Product Missing</v>
      </c>
      <c r="H1999" s="7" t="str">
        <f>_xlfn.XLOOKUP(C1999,Products!A1999:A2498,Products!C1999:C2498,"Category Missing",0)</f>
        <v>Category Missing</v>
      </c>
      <c r="I1999" s="11" t="str">
        <f>_xlfn.XLOOKUP(Orders!C1999,Products!A1999:A2498,Products!D1999:D2498,"Price Missing",0)</f>
        <v>Price Missing</v>
      </c>
      <c r="J1999" s="19">
        <f t="shared" si="31"/>
        <v>0</v>
      </c>
    </row>
    <row r="2000" spans="1:10" x14ac:dyDescent="0.35">
      <c r="A2000" s="4" t="s">
        <v>6020</v>
      </c>
      <c r="B2000" s="7" t="s">
        <v>740</v>
      </c>
      <c r="C2000" s="7" t="s">
        <v>3304</v>
      </c>
      <c r="D2000" s="5">
        <v>2</v>
      </c>
      <c r="E2000" s="7" t="str">
        <f>_xlfn.XLOOKUP(B2000,Customers!A2000:A2999,Customers!B2000:B2999,"Customer Not Found",0)</f>
        <v>Customer Not Found</v>
      </c>
      <c r="F2000" s="7" t="str">
        <f>_xlfn.XLOOKUP(Orders!B2000,Customers!A2000:A2999,Customers!C2000:C2999,"Country not Found",0)</f>
        <v>Country not Found</v>
      </c>
      <c r="G2000" s="7" t="str">
        <f>_xlfn.XLOOKUP(C2000,Products!A2000:A2499,Products!B2000:B2499,"Product Missing",0)</f>
        <v>Product Missing</v>
      </c>
      <c r="H2000" s="7" t="str">
        <f>_xlfn.XLOOKUP(C2000,Products!A2000:A2499,Products!C2000:C2499,"Category Missing",0)</f>
        <v>Category Missing</v>
      </c>
      <c r="I2000" s="11" t="str">
        <f>_xlfn.XLOOKUP(Orders!C2000,Products!A2000:A2499,Products!D2000:D2499,"Price Missing",0)</f>
        <v>Price Missing</v>
      </c>
      <c r="J2000" s="19">
        <f t="shared" si="31"/>
        <v>0</v>
      </c>
    </row>
    <row r="2001" spans="1:10" x14ac:dyDescent="0.35">
      <c r="A2001" s="4" t="s">
        <v>6021</v>
      </c>
      <c r="B2001" s="7" t="s">
        <v>1364</v>
      </c>
      <c r="C2001" s="7" t="s">
        <v>3842</v>
      </c>
      <c r="D2001" s="5">
        <v>5</v>
      </c>
      <c r="E2001" s="7" t="str">
        <f>_xlfn.XLOOKUP(B2001,Customers!A2001:A3000,Customers!B2001:B3000,"Customer Not Found",0)</f>
        <v>Customer Not Found</v>
      </c>
      <c r="F2001" s="7" t="str">
        <f>_xlfn.XLOOKUP(Orders!B2001,Customers!A2001:A3000,Customers!C2001:C3000,"Country not Found",0)</f>
        <v>Country not Found</v>
      </c>
      <c r="G2001" s="7" t="str">
        <f>_xlfn.XLOOKUP(C2001,Products!A2001:A2500,Products!B2001:B2500,"Product Missing",0)</f>
        <v>Product Missing</v>
      </c>
      <c r="H2001" s="7" t="str">
        <f>_xlfn.XLOOKUP(C2001,Products!A2001:A2500,Products!C2001:C2500,"Category Missing",0)</f>
        <v>Category Missing</v>
      </c>
      <c r="I2001" s="11" t="str">
        <f>_xlfn.XLOOKUP(Orders!C2001,Products!A2001:A2500,Products!D2001:D2500,"Price Missing",0)</f>
        <v>Price Missing</v>
      </c>
      <c r="J2001" s="19">
        <f t="shared" si="31"/>
        <v>0</v>
      </c>
    </row>
    <row r="2002" spans="1:10" x14ac:dyDescent="0.35">
      <c r="A2002" s="4" t="s">
        <v>6022</v>
      </c>
      <c r="B2002" s="7" t="s">
        <v>101</v>
      </c>
      <c r="C2002" s="7" t="s">
        <v>3274</v>
      </c>
      <c r="D2002" s="5">
        <v>3</v>
      </c>
      <c r="E2002" s="7" t="str">
        <f>_xlfn.XLOOKUP(B2002,Customers!A2002:A3001,Customers!B2002:B3001,"Customer Not Found",0)</f>
        <v>Customer Not Found</v>
      </c>
      <c r="F2002" s="7" t="str">
        <f>_xlfn.XLOOKUP(Orders!B2002,Customers!A2002:A3001,Customers!C2002:C3001,"Country not Found",0)</f>
        <v>Country not Found</v>
      </c>
      <c r="G2002" s="7" t="str">
        <f>_xlfn.XLOOKUP(C2002,Products!A2002:A2501,Products!B2002:B2501,"Product Missing",0)</f>
        <v>Product Missing</v>
      </c>
      <c r="H2002" s="7" t="str">
        <f>_xlfn.XLOOKUP(C2002,Products!A2002:A2501,Products!C2002:C2501,"Category Missing",0)</f>
        <v>Category Missing</v>
      </c>
      <c r="I2002" s="11" t="str">
        <f>_xlfn.XLOOKUP(Orders!C2002,Products!A2002:A2501,Products!D2002:D2501,"Price Missing",0)</f>
        <v>Price Missing</v>
      </c>
      <c r="J2002" s="19">
        <f t="shared" si="31"/>
        <v>0</v>
      </c>
    </row>
    <row r="2003" spans="1:10" x14ac:dyDescent="0.35">
      <c r="A2003" s="4" t="s">
        <v>6023</v>
      </c>
      <c r="B2003" s="7" t="s">
        <v>1151</v>
      </c>
      <c r="C2003" s="7" t="s">
        <v>3648</v>
      </c>
      <c r="D2003" s="5">
        <v>7</v>
      </c>
      <c r="E2003" s="7" t="str">
        <f>_xlfn.XLOOKUP(B2003,Customers!A2003:A3002,Customers!B2003:B3002,"Customer Not Found",0)</f>
        <v>Customer Not Found</v>
      </c>
      <c r="F2003" s="7" t="str">
        <f>_xlfn.XLOOKUP(Orders!B2003,Customers!A2003:A3002,Customers!C2003:C3002,"Country not Found",0)</f>
        <v>Country not Found</v>
      </c>
      <c r="G2003" s="7" t="str">
        <f>_xlfn.XLOOKUP(C2003,Products!A2003:A2502,Products!B2003:B2502,"Product Missing",0)</f>
        <v>Product Missing</v>
      </c>
      <c r="H2003" s="7" t="str">
        <f>_xlfn.XLOOKUP(C2003,Products!A2003:A2502,Products!C2003:C2502,"Category Missing",0)</f>
        <v>Category Missing</v>
      </c>
      <c r="I2003" s="11" t="str">
        <f>_xlfn.XLOOKUP(Orders!C2003,Products!A2003:A2502,Products!D2003:D2502,"Price Missing",0)</f>
        <v>Price Missing</v>
      </c>
      <c r="J2003" s="19">
        <f t="shared" si="31"/>
        <v>0</v>
      </c>
    </row>
    <row r="2004" spans="1:10" x14ac:dyDescent="0.35">
      <c r="A2004" s="4" t="s">
        <v>6024</v>
      </c>
      <c r="B2004" s="7" t="s">
        <v>578</v>
      </c>
      <c r="C2004" s="7" t="s">
        <v>3790</v>
      </c>
      <c r="D2004" s="5">
        <v>6</v>
      </c>
      <c r="E2004" s="7" t="str">
        <f>_xlfn.XLOOKUP(B2004,Customers!A2004:A3003,Customers!B2004:B3003,"Customer Not Found",0)</f>
        <v>Customer Not Found</v>
      </c>
      <c r="F2004" s="7" t="str">
        <f>_xlfn.XLOOKUP(Orders!B2004,Customers!A2004:A3003,Customers!C2004:C3003,"Country not Found",0)</f>
        <v>Country not Found</v>
      </c>
      <c r="G2004" s="7" t="str">
        <f>_xlfn.XLOOKUP(C2004,Products!A2004:A2503,Products!B2004:B2503,"Product Missing",0)</f>
        <v>Product Missing</v>
      </c>
      <c r="H2004" s="7" t="str">
        <f>_xlfn.XLOOKUP(C2004,Products!A2004:A2503,Products!C2004:C2503,"Category Missing",0)</f>
        <v>Category Missing</v>
      </c>
      <c r="I2004" s="11" t="str">
        <f>_xlfn.XLOOKUP(Orders!C2004,Products!A2004:A2503,Products!D2004:D2503,"Price Missing",0)</f>
        <v>Price Missing</v>
      </c>
      <c r="J2004" s="19">
        <f t="shared" si="31"/>
        <v>0</v>
      </c>
    </row>
    <row r="2005" spans="1:10" x14ac:dyDescent="0.35">
      <c r="A2005" s="4" t="s">
        <v>6025</v>
      </c>
      <c r="B2005" s="7" t="s">
        <v>2582</v>
      </c>
      <c r="C2005" s="7" t="s">
        <v>3452</v>
      </c>
      <c r="D2005" s="5">
        <v>9</v>
      </c>
      <c r="E2005" s="7" t="str">
        <f>_xlfn.XLOOKUP(B2005,Customers!A2005:A3004,Customers!B2005:B3004,"Customer Not Found",0)</f>
        <v>Customer Not Found</v>
      </c>
      <c r="F2005" s="7" t="str">
        <f>_xlfn.XLOOKUP(Orders!B2005,Customers!A2005:A3004,Customers!C2005:C3004,"Country not Found",0)</f>
        <v>Country not Found</v>
      </c>
      <c r="G2005" s="7" t="str">
        <f>_xlfn.XLOOKUP(C2005,Products!A2005:A2504,Products!B2005:B2504,"Product Missing",0)</f>
        <v>Product Missing</v>
      </c>
      <c r="H2005" s="7" t="str">
        <f>_xlfn.XLOOKUP(C2005,Products!A2005:A2504,Products!C2005:C2504,"Category Missing",0)</f>
        <v>Category Missing</v>
      </c>
      <c r="I2005" s="11" t="str">
        <f>_xlfn.XLOOKUP(Orders!C2005,Products!A2005:A2504,Products!D2005:D2504,"Price Missing",0)</f>
        <v>Price Missing</v>
      </c>
      <c r="J2005" s="19">
        <f t="shared" si="31"/>
        <v>0</v>
      </c>
    </row>
    <row r="2006" spans="1:10" x14ac:dyDescent="0.35">
      <c r="A2006" s="4" t="s">
        <v>6026</v>
      </c>
      <c r="B2006" s="7" t="s">
        <v>1418</v>
      </c>
      <c r="C2006" s="7" t="s">
        <v>3826</v>
      </c>
      <c r="D2006" s="5">
        <v>9</v>
      </c>
      <c r="E2006" s="7" t="str">
        <f>_xlfn.XLOOKUP(B2006,Customers!A2006:A3005,Customers!B2006:B3005,"Customer Not Found",0)</f>
        <v>Customer Not Found</v>
      </c>
      <c r="F2006" s="7" t="str">
        <f>_xlfn.XLOOKUP(Orders!B2006,Customers!A2006:A3005,Customers!C2006:C3005,"Country not Found",0)</f>
        <v>Country not Found</v>
      </c>
      <c r="G2006" s="7" t="str">
        <f>_xlfn.XLOOKUP(C2006,Products!A2006:A2505,Products!B2006:B2505,"Product Missing",0)</f>
        <v>Product Missing</v>
      </c>
      <c r="H2006" s="7" t="str">
        <f>_xlfn.XLOOKUP(C2006,Products!A2006:A2505,Products!C2006:C2505,"Category Missing",0)</f>
        <v>Category Missing</v>
      </c>
      <c r="I2006" s="11" t="str">
        <f>_xlfn.XLOOKUP(Orders!C2006,Products!A2006:A2505,Products!D2006:D2505,"Price Missing",0)</f>
        <v>Price Missing</v>
      </c>
      <c r="J2006" s="19">
        <f t="shared" si="31"/>
        <v>0</v>
      </c>
    </row>
    <row r="2007" spans="1:10" x14ac:dyDescent="0.35">
      <c r="A2007" s="4" t="s">
        <v>6027</v>
      </c>
      <c r="B2007" s="7" t="s">
        <v>260</v>
      </c>
      <c r="C2007" s="7" t="s">
        <v>3680</v>
      </c>
      <c r="D2007" s="5">
        <v>4</v>
      </c>
      <c r="E2007" s="7" t="str">
        <f>_xlfn.XLOOKUP(B2007,Customers!A2007:A3006,Customers!B2007:B3006,"Customer Not Found",0)</f>
        <v>Customer Not Found</v>
      </c>
      <c r="F2007" s="7" t="str">
        <f>_xlfn.XLOOKUP(Orders!B2007,Customers!A2007:A3006,Customers!C2007:C3006,"Country not Found",0)</f>
        <v>Country not Found</v>
      </c>
      <c r="G2007" s="7" t="str">
        <f>_xlfn.XLOOKUP(C2007,Products!A2007:A2506,Products!B2007:B2506,"Product Missing",0)</f>
        <v>Product Missing</v>
      </c>
      <c r="H2007" s="7" t="str">
        <f>_xlfn.XLOOKUP(C2007,Products!A2007:A2506,Products!C2007:C2506,"Category Missing",0)</f>
        <v>Category Missing</v>
      </c>
      <c r="I2007" s="11" t="str">
        <f>_xlfn.XLOOKUP(Orders!C2007,Products!A2007:A2506,Products!D2007:D2506,"Price Missing",0)</f>
        <v>Price Missing</v>
      </c>
      <c r="J2007" s="19">
        <f t="shared" si="31"/>
        <v>0</v>
      </c>
    </row>
    <row r="2008" spans="1:10" x14ac:dyDescent="0.35">
      <c r="A2008" s="4" t="s">
        <v>6028</v>
      </c>
      <c r="B2008" s="7" t="s">
        <v>1925</v>
      </c>
      <c r="C2008" s="7" t="s">
        <v>3194</v>
      </c>
      <c r="D2008" s="5">
        <v>6</v>
      </c>
      <c r="E2008" s="7" t="str">
        <f>_xlfn.XLOOKUP(B2008,Customers!A2008:A3007,Customers!B2008:B3007,"Customer Not Found",0)</f>
        <v>Customer Not Found</v>
      </c>
      <c r="F2008" s="7" t="str">
        <f>_xlfn.XLOOKUP(Orders!B2008,Customers!A2008:A3007,Customers!C2008:C3007,"Country not Found",0)</f>
        <v>Country not Found</v>
      </c>
      <c r="G2008" s="7" t="str">
        <f>_xlfn.XLOOKUP(C2008,Products!A2008:A2507,Products!B2008:B2507,"Product Missing",0)</f>
        <v>Product Missing</v>
      </c>
      <c r="H2008" s="7" t="str">
        <f>_xlfn.XLOOKUP(C2008,Products!A2008:A2507,Products!C2008:C2507,"Category Missing",0)</f>
        <v>Category Missing</v>
      </c>
      <c r="I2008" s="11" t="str">
        <f>_xlfn.XLOOKUP(Orders!C2008,Products!A2008:A2507,Products!D2008:D2507,"Price Missing",0)</f>
        <v>Price Missing</v>
      </c>
      <c r="J2008" s="19">
        <f t="shared" si="31"/>
        <v>0</v>
      </c>
    </row>
    <row r="2009" spans="1:10" x14ac:dyDescent="0.35">
      <c r="A2009" s="4" t="s">
        <v>6029</v>
      </c>
      <c r="B2009" s="7" t="s">
        <v>2297</v>
      </c>
      <c r="C2009" s="7" t="s">
        <v>3616</v>
      </c>
      <c r="D2009" s="5">
        <v>6</v>
      </c>
      <c r="E2009" s="7" t="str">
        <f>_xlfn.XLOOKUP(B2009,Customers!A2009:A3008,Customers!B2009:B3008,"Customer Not Found",0)</f>
        <v>Customer Not Found</v>
      </c>
      <c r="F2009" s="7" t="str">
        <f>_xlfn.XLOOKUP(Orders!B2009,Customers!A2009:A3008,Customers!C2009:C3008,"Country not Found",0)</f>
        <v>Country not Found</v>
      </c>
      <c r="G2009" s="7" t="str">
        <f>_xlfn.XLOOKUP(C2009,Products!A2009:A2508,Products!B2009:B2508,"Product Missing",0)</f>
        <v>Product Missing</v>
      </c>
      <c r="H2009" s="7" t="str">
        <f>_xlfn.XLOOKUP(C2009,Products!A2009:A2508,Products!C2009:C2508,"Category Missing",0)</f>
        <v>Category Missing</v>
      </c>
      <c r="I2009" s="11" t="str">
        <f>_xlfn.XLOOKUP(Orders!C2009,Products!A2009:A2508,Products!D2009:D2508,"Price Missing",0)</f>
        <v>Price Missing</v>
      </c>
      <c r="J2009" s="19">
        <f t="shared" si="31"/>
        <v>0</v>
      </c>
    </row>
    <row r="2010" spans="1:10" x14ac:dyDescent="0.35">
      <c r="A2010" s="4" t="s">
        <v>6030</v>
      </c>
      <c r="B2010" s="7" t="s">
        <v>254</v>
      </c>
      <c r="C2010" s="7" t="s">
        <v>3596</v>
      </c>
      <c r="D2010" s="5">
        <v>9</v>
      </c>
      <c r="E2010" s="7" t="str">
        <f>_xlfn.XLOOKUP(B2010,Customers!A2010:A3009,Customers!B2010:B3009,"Customer Not Found",0)</f>
        <v>Customer Not Found</v>
      </c>
      <c r="F2010" s="7" t="str">
        <f>_xlfn.XLOOKUP(Orders!B2010,Customers!A2010:A3009,Customers!C2010:C3009,"Country not Found",0)</f>
        <v>Country not Found</v>
      </c>
      <c r="G2010" s="7" t="str">
        <f>_xlfn.XLOOKUP(C2010,Products!A2010:A2509,Products!B2010:B2509,"Product Missing",0)</f>
        <v>Product Missing</v>
      </c>
      <c r="H2010" s="7" t="str">
        <f>_xlfn.XLOOKUP(C2010,Products!A2010:A2509,Products!C2010:C2509,"Category Missing",0)</f>
        <v>Category Missing</v>
      </c>
      <c r="I2010" s="11" t="str">
        <f>_xlfn.XLOOKUP(Orders!C2010,Products!A2010:A2509,Products!D2010:D2509,"Price Missing",0)</f>
        <v>Price Missing</v>
      </c>
      <c r="J2010" s="19">
        <f t="shared" si="31"/>
        <v>0</v>
      </c>
    </row>
    <row r="2011" spans="1:10" x14ac:dyDescent="0.35">
      <c r="A2011" s="4" t="s">
        <v>6031</v>
      </c>
      <c r="B2011" s="7" t="s">
        <v>2168</v>
      </c>
      <c r="C2011" s="7" t="s">
        <v>3488</v>
      </c>
      <c r="D2011" s="5">
        <v>6</v>
      </c>
      <c r="E2011" s="7" t="str">
        <f>_xlfn.XLOOKUP(B2011,Customers!A2011:A3010,Customers!B2011:B3010,"Customer Not Found",0)</f>
        <v>Customer Not Found</v>
      </c>
      <c r="F2011" s="7" t="str">
        <f>_xlfn.XLOOKUP(Orders!B2011,Customers!A2011:A3010,Customers!C2011:C3010,"Country not Found",0)</f>
        <v>Country not Found</v>
      </c>
      <c r="G2011" s="7" t="str">
        <f>_xlfn.XLOOKUP(C2011,Products!A2011:A2510,Products!B2011:B2510,"Product Missing",0)</f>
        <v>Product Missing</v>
      </c>
      <c r="H2011" s="7" t="str">
        <f>_xlfn.XLOOKUP(C2011,Products!A2011:A2510,Products!C2011:C2510,"Category Missing",0)</f>
        <v>Category Missing</v>
      </c>
      <c r="I2011" s="11" t="str">
        <f>_xlfn.XLOOKUP(Orders!C2011,Products!A2011:A2510,Products!D2011:D2510,"Price Missing",0)</f>
        <v>Price Missing</v>
      </c>
      <c r="J2011" s="19">
        <f t="shared" si="31"/>
        <v>0</v>
      </c>
    </row>
    <row r="2012" spans="1:10" x14ac:dyDescent="0.35">
      <c r="A2012" s="4" t="s">
        <v>6032</v>
      </c>
      <c r="B2012" s="7" t="s">
        <v>311</v>
      </c>
      <c r="C2012" s="7" t="s">
        <v>3708</v>
      </c>
      <c r="D2012" s="5">
        <v>4</v>
      </c>
      <c r="E2012" s="7" t="str">
        <f>_xlfn.XLOOKUP(B2012,Customers!A2012:A3011,Customers!B2012:B3011,"Customer Not Found",0)</f>
        <v>Customer Not Found</v>
      </c>
      <c r="F2012" s="7" t="str">
        <f>_xlfn.XLOOKUP(Orders!B2012,Customers!A2012:A3011,Customers!C2012:C3011,"Country not Found",0)</f>
        <v>Country not Found</v>
      </c>
      <c r="G2012" s="7" t="str">
        <f>_xlfn.XLOOKUP(C2012,Products!A2012:A2511,Products!B2012:B2511,"Product Missing",0)</f>
        <v>Product Missing</v>
      </c>
      <c r="H2012" s="7" t="str">
        <f>_xlfn.XLOOKUP(C2012,Products!A2012:A2511,Products!C2012:C2511,"Category Missing",0)</f>
        <v>Category Missing</v>
      </c>
      <c r="I2012" s="11" t="str">
        <f>_xlfn.XLOOKUP(Orders!C2012,Products!A2012:A2511,Products!D2012:D2511,"Price Missing",0)</f>
        <v>Price Missing</v>
      </c>
      <c r="J2012" s="19">
        <f t="shared" si="31"/>
        <v>0</v>
      </c>
    </row>
    <row r="2013" spans="1:10" x14ac:dyDescent="0.35">
      <c r="A2013" s="4" t="s">
        <v>6033</v>
      </c>
      <c r="B2013" s="7" t="s">
        <v>2762</v>
      </c>
      <c r="C2013" s="7" t="s">
        <v>3690</v>
      </c>
      <c r="D2013" s="5">
        <v>4</v>
      </c>
      <c r="E2013" s="7" t="str">
        <f>_xlfn.XLOOKUP(B2013,Customers!A2013:A3012,Customers!B2013:B3012,"Customer Not Found",0)</f>
        <v>Customer Not Found</v>
      </c>
      <c r="F2013" s="7" t="str">
        <f>_xlfn.XLOOKUP(Orders!B2013,Customers!A2013:A3012,Customers!C2013:C3012,"Country not Found",0)</f>
        <v>Country not Found</v>
      </c>
      <c r="G2013" s="7" t="str">
        <f>_xlfn.XLOOKUP(C2013,Products!A2013:A2512,Products!B2013:B2512,"Product Missing",0)</f>
        <v>Product Missing</v>
      </c>
      <c r="H2013" s="7" t="str">
        <f>_xlfn.XLOOKUP(C2013,Products!A2013:A2512,Products!C2013:C2512,"Category Missing",0)</f>
        <v>Category Missing</v>
      </c>
      <c r="I2013" s="11" t="str">
        <f>_xlfn.XLOOKUP(Orders!C2013,Products!A2013:A2512,Products!D2013:D2512,"Price Missing",0)</f>
        <v>Price Missing</v>
      </c>
      <c r="J2013" s="19">
        <f t="shared" si="31"/>
        <v>0</v>
      </c>
    </row>
    <row r="2014" spans="1:10" x14ac:dyDescent="0.35">
      <c r="A2014" s="4" t="s">
        <v>6034</v>
      </c>
      <c r="B2014" s="7" t="s">
        <v>1997</v>
      </c>
      <c r="C2014" s="7" t="s">
        <v>3220</v>
      </c>
      <c r="D2014" s="5">
        <v>9</v>
      </c>
      <c r="E2014" s="7" t="str">
        <f>_xlfn.XLOOKUP(B2014,Customers!A2014:A3013,Customers!B2014:B3013,"Customer Not Found",0)</f>
        <v>Customer Not Found</v>
      </c>
      <c r="F2014" s="7" t="str">
        <f>_xlfn.XLOOKUP(Orders!B2014,Customers!A2014:A3013,Customers!C2014:C3013,"Country not Found",0)</f>
        <v>Country not Found</v>
      </c>
      <c r="G2014" s="7" t="str">
        <f>_xlfn.XLOOKUP(C2014,Products!A2014:A2513,Products!B2014:B2513,"Product Missing",0)</f>
        <v>Product Missing</v>
      </c>
      <c r="H2014" s="7" t="str">
        <f>_xlfn.XLOOKUP(C2014,Products!A2014:A2513,Products!C2014:C2513,"Category Missing",0)</f>
        <v>Category Missing</v>
      </c>
      <c r="I2014" s="11" t="str">
        <f>_xlfn.XLOOKUP(Orders!C2014,Products!A2014:A2513,Products!D2014:D2513,"Price Missing",0)</f>
        <v>Price Missing</v>
      </c>
      <c r="J2014" s="19">
        <f t="shared" si="31"/>
        <v>0</v>
      </c>
    </row>
    <row r="2015" spans="1:10" x14ac:dyDescent="0.35">
      <c r="A2015" s="4" t="s">
        <v>6035</v>
      </c>
      <c r="B2015" s="7" t="s">
        <v>833</v>
      </c>
      <c r="C2015" s="7" t="s">
        <v>3047</v>
      </c>
      <c r="D2015" s="5">
        <v>9</v>
      </c>
      <c r="E2015" s="7" t="str">
        <f>_xlfn.XLOOKUP(B2015,Customers!A2015:A3014,Customers!B2015:B3014,"Customer Not Found",0)</f>
        <v>Customer Not Found</v>
      </c>
      <c r="F2015" s="7" t="str">
        <f>_xlfn.XLOOKUP(Orders!B2015,Customers!A2015:A3014,Customers!C2015:C3014,"Country not Found",0)</f>
        <v>Country not Found</v>
      </c>
      <c r="G2015" s="7" t="str">
        <f>_xlfn.XLOOKUP(C2015,Products!A2015:A2514,Products!B2015:B2514,"Product Missing",0)</f>
        <v>Product Missing</v>
      </c>
      <c r="H2015" s="7" t="str">
        <f>_xlfn.XLOOKUP(C2015,Products!A2015:A2514,Products!C2015:C2514,"Category Missing",0)</f>
        <v>Category Missing</v>
      </c>
      <c r="I2015" s="11" t="str">
        <f>_xlfn.XLOOKUP(Orders!C2015,Products!A2015:A2514,Products!D2015:D2514,"Price Missing",0)</f>
        <v>Price Missing</v>
      </c>
      <c r="J2015" s="19">
        <f t="shared" si="31"/>
        <v>0</v>
      </c>
    </row>
    <row r="2016" spans="1:10" x14ac:dyDescent="0.35">
      <c r="A2016" s="4" t="s">
        <v>6036</v>
      </c>
      <c r="B2016" s="7" t="s">
        <v>1916</v>
      </c>
      <c r="C2016" s="7" t="s">
        <v>3922</v>
      </c>
      <c r="D2016" s="5">
        <v>1</v>
      </c>
      <c r="E2016" s="7" t="str">
        <f>_xlfn.XLOOKUP(B2016,Customers!A2016:A3015,Customers!B2016:B3015,"Customer Not Found",0)</f>
        <v>Customer Not Found</v>
      </c>
      <c r="F2016" s="7" t="str">
        <f>_xlfn.XLOOKUP(Orders!B2016,Customers!A2016:A3015,Customers!C2016:C3015,"Country not Found",0)</f>
        <v>Country not Found</v>
      </c>
      <c r="G2016" s="7" t="str">
        <f>_xlfn.XLOOKUP(C2016,Products!A2016:A2515,Products!B2016:B2515,"Product Missing",0)</f>
        <v>Product Missing</v>
      </c>
      <c r="H2016" s="7" t="str">
        <f>_xlfn.XLOOKUP(C2016,Products!A2016:A2515,Products!C2016:C2515,"Category Missing",0)</f>
        <v>Category Missing</v>
      </c>
      <c r="I2016" s="11" t="str">
        <f>_xlfn.XLOOKUP(Orders!C2016,Products!A2016:A2515,Products!D2016:D2515,"Price Missing",0)</f>
        <v>Price Missing</v>
      </c>
      <c r="J2016" s="19">
        <f t="shared" si="31"/>
        <v>0</v>
      </c>
    </row>
    <row r="2017" spans="1:10" x14ac:dyDescent="0.35">
      <c r="A2017" s="4" t="s">
        <v>6037</v>
      </c>
      <c r="B2017" s="7" t="s">
        <v>611</v>
      </c>
      <c r="C2017" s="7" t="s">
        <v>3470</v>
      </c>
      <c r="D2017" s="5">
        <v>5</v>
      </c>
      <c r="E2017" s="7" t="str">
        <f>_xlfn.XLOOKUP(B2017,Customers!A2017:A3016,Customers!B2017:B3016,"Customer Not Found",0)</f>
        <v>Customer Not Found</v>
      </c>
      <c r="F2017" s="7" t="str">
        <f>_xlfn.XLOOKUP(Orders!B2017,Customers!A2017:A3016,Customers!C2017:C3016,"Country not Found",0)</f>
        <v>Country not Found</v>
      </c>
      <c r="G2017" s="7" t="str">
        <f>_xlfn.XLOOKUP(C2017,Products!A2017:A2516,Products!B2017:B2516,"Product Missing",0)</f>
        <v>Product Missing</v>
      </c>
      <c r="H2017" s="7" t="str">
        <f>_xlfn.XLOOKUP(C2017,Products!A2017:A2516,Products!C2017:C2516,"Category Missing",0)</f>
        <v>Category Missing</v>
      </c>
      <c r="I2017" s="11" t="str">
        <f>_xlfn.XLOOKUP(Orders!C2017,Products!A2017:A2516,Products!D2017:D2516,"Price Missing",0)</f>
        <v>Price Missing</v>
      </c>
      <c r="J2017" s="19">
        <f t="shared" si="31"/>
        <v>0</v>
      </c>
    </row>
    <row r="2018" spans="1:10" x14ac:dyDescent="0.35">
      <c r="A2018" s="4" t="s">
        <v>6038</v>
      </c>
      <c r="B2018" s="7" t="s">
        <v>2699</v>
      </c>
      <c r="C2018" s="7" t="s">
        <v>3866</v>
      </c>
      <c r="D2018" s="5">
        <v>9</v>
      </c>
      <c r="E2018" s="7" t="str">
        <f>_xlfn.XLOOKUP(B2018,Customers!A2018:A3017,Customers!B2018:B3017,"Customer Not Found",0)</f>
        <v>Customer Not Found</v>
      </c>
      <c r="F2018" s="7" t="str">
        <f>_xlfn.XLOOKUP(Orders!B2018,Customers!A2018:A3017,Customers!C2018:C3017,"Country not Found",0)</f>
        <v>Country not Found</v>
      </c>
      <c r="G2018" s="7" t="str">
        <f>_xlfn.XLOOKUP(C2018,Products!A2018:A2517,Products!B2018:B2517,"Product Missing",0)</f>
        <v>Product Missing</v>
      </c>
      <c r="H2018" s="7" t="str">
        <f>_xlfn.XLOOKUP(C2018,Products!A2018:A2517,Products!C2018:C2517,"Category Missing",0)</f>
        <v>Category Missing</v>
      </c>
      <c r="I2018" s="11" t="str">
        <f>_xlfn.XLOOKUP(Orders!C2018,Products!A2018:A2517,Products!D2018:D2517,"Price Missing",0)</f>
        <v>Price Missing</v>
      </c>
      <c r="J2018" s="19">
        <f t="shared" si="31"/>
        <v>0</v>
      </c>
    </row>
    <row r="2019" spans="1:10" x14ac:dyDescent="0.35">
      <c r="A2019" s="4" t="s">
        <v>6039</v>
      </c>
      <c r="B2019" s="7" t="s">
        <v>2078</v>
      </c>
      <c r="C2019" s="7" t="s">
        <v>3712</v>
      </c>
      <c r="D2019" s="5">
        <v>5</v>
      </c>
      <c r="E2019" s="7" t="str">
        <f>_xlfn.XLOOKUP(B2019,Customers!A2019:A3018,Customers!B2019:B3018,"Customer Not Found",0)</f>
        <v>Customer Not Found</v>
      </c>
      <c r="F2019" s="7" t="str">
        <f>_xlfn.XLOOKUP(Orders!B2019,Customers!A2019:A3018,Customers!C2019:C3018,"Country not Found",0)</f>
        <v>Country not Found</v>
      </c>
      <c r="G2019" s="7" t="str">
        <f>_xlfn.XLOOKUP(C2019,Products!A2019:A2518,Products!B2019:B2518,"Product Missing",0)</f>
        <v>Product Missing</v>
      </c>
      <c r="H2019" s="7" t="str">
        <f>_xlfn.XLOOKUP(C2019,Products!A2019:A2518,Products!C2019:C2518,"Category Missing",0)</f>
        <v>Category Missing</v>
      </c>
      <c r="I2019" s="11" t="str">
        <f>_xlfn.XLOOKUP(Orders!C2019,Products!A2019:A2518,Products!D2019:D2518,"Price Missing",0)</f>
        <v>Price Missing</v>
      </c>
      <c r="J2019" s="19">
        <f t="shared" si="31"/>
        <v>0</v>
      </c>
    </row>
    <row r="2020" spans="1:10" x14ac:dyDescent="0.35">
      <c r="A2020" s="4" t="s">
        <v>6040</v>
      </c>
      <c r="B2020" s="7" t="s">
        <v>305</v>
      </c>
      <c r="C2020" s="7" t="s">
        <v>3106</v>
      </c>
      <c r="D2020" s="5">
        <v>3</v>
      </c>
      <c r="E2020" s="7" t="str">
        <f>_xlfn.XLOOKUP(B2020,Customers!A2020:A3019,Customers!B2020:B3019,"Customer Not Found",0)</f>
        <v>Customer Not Found</v>
      </c>
      <c r="F2020" s="7" t="str">
        <f>_xlfn.XLOOKUP(Orders!B2020,Customers!A2020:A3019,Customers!C2020:C3019,"Country not Found",0)</f>
        <v>Country not Found</v>
      </c>
      <c r="G2020" s="7" t="str">
        <f>_xlfn.XLOOKUP(C2020,Products!A2020:A2519,Products!B2020:B2519,"Product Missing",0)</f>
        <v>Product Missing</v>
      </c>
      <c r="H2020" s="7" t="str">
        <f>_xlfn.XLOOKUP(C2020,Products!A2020:A2519,Products!C2020:C2519,"Category Missing",0)</f>
        <v>Category Missing</v>
      </c>
      <c r="I2020" s="11" t="str">
        <f>_xlfn.XLOOKUP(Orders!C2020,Products!A2020:A2519,Products!D2020:D2519,"Price Missing",0)</f>
        <v>Price Missing</v>
      </c>
      <c r="J2020" s="19">
        <f t="shared" si="31"/>
        <v>0</v>
      </c>
    </row>
    <row r="2021" spans="1:10" x14ac:dyDescent="0.35">
      <c r="A2021" s="4" t="s">
        <v>6041</v>
      </c>
      <c r="B2021" s="7" t="s">
        <v>89</v>
      </c>
      <c r="C2021" s="7" t="s">
        <v>3764</v>
      </c>
      <c r="D2021" s="5">
        <v>8</v>
      </c>
      <c r="E2021" s="7" t="str">
        <f>_xlfn.XLOOKUP(B2021,Customers!A2021:A3020,Customers!B2021:B3020,"Customer Not Found",0)</f>
        <v>Customer Not Found</v>
      </c>
      <c r="F2021" s="7" t="str">
        <f>_xlfn.XLOOKUP(Orders!B2021,Customers!A2021:A3020,Customers!C2021:C3020,"Country not Found",0)</f>
        <v>Country not Found</v>
      </c>
      <c r="G2021" s="7" t="str">
        <f>_xlfn.XLOOKUP(C2021,Products!A2021:A2520,Products!B2021:B2520,"Product Missing",0)</f>
        <v>Product Missing</v>
      </c>
      <c r="H2021" s="7" t="str">
        <f>_xlfn.XLOOKUP(C2021,Products!A2021:A2520,Products!C2021:C2520,"Category Missing",0)</f>
        <v>Category Missing</v>
      </c>
      <c r="I2021" s="11" t="str">
        <f>_xlfn.XLOOKUP(Orders!C2021,Products!A2021:A2520,Products!D2021:D2520,"Price Missing",0)</f>
        <v>Price Missing</v>
      </c>
      <c r="J2021" s="19">
        <f t="shared" si="31"/>
        <v>0</v>
      </c>
    </row>
    <row r="2022" spans="1:10" x14ac:dyDescent="0.35">
      <c r="A2022" s="4" t="s">
        <v>6042</v>
      </c>
      <c r="B2022" s="7" t="s">
        <v>2459</v>
      </c>
      <c r="C2022" s="7" t="s">
        <v>3188</v>
      </c>
      <c r="D2022" s="5">
        <v>10</v>
      </c>
      <c r="E2022" s="7" t="str">
        <f>_xlfn.XLOOKUP(B2022,Customers!A2022:A3021,Customers!B2022:B3021,"Customer Not Found",0)</f>
        <v>Customer Not Found</v>
      </c>
      <c r="F2022" s="7" t="str">
        <f>_xlfn.XLOOKUP(Orders!B2022,Customers!A2022:A3021,Customers!C2022:C3021,"Country not Found",0)</f>
        <v>Country not Found</v>
      </c>
      <c r="G2022" s="7" t="str">
        <f>_xlfn.XLOOKUP(C2022,Products!A2022:A2521,Products!B2022:B2521,"Product Missing",0)</f>
        <v>Product Missing</v>
      </c>
      <c r="H2022" s="7" t="str">
        <f>_xlfn.XLOOKUP(C2022,Products!A2022:A2521,Products!C2022:C2521,"Category Missing",0)</f>
        <v>Category Missing</v>
      </c>
      <c r="I2022" s="11" t="str">
        <f>_xlfn.XLOOKUP(Orders!C2022,Products!A2022:A2521,Products!D2022:D2521,"Price Missing",0)</f>
        <v>Price Missing</v>
      </c>
      <c r="J2022" s="19">
        <f t="shared" si="31"/>
        <v>0</v>
      </c>
    </row>
    <row r="2023" spans="1:10" x14ac:dyDescent="0.35">
      <c r="A2023" s="4" t="s">
        <v>6043</v>
      </c>
      <c r="B2023" s="7" t="s">
        <v>1727</v>
      </c>
      <c r="C2023" s="7" t="s">
        <v>3464</v>
      </c>
      <c r="D2023" s="5">
        <v>7</v>
      </c>
      <c r="E2023" s="7" t="str">
        <f>_xlfn.XLOOKUP(B2023,Customers!A2023:A3022,Customers!B2023:B3022,"Customer Not Found",0)</f>
        <v>Customer Not Found</v>
      </c>
      <c r="F2023" s="7" t="str">
        <f>_xlfn.XLOOKUP(Orders!B2023,Customers!A2023:A3022,Customers!C2023:C3022,"Country not Found",0)</f>
        <v>Country not Found</v>
      </c>
      <c r="G2023" s="7" t="str">
        <f>_xlfn.XLOOKUP(C2023,Products!A2023:A2522,Products!B2023:B2522,"Product Missing",0)</f>
        <v>Product Missing</v>
      </c>
      <c r="H2023" s="7" t="str">
        <f>_xlfn.XLOOKUP(C2023,Products!A2023:A2522,Products!C2023:C2522,"Category Missing",0)</f>
        <v>Category Missing</v>
      </c>
      <c r="I2023" s="11" t="str">
        <f>_xlfn.XLOOKUP(Orders!C2023,Products!A2023:A2522,Products!D2023:D2522,"Price Missing",0)</f>
        <v>Price Missing</v>
      </c>
      <c r="J2023" s="19">
        <f t="shared" si="31"/>
        <v>0</v>
      </c>
    </row>
    <row r="2024" spans="1:10" x14ac:dyDescent="0.35">
      <c r="A2024" s="4" t="s">
        <v>6044</v>
      </c>
      <c r="B2024" s="7" t="s">
        <v>461</v>
      </c>
      <c r="C2024" s="7" t="s">
        <v>3682</v>
      </c>
      <c r="D2024" s="5">
        <v>3</v>
      </c>
      <c r="E2024" s="7" t="str">
        <f>_xlfn.XLOOKUP(B2024,Customers!A2024:A3023,Customers!B2024:B3023,"Customer Not Found",0)</f>
        <v>Customer Not Found</v>
      </c>
      <c r="F2024" s="7" t="str">
        <f>_xlfn.XLOOKUP(Orders!B2024,Customers!A2024:A3023,Customers!C2024:C3023,"Country not Found",0)</f>
        <v>Country not Found</v>
      </c>
      <c r="G2024" s="7" t="str">
        <f>_xlfn.XLOOKUP(C2024,Products!A2024:A2523,Products!B2024:B2523,"Product Missing",0)</f>
        <v>Product Missing</v>
      </c>
      <c r="H2024" s="7" t="str">
        <f>_xlfn.XLOOKUP(C2024,Products!A2024:A2523,Products!C2024:C2523,"Category Missing",0)</f>
        <v>Category Missing</v>
      </c>
      <c r="I2024" s="11" t="str">
        <f>_xlfn.XLOOKUP(Orders!C2024,Products!A2024:A2523,Products!D2024:D2523,"Price Missing",0)</f>
        <v>Price Missing</v>
      </c>
      <c r="J2024" s="19">
        <f t="shared" si="31"/>
        <v>0</v>
      </c>
    </row>
    <row r="2025" spans="1:10" x14ac:dyDescent="0.35">
      <c r="A2025" s="4" t="s">
        <v>6045</v>
      </c>
      <c r="B2025" s="7" t="s">
        <v>1685</v>
      </c>
      <c r="C2025" s="7" t="s">
        <v>3530</v>
      </c>
      <c r="D2025" s="5">
        <v>1</v>
      </c>
      <c r="E2025" s="7" t="str">
        <f>_xlfn.XLOOKUP(B2025,Customers!A2025:A3024,Customers!B2025:B3024,"Customer Not Found",0)</f>
        <v>Customer Not Found</v>
      </c>
      <c r="F2025" s="7" t="str">
        <f>_xlfn.XLOOKUP(Orders!B2025,Customers!A2025:A3024,Customers!C2025:C3024,"Country not Found",0)</f>
        <v>Country not Found</v>
      </c>
      <c r="G2025" s="7" t="str">
        <f>_xlfn.XLOOKUP(C2025,Products!A2025:A2524,Products!B2025:B2524,"Product Missing",0)</f>
        <v>Product Missing</v>
      </c>
      <c r="H2025" s="7" t="str">
        <f>_xlfn.XLOOKUP(C2025,Products!A2025:A2524,Products!C2025:C2524,"Category Missing",0)</f>
        <v>Category Missing</v>
      </c>
      <c r="I2025" s="11" t="str">
        <f>_xlfn.XLOOKUP(Orders!C2025,Products!A2025:A2524,Products!D2025:D2524,"Price Missing",0)</f>
        <v>Price Missing</v>
      </c>
      <c r="J2025" s="19">
        <f t="shared" si="31"/>
        <v>0</v>
      </c>
    </row>
    <row r="2026" spans="1:10" x14ac:dyDescent="0.35">
      <c r="A2026" s="4" t="s">
        <v>6046</v>
      </c>
      <c r="B2026" s="7" t="s">
        <v>2510</v>
      </c>
      <c r="C2026" s="7" t="s">
        <v>3162</v>
      </c>
      <c r="D2026" s="5">
        <v>3</v>
      </c>
      <c r="E2026" s="7" t="str">
        <f>_xlfn.XLOOKUP(B2026,Customers!A2026:A3025,Customers!B2026:B3025,"Customer Not Found",0)</f>
        <v>Customer Not Found</v>
      </c>
      <c r="F2026" s="7" t="str">
        <f>_xlfn.XLOOKUP(Orders!B2026,Customers!A2026:A3025,Customers!C2026:C3025,"Country not Found",0)</f>
        <v>Country not Found</v>
      </c>
      <c r="G2026" s="7" t="str">
        <f>_xlfn.XLOOKUP(C2026,Products!A2026:A2525,Products!B2026:B2525,"Product Missing",0)</f>
        <v>Product Missing</v>
      </c>
      <c r="H2026" s="7" t="str">
        <f>_xlfn.XLOOKUP(C2026,Products!A2026:A2525,Products!C2026:C2525,"Category Missing",0)</f>
        <v>Category Missing</v>
      </c>
      <c r="I2026" s="11" t="str">
        <f>_xlfn.XLOOKUP(Orders!C2026,Products!A2026:A2525,Products!D2026:D2525,"Price Missing",0)</f>
        <v>Price Missing</v>
      </c>
      <c r="J2026" s="19">
        <f t="shared" si="31"/>
        <v>0</v>
      </c>
    </row>
    <row r="2027" spans="1:10" x14ac:dyDescent="0.35">
      <c r="A2027" s="4" t="s">
        <v>6047</v>
      </c>
      <c r="B2027" s="7" t="s">
        <v>1451</v>
      </c>
      <c r="C2027" s="7" t="s">
        <v>3668</v>
      </c>
      <c r="D2027" s="5">
        <v>2</v>
      </c>
      <c r="E2027" s="7" t="str">
        <f>_xlfn.XLOOKUP(B2027,Customers!A2027:A3026,Customers!B2027:B3026,"Customer Not Found",0)</f>
        <v>Customer Not Found</v>
      </c>
      <c r="F2027" s="7" t="str">
        <f>_xlfn.XLOOKUP(Orders!B2027,Customers!A2027:A3026,Customers!C2027:C3026,"Country not Found",0)</f>
        <v>Country not Found</v>
      </c>
      <c r="G2027" s="7" t="str">
        <f>_xlfn.XLOOKUP(C2027,Products!A2027:A2526,Products!B2027:B2526,"Product Missing",0)</f>
        <v>Product Missing</v>
      </c>
      <c r="H2027" s="7" t="str">
        <f>_xlfn.XLOOKUP(C2027,Products!A2027:A2526,Products!C2027:C2526,"Category Missing",0)</f>
        <v>Category Missing</v>
      </c>
      <c r="I2027" s="11" t="str">
        <f>_xlfn.XLOOKUP(Orders!C2027,Products!A2027:A2526,Products!D2027:D2526,"Price Missing",0)</f>
        <v>Price Missing</v>
      </c>
      <c r="J2027" s="19">
        <f t="shared" si="31"/>
        <v>0</v>
      </c>
    </row>
    <row r="2028" spans="1:10" x14ac:dyDescent="0.35">
      <c r="A2028" s="4" t="s">
        <v>6048</v>
      </c>
      <c r="B2028" s="7" t="s">
        <v>2135</v>
      </c>
      <c r="C2028" s="7" t="s">
        <v>3428</v>
      </c>
      <c r="D2028" s="5">
        <v>6</v>
      </c>
      <c r="E2028" s="7" t="str">
        <f>_xlfn.XLOOKUP(B2028,Customers!A2028:A3027,Customers!B2028:B3027,"Customer Not Found",0)</f>
        <v>Customer Not Found</v>
      </c>
      <c r="F2028" s="7" t="str">
        <f>_xlfn.XLOOKUP(Orders!B2028,Customers!A2028:A3027,Customers!C2028:C3027,"Country not Found",0)</f>
        <v>Country not Found</v>
      </c>
      <c r="G2028" s="7" t="str">
        <f>_xlfn.XLOOKUP(C2028,Products!A2028:A2527,Products!B2028:B2527,"Product Missing",0)</f>
        <v>Product Missing</v>
      </c>
      <c r="H2028" s="7" t="str">
        <f>_xlfn.XLOOKUP(C2028,Products!A2028:A2527,Products!C2028:C2527,"Category Missing",0)</f>
        <v>Category Missing</v>
      </c>
      <c r="I2028" s="11" t="str">
        <f>_xlfn.XLOOKUP(Orders!C2028,Products!A2028:A2527,Products!D2028:D2527,"Price Missing",0)</f>
        <v>Price Missing</v>
      </c>
      <c r="J2028" s="19">
        <f t="shared" si="31"/>
        <v>0</v>
      </c>
    </row>
    <row r="2029" spans="1:10" x14ac:dyDescent="0.35">
      <c r="A2029" s="4" t="s">
        <v>6049</v>
      </c>
      <c r="B2029" s="7" t="s">
        <v>2165</v>
      </c>
      <c r="C2029" s="7" t="s">
        <v>3086</v>
      </c>
      <c r="D2029" s="5">
        <v>9</v>
      </c>
      <c r="E2029" s="7" t="str">
        <f>_xlfn.XLOOKUP(B2029,Customers!A2029:A3028,Customers!B2029:B3028,"Customer Not Found",0)</f>
        <v>Customer Not Found</v>
      </c>
      <c r="F2029" s="7" t="str">
        <f>_xlfn.XLOOKUP(Orders!B2029,Customers!A2029:A3028,Customers!C2029:C3028,"Country not Found",0)</f>
        <v>Country not Found</v>
      </c>
      <c r="G2029" s="7" t="str">
        <f>_xlfn.XLOOKUP(C2029,Products!A2029:A2528,Products!B2029:B2528,"Product Missing",0)</f>
        <v>Product Missing</v>
      </c>
      <c r="H2029" s="7" t="str">
        <f>_xlfn.XLOOKUP(C2029,Products!A2029:A2528,Products!C2029:C2528,"Category Missing",0)</f>
        <v>Category Missing</v>
      </c>
      <c r="I2029" s="11" t="str">
        <f>_xlfn.XLOOKUP(Orders!C2029,Products!A2029:A2528,Products!D2029:D2528,"Price Missing",0)</f>
        <v>Price Missing</v>
      </c>
      <c r="J2029" s="19">
        <f t="shared" si="31"/>
        <v>0</v>
      </c>
    </row>
    <row r="2030" spans="1:10" x14ac:dyDescent="0.35">
      <c r="A2030" s="4" t="s">
        <v>6050</v>
      </c>
      <c r="B2030" s="7" t="s">
        <v>2609</v>
      </c>
      <c r="C2030" s="7" t="s">
        <v>3176</v>
      </c>
      <c r="D2030" s="5">
        <v>7</v>
      </c>
      <c r="E2030" s="7" t="str">
        <f>_xlfn.XLOOKUP(B2030,Customers!A2030:A3029,Customers!B2030:B3029,"Customer Not Found",0)</f>
        <v>Customer Not Found</v>
      </c>
      <c r="F2030" s="7" t="str">
        <f>_xlfn.XLOOKUP(Orders!B2030,Customers!A2030:A3029,Customers!C2030:C3029,"Country not Found",0)</f>
        <v>Country not Found</v>
      </c>
      <c r="G2030" s="7" t="str">
        <f>_xlfn.XLOOKUP(C2030,Products!A2030:A2529,Products!B2030:B2529,"Product Missing",0)</f>
        <v>Product Missing</v>
      </c>
      <c r="H2030" s="7" t="str">
        <f>_xlfn.XLOOKUP(C2030,Products!A2030:A2529,Products!C2030:C2529,"Category Missing",0)</f>
        <v>Category Missing</v>
      </c>
      <c r="I2030" s="11" t="str">
        <f>_xlfn.XLOOKUP(Orders!C2030,Products!A2030:A2529,Products!D2030:D2529,"Price Missing",0)</f>
        <v>Price Missing</v>
      </c>
      <c r="J2030" s="19">
        <f t="shared" si="31"/>
        <v>0</v>
      </c>
    </row>
    <row r="2031" spans="1:10" x14ac:dyDescent="0.35">
      <c r="A2031" s="4" t="s">
        <v>6051</v>
      </c>
      <c r="B2031" s="7" t="s">
        <v>2429</v>
      </c>
      <c r="C2031" s="7" t="s">
        <v>3738</v>
      </c>
      <c r="D2031" s="5">
        <v>6</v>
      </c>
      <c r="E2031" s="7" t="str">
        <f>_xlfn.XLOOKUP(B2031,Customers!A2031:A3030,Customers!B2031:B3030,"Customer Not Found",0)</f>
        <v>Customer Not Found</v>
      </c>
      <c r="F2031" s="7" t="str">
        <f>_xlfn.XLOOKUP(Orders!B2031,Customers!A2031:A3030,Customers!C2031:C3030,"Country not Found",0)</f>
        <v>Country not Found</v>
      </c>
      <c r="G2031" s="7" t="str">
        <f>_xlfn.XLOOKUP(C2031,Products!A2031:A2530,Products!B2031:B2530,"Product Missing",0)</f>
        <v>Product Missing</v>
      </c>
      <c r="H2031" s="7" t="str">
        <f>_xlfn.XLOOKUP(C2031,Products!A2031:A2530,Products!C2031:C2530,"Category Missing",0)</f>
        <v>Category Missing</v>
      </c>
      <c r="I2031" s="11" t="str">
        <f>_xlfn.XLOOKUP(Orders!C2031,Products!A2031:A2530,Products!D2031:D2530,"Price Missing",0)</f>
        <v>Price Missing</v>
      </c>
      <c r="J2031" s="19">
        <f t="shared" si="31"/>
        <v>0</v>
      </c>
    </row>
    <row r="2032" spans="1:10" x14ac:dyDescent="0.35">
      <c r="A2032" s="4" t="s">
        <v>6052</v>
      </c>
      <c r="B2032" s="7" t="s">
        <v>329</v>
      </c>
      <c r="C2032" s="7" t="s">
        <v>3990</v>
      </c>
      <c r="D2032" s="5">
        <v>9</v>
      </c>
      <c r="E2032" s="7" t="str">
        <f>_xlfn.XLOOKUP(B2032,Customers!A2032:A3031,Customers!B2032:B3031,"Customer Not Found",0)</f>
        <v>Customer Not Found</v>
      </c>
      <c r="F2032" s="7" t="str">
        <f>_xlfn.XLOOKUP(Orders!B2032,Customers!A2032:A3031,Customers!C2032:C3031,"Country not Found",0)</f>
        <v>Country not Found</v>
      </c>
      <c r="G2032" s="7" t="str">
        <f>_xlfn.XLOOKUP(C2032,Products!A2032:A2531,Products!B2032:B2531,"Product Missing",0)</f>
        <v>Product Missing</v>
      </c>
      <c r="H2032" s="7" t="str">
        <f>_xlfn.XLOOKUP(C2032,Products!A2032:A2531,Products!C2032:C2531,"Category Missing",0)</f>
        <v>Category Missing</v>
      </c>
      <c r="I2032" s="11" t="str">
        <f>_xlfn.XLOOKUP(Orders!C2032,Products!A2032:A2531,Products!D2032:D2531,"Price Missing",0)</f>
        <v>Price Missing</v>
      </c>
      <c r="J2032" s="19">
        <f t="shared" si="31"/>
        <v>0</v>
      </c>
    </row>
    <row r="2033" spans="1:10" x14ac:dyDescent="0.35">
      <c r="A2033" s="4" t="s">
        <v>6053</v>
      </c>
      <c r="B2033" s="7" t="s">
        <v>419</v>
      </c>
      <c r="C2033" s="7" t="s">
        <v>3132</v>
      </c>
      <c r="D2033" s="5">
        <v>3</v>
      </c>
      <c r="E2033" s="7" t="str">
        <f>_xlfn.XLOOKUP(B2033,Customers!A2033:A3032,Customers!B2033:B3032,"Customer Not Found",0)</f>
        <v>Customer Not Found</v>
      </c>
      <c r="F2033" s="7" t="str">
        <f>_xlfn.XLOOKUP(Orders!B2033,Customers!A2033:A3032,Customers!C2033:C3032,"Country not Found",0)</f>
        <v>Country not Found</v>
      </c>
      <c r="G2033" s="7" t="str">
        <f>_xlfn.XLOOKUP(C2033,Products!A2033:A2532,Products!B2033:B2532,"Product Missing",0)</f>
        <v>Product Missing</v>
      </c>
      <c r="H2033" s="7" t="str">
        <f>_xlfn.XLOOKUP(C2033,Products!A2033:A2532,Products!C2033:C2532,"Category Missing",0)</f>
        <v>Category Missing</v>
      </c>
      <c r="I2033" s="11" t="str">
        <f>_xlfn.XLOOKUP(Orders!C2033,Products!A2033:A2532,Products!D2033:D2532,"Price Missing",0)</f>
        <v>Price Missing</v>
      </c>
      <c r="J2033" s="19">
        <f t="shared" si="31"/>
        <v>0</v>
      </c>
    </row>
    <row r="2034" spans="1:10" x14ac:dyDescent="0.35">
      <c r="A2034" s="4" t="s">
        <v>6054</v>
      </c>
      <c r="B2034" s="7" t="s">
        <v>2000</v>
      </c>
      <c r="C2034" s="7" t="s">
        <v>3852</v>
      </c>
      <c r="D2034" s="5">
        <v>10</v>
      </c>
      <c r="E2034" s="7" t="str">
        <f>_xlfn.XLOOKUP(B2034,Customers!A2034:A3033,Customers!B2034:B3033,"Customer Not Found",0)</f>
        <v>Customer Not Found</v>
      </c>
      <c r="F2034" s="7" t="str">
        <f>_xlfn.XLOOKUP(Orders!B2034,Customers!A2034:A3033,Customers!C2034:C3033,"Country not Found",0)</f>
        <v>Country not Found</v>
      </c>
      <c r="G2034" s="7" t="str">
        <f>_xlfn.XLOOKUP(C2034,Products!A2034:A2533,Products!B2034:B2533,"Product Missing",0)</f>
        <v>Product Missing</v>
      </c>
      <c r="H2034" s="7" t="str">
        <f>_xlfn.XLOOKUP(C2034,Products!A2034:A2533,Products!C2034:C2533,"Category Missing",0)</f>
        <v>Category Missing</v>
      </c>
      <c r="I2034" s="11" t="str">
        <f>_xlfn.XLOOKUP(Orders!C2034,Products!A2034:A2533,Products!D2034:D2533,"Price Missing",0)</f>
        <v>Price Missing</v>
      </c>
      <c r="J2034" s="19">
        <f t="shared" si="31"/>
        <v>0</v>
      </c>
    </row>
    <row r="2035" spans="1:10" x14ac:dyDescent="0.35">
      <c r="A2035" s="4" t="s">
        <v>6055</v>
      </c>
      <c r="B2035" s="7" t="s">
        <v>2441</v>
      </c>
      <c r="C2035" s="7" t="s">
        <v>3864</v>
      </c>
      <c r="D2035" s="5">
        <v>10</v>
      </c>
      <c r="E2035" s="7" t="str">
        <f>_xlfn.XLOOKUP(B2035,Customers!A2035:A3034,Customers!B2035:B3034,"Customer Not Found",0)</f>
        <v>Customer Not Found</v>
      </c>
      <c r="F2035" s="7" t="str">
        <f>_xlfn.XLOOKUP(Orders!B2035,Customers!A2035:A3034,Customers!C2035:C3034,"Country not Found",0)</f>
        <v>Country not Found</v>
      </c>
      <c r="G2035" s="7" t="str">
        <f>_xlfn.XLOOKUP(C2035,Products!A2035:A2534,Products!B2035:B2534,"Product Missing",0)</f>
        <v>Product Missing</v>
      </c>
      <c r="H2035" s="7" t="str">
        <f>_xlfn.XLOOKUP(C2035,Products!A2035:A2534,Products!C2035:C2534,"Category Missing",0)</f>
        <v>Category Missing</v>
      </c>
      <c r="I2035" s="11" t="str">
        <f>_xlfn.XLOOKUP(Orders!C2035,Products!A2035:A2534,Products!D2035:D2534,"Price Missing",0)</f>
        <v>Price Missing</v>
      </c>
      <c r="J2035" s="19">
        <f t="shared" si="31"/>
        <v>0</v>
      </c>
    </row>
    <row r="2036" spans="1:10" x14ac:dyDescent="0.35">
      <c r="A2036" s="4" t="s">
        <v>6056</v>
      </c>
      <c r="B2036" s="7" t="s">
        <v>740</v>
      </c>
      <c r="C2036" s="7" t="s">
        <v>3810</v>
      </c>
      <c r="D2036" s="5">
        <v>7</v>
      </c>
      <c r="E2036" s="7" t="str">
        <f>_xlfn.XLOOKUP(B2036,Customers!A2036:A3035,Customers!B2036:B3035,"Customer Not Found",0)</f>
        <v>Customer Not Found</v>
      </c>
      <c r="F2036" s="7" t="str">
        <f>_xlfn.XLOOKUP(Orders!B2036,Customers!A2036:A3035,Customers!C2036:C3035,"Country not Found",0)</f>
        <v>Country not Found</v>
      </c>
      <c r="G2036" s="7" t="str">
        <f>_xlfn.XLOOKUP(C2036,Products!A2036:A2535,Products!B2036:B2535,"Product Missing",0)</f>
        <v>Product Missing</v>
      </c>
      <c r="H2036" s="7" t="str">
        <f>_xlfn.XLOOKUP(C2036,Products!A2036:A2535,Products!C2036:C2535,"Category Missing",0)</f>
        <v>Category Missing</v>
      </c>
      <c r="I2036" s="11" t="str">
        <f>_xlfn.XLOOKUP(Orders!C2036,Products!A2036:A2535,Products!D2036:D2535,"Price Missing",0)</f>
        <v>Price Missing</v>
      </c>
      <c r="J2036" s="19">
        <f t="shared" si="31"/>
        <v>0</v>
      </c>
    </row>
    <row r="2037" spans="1:10" x14ac:dyDescent="0.35">
      <c r="A2037" s="4" t="s">
        <v>6057</v>
      </c>
      <c r="B2037" s="7" t="s">
        <v>650</v>
      </c>
      <c r="C2037" s="7" t="s">
        <v>3280</v>
      </c>
      <c r="D2037" s="5">
        <v>5</v>
      </c>
      <c r="E2037" s="7" t="str">
        <f>_xlfn.XLOOKUP(B2037,Customers!A2037:A3036,Customers!B2037:B3036,"Customer Not Found",0)</f>
        <v>Customer Not Found</v>
      </c>
      <c r="F2037" s="7" t="str">
        <f>_xlfn.XLOOKUP(Orders!B2037,Customers!A2037:A3036,Customers!C2037:C3036,"Country not Found",0)</f>
        <v>Country not Found</v>
      </c>
      <c r="G2037" s="7" t="str">
        <f>_xlfn.XLOOKUP(C2037,Products!A2037:A2536,Products!B2037:B2536,"Product Missing",0)</f>
        <v>Product Missing</v>
      </c>
      <c r="H2037" s="7" t="str">
        <f>_xlfn.XLOOKUP(C2037,Products!A2037:A2536,Products!C2037:C2536,"Category Missing",0)</f>
        <v>Category Missing</v>
      </c>
      <c r="I2037" s="11" t="str">
        <f>_xlfn.XLOOKUP(Orders!C2037,Products!A2037:A2536,Products!D2037:D2536,"Price Missing",0)</f>
        <v>Price Missing</v>
      </c>
      <c r="J2037" s="19">
        <f t="shared" si="31"/>
        <v>0</v>
      </c>
    </row>
    <row r="2038" spans="1:10" x14ac:dyDescent="0.35">
      <c r="A2038" s="4" t="s">
        <v>6058</v>
      </c>
      <c r="B2038" s="7" t="s">
        <v>67</v>
      </c>
      <c r="C2038" s="7" t="s">
        <v>3944</v>
      </c>
      <c r="D2038" s="5">
        <v>7</v>
      </c>
      <c r="E2038" s="7" t="str">
        <f>_xlfn.XLOOKUP(B2038,Customers!A2038:A3037,Customers!B2038:B3037,"Customer Not Found",0)</f>
        <v>Customer Not Found</v>
      </c>
      <c r="F2038" s="7" t="str">
        <f>_xlfn.XLOOKUP(Orders!B2038,Customers!A2038:A3037,Customers!C2038:C3037,"Country not Found",0)</f>
        <v>Country not Found</v>
      </c>
      <c r="G2038" s="7" t="str">
        <f>_xlfn.XLOOKUP(C2038,Products!A2038:A2537,Products!B2038:B2537,"Product Missing",0)</f>
        <v>Product Missing</v>
      </c>
      <c r="H2038" s="7" t="str">
        <f>_xlfn.XLOOKUP(C2038,Products!A2038:A2537,Products!C2038:C2537,"Category Missing",0)</f>
        <v>Category Missing</v>
      </c>
      <c r="I2038" s="11" t="str">
        <f>_xlfn.XLOOKUP(Orders!C2038,Products!A2038:A2537,Products!D2038:D2537,"Price Missing",0)</f>
        <v>Price Missing</v>
      </c>
      <c r="J2038" s="19">
        <f t="shared" si="31"/>
        <v>0</v>
      </c>
    </row>
    <row r="2039" spans="1:10" x14ac:dyDescent="0.35">
      <c r="A2039" s="4" t="s">
        <v>6059</v>
      </c>
      <c r="B2039" s="7" t="s">
        <v>70</v>
      </c>
      <c r="C2039" s="7" t="s">
        <v>3542</v>
      </c>
      <c r="D2039" s="5">
        <v>2</v>
      </c>
      <c r="E2039" s="7" t="str">
        <f>_xlfn.XLOOKUP(B2039,Customers!A2039:A3038,Customers!B2039:B3038,"Customer Not Found",0)</f>
        <v>Customer Not Found</v>
      </c>
      <c r="F2039" s="7" t="str">
        <f>_xlfn.XLOOKUP(Orders!B2039,Customers!A2039:A3038,Customers!C2039:C3038,"Country not Found",0)</f>
        <v>Country not Found</v>
      </c>
      <c r="G2039" s="7" t="str">
        <f>_xlfn.XLOOKUP(C2039,Products!A2039:A2538,Products!B2039:B2538,"Product Missing",0)</f>
        <v>Product Missing</v>
      </c>
      <c r="H2039" s="7" t="str">
        <f>_xlfn.XLOOKUP(C2039,Products!A2039:A2538,Products!C2039:C2538,"Category Missing",0)</f>
        <v>Category Missing</v>
      </c>
      <c r="I2039" s="11" t="str">
        <f>_xlfn.XLOOKUP(Orders!C2039,Products!A2039:A2538,Products!D2039:D2538,"Price Missing",0)</f>
        <v>Price Missing</v>
      </c>
      <c r="J2039" s="19">
        <f t="shared" si="31"/>
        <v>0</v>
      </c>
    </row>
    <row r="2040" spans="1:10" x14ac:dyDescent="0.35">
      <c r="A2040" s="4" t="s">
        <v>6060</v>
      </c>
      <c r="B2040" s="7" t="s">
        <v>2294</v>
      </c>
      <c r="C2040" s="7" t="s">
        <v>3862</v>
      </c>
      <c r="D2040" s="5">
        <v>1</v>
      </c>
      <c r="E2040" s="7" t="str">
        <f>_xlfn.XLOOKUP(B2040,Customers!A2040:A3039,Customers!B2040:B3039,"Customer Not Found",0)</f>
        <v>Customer Not Found</v>
      </c>
      <c r="F2040" s="7" t="str">
        <f>_xlfn.XLOOKUP(Orders!B2040,Customers!A2040:A3039,Customers!C2040:C3039,"Country not Found",0)</f>
        <v>Country not Found</v>
      </c>
      <c r="G2040" s="7" t="str">
        <f>_xlfn.XLOOKUP(C2040,Products!A2040:A2539,Products!B2040:B2539,"Product Missing",0)</f>
        <v>Product Missing</v>
      </c>
      <c r="H2040" s="7" t="str">
        <f>_xlfn.XLOOKUP(C2040,Products!A2040:A2539,Products!C2040:C2539,"Category Missing",0)</f>
        <v>Category Missing</v>
      </c>
      <c r="I2040" s="11" t="str">
        <f>_xlfn.XLOOKUP(Orders!C2040,Products!A2040:A2539,Products!D2040:D2539,"Price Missing",0)</f>
        <v>Price Missing</v>
      </c>
      <c r="J2040" s="19">
        <f t="shared" si="31"/>
        <v>0</v>
      </c>
    </row>
    <row r="2041" spans="1:10" x14ac:dyDescent="0.35">
      <c r="A2041" s="4" t="s">
        <v>6061</v>
      </c>
      <c r="B2041" s="7" t="s">
        <v>785</v>
      </c>
      <c r="C2041" s="7" t="s">
        <v>3258</v>
      </c>
      <c r="D2041" s="5">
        <v>4</v>
      </c>
      <c r="E2041" s="7" t="str">
        <f>_xlfn.XLOOKUP(B2041,Customers!A2041:A3040,Customers!B2041:B3040,"Customer Not Found",0)</f>
        <v>Customer Not Found</v>
      </c>
      <c r="F2041" s="7" t="str">
        <f>_xlfn.XLOOKUP(Orders!B2041,Customers!A2041:A3040,Customers!C2041:C3040,"Country not Found",0)</f>
        <v>Country not Found</v>
      </c>
      <c r="G2041" s="7" t="str">
        <f>_xlfn.XLOOKUP(C2041,Products!A2041:A2540,Products!B2041:B2540,"Product Missing",0)</f>
        <v>Product Missing</v>
      </c>
      <c r="H2041" s="7" t="str">
        <f>_xlfn.XLOOKUP(C2041,Products!A2041:A2540,Products!C2041:C2540,"Category Missing",0)</f>
        <v>Category Missing</v>
      </c>
      <c r="I2041" s="11" t="str">
        <f>_xlfn.XLOOKUP(Orders!C2041,Products!A2041:A2540,Products!D2041:D2540,"Price Missing",0)</f>
        <v>Price Missing</v>
      </c>
      <c r="J2041" s="19">
        <f t="shared" si="31"/>
        <v>0</v>
      </c>
    </row>
    <row r="2042" spans="1:10" x14ac:dyDescent="0.35">
      <c r="A2042" s="4" t="s">
        <v>6062</v>
      </c>
      <c r="B2042" s="7" t="s">
        <v>944</v>
      </c>
      <c r="C2042" s="7" t="s">
        <v>3350</v>
      </c>
      <c r="D2042" s="5">
        <v>6</v>
      </c>
      <c r="E2042" s="7" t="str">
        <f>_xlfn.XLOOKUP(B2042,Customers!A2042:A3041,Customers!B2042:B3041,"Customer Not Found",0)</f>
        <v>Customer Not Found</v>
      </c>
      <c r="F2042" s="7" t="str">
        <f>_xlfn.XLOOKUP(Orders!B2042,Customers!A2042:A3041,Customers!C2042:C3041,"Country not Found",0)</f>
        <v>Country not Found</v>
      </c>
      <c r="G2042" s="7" t="str">
        <f>_xlfn.XLOOKUP(C2042,Products!A2042:A2541,Products!B2042:B2541,"Product Missing",0)</f>
        <v>Product Missing</v>
      </c>
      <c r="H2042" s="7" t="str">
        <f>_xlfn.XLOOKUP(C2042,Products!A2042:A2541,Products!C2042:C2541,"Category Missing",0)</f>
        <v>Category Missing</v>
      </c>
      <c r="I2042" s="11" t="str">
        <f>_xlfn.XLOOKUP(Orders!C2042,Products!A2042:A2541,Products!D2042:D2541,"Price Missing",0)</f>
        <v>Price Missing</v>
      </c>
      <c r="J2042" s="19">
        <f t="shared" si="31"/>
        <v>0</v>
      </c>
    </row>
    <row r="2043" spans="1:10" x14ac:dyDescent="0.35">
      <c r="A2043" s="4" t="s">
        <v>6063</v>
      </c>
      <c r="B2043" s="7" t="s">
        <v>515</v>
      </c>
      <c r="C2043" s="7" t="s">
        <v>3958</v>
      </c>
      <c r="D2043" s="5">
        <v>8</v>
      </c>
      <c r="E2043" s="7" t="str">
        <f>_xlfn.XLOOKUP(B2043,Customers!A2043:A3042,Customers!B2043:B3042,"Customer Not Found",0)</f>
        <v>Customer Not Found</v>
      </c>
      <c r="F2043" s="7" t="str">
        <f>_xlfn.XLOOKUP(Orders!B2043,Customers!A2043:A3042,Customers!C2043:C3042,"Country not Found",0)</f>
        <v>Country not Found</v>
      </c>
      <c r="G2043" s="7" t="str">
        <f>_xlfn.XLOOKUP(C2043,Products!A2043:A2542,Products!B2043:B2542,"Product Missing",0)</f>
        <v>Product Missing</v>
      </c>
      <c r="H2043" s="7" t="str">
        <f>_xlfn.XLOOKUP(C2043,Products!A2043:A2542,Products!C2043:C2542,"Category Missing",0)</f>
        <v>Category Missing</v>
      </c>
      <c r="I2043" s="11" t="str">
        <f>_xlfn.XLOOKUP(Orders!C2043,Products!A2043:A2542,Products!D2043:D2542,"Price Missing",0)</f>
        <v>Price Missing</v>
      </c>
      <c r="J2043" s="19">
        <f t="shared" si="31"/>
        <v>0</v>
      </c>
    </row>
    <row r="2044" spans="1:10" x14ac:dyDescent="0.35">
      <c r="A2044" s="4" t="s">
        <v>6064</v>
      </c>
      <c r="B2044" s="7" t="s">
        <v>2339</v>
      </c>
      <c r="C2044" s="7" t="s">
        <v>3238</v>
      </c>
      <c r="D2044" s="5">
        <v>4</v>
      </c>
      <c r="E2044" s="7" t="str">
        <f>_xlfn.XLOOKUP(B2044,Customers!A2044:A3043,Customers!B2044:B3043,"Customer Not Found",0)</f>
        <v>Customer Not Found</v>
      </c>
      <c r="F2044" s="7" t="str">
        <f>_xlfn.XLOOKUP(Orders!B2044,Customers!A2044:A3043,Customers!C2044:C3043,"Country not Found",0)</f>
        <v>Country not Found</v>
      </c>
      <c r="G2044" s="7" t="str">
        <f>_xlfn.XLOOKUP(C2044,Products!A2044:A2543,Products!B2044:B2543,"Product Missing",0)</f>
        <v>Product Missing</v>
      </c>
      <c r="H2044" s="7" t="str">
        <f>_xlfn.XLOOKUP(C2044,Products!A2044:A2543,Products!C2044:C2543,"Category Missing",0)</f>
        <v>Category Missing</v>
      </c>
      <c r="I2044" s="11" t="str">
        <f>_xlfn.XLOOKUP(Orders!C2044,Products!A2044:A2543,Products!D2044:D2543,"Price Missing",0)</f>
        <v>Price Missing</v>
      </c>
      <c r="J2044" s="19">
        <f t="shared" si="31"/>
        <v>0</v>
      </c>
    </row>
    <row r="2045" spans="1:10" x14ac:dyDescent="0.35">
      <c r="A2045" s="4" t="s">
        <v>6065</v>
      </c>
      <c r="B2045" s="7" t="s">
        <v>566</v>
      </c>
      <c r="C2045" s="7" t="s">
        <v>3932</v>
      </c>
      <c r="D2045" s="5">
        <v>4</v>
      </c>
      <c r="E2045" s="7" t="str">
        <f>_xlfn.XLOOKUP(B2045,Customers!A2045:A3044,Customers!B2045:B3044,"Customer Not Found",0)</f>
        <v>Customer Not Found</v>
      </c>
      <c r="F2045" s="7" t="str">
        <f>_xlfn.XLOOKUP(Orders!B2045,Customers!A2045:A3044,Customers!C2045:C3044,"Country not Found",0)</f>
        <v>Country not Found</v>
      </c>
      <c r="G2045" s="7" t="str">
        <f>_xlfn.XLOOKUP(C2045,Products!A2045:A2544,Products!B2045:B2544,"Product Missing",0)</f>
        <v>Product Missing</v>
      </c>
      <c r="H2045" s="7" t="str">
        <f>_xlfn.XLOOKUP(C2045,Products!A2045:A2544,Products!C2045:C2544,"Category Missing",0)</f>
        <v>Category Missing</v>
      </c>
      <c r="I2045" s="11" t="str">
        <f>_xlfn.XLOOKUP(Orders!C2045,Products!A2045:A2544,Products!D2045:D2544,"Price Missing",0)</f>
        <v>Price Missing</v>
      </c>
      <c r="J2045" s="19">
        <f t="shared" si="31"/>
        <v>0</v>
      </c>
    </row>
    <row r="2046" spans="1:10" x14ac:dyDescent="0.35">
      <c r="A2046" s="4" t="s">
        <v>6066</v>
      </c>
      <c r="B2046" s="7" t="s">
        <v>1469</v>
      </c>
      <c r="C2046" s="7" t="s">
        <v>3166</v>
      </c>
      <c r="D2046" s="5">
        <v>3</v>
      </c>
      <c r="E2046" s="7" t="str">
        <f>_xlfn.XLOOKUP(B2046,Customers!A2046:A3045,Customers!B2046:B3045,"Customer Not Found",0)</f>
        <v>Customer Not Found</v>
      </c>
      <c r="F2046" s="7" t="str">
        <f>_xlfn.XLOOKUP(Orders!B2046,Customers!A2046:A3045,Customers!C2046:C3045,"Country not Found",0)</f>
        <v>Country not Found</v>
      </c>
      <c r="G2046" s="7" t="str">
        <f>_xlfn.XLOOKUP(C2046,Products!A2046:A2545,Products!B2046:B2545,"Product Missing",0)</f>
        <v>Product Missing</v>
      </c>
      <c r="H2046" s="7" t="str">
        <f>_xlfn.XLOOKUP(C2046,Products!A2046:A2545,Products!C2046:C2545,"Category Missing",0)</f>
        <v>Category Missing</v>
      </c>
      <c r="I2046" s="11" t="str">
        <f>_xlfn.XLOOKUP(Orders!C2046,Products!A2046:A2545,Products!D2046:D2545,"Price Missing",0)</f>
        <v>Price Missing</v>
      </c>
      <c r="J2046" s="19">
        <f t="shared" si="31"/>
        <v>0</v>
      </c>
    </row>
    <row r="2047" spans="1:10" x14ac:dyDescent="0.35">
      <c r="A2047" s="4" t="s">
        <v>6067</v>
      </c>
      <c r="B2047" s="7" t="s">
        <v>1163</v>
      </c>
      <c r="C2047" s="7" t="s">
        <v>3064</v>
      </c>
      <c r="D2047" s="5">
        <v>2</v>
      </c>
      <c r="E2047" s="7" t="str">
        <f>_xlfn.XLOOKUP(B2047,Customers!A2047:A3046,Customers!B2047:B3046,"Customer Not Found",0)</f>
        <v>Customer Not Found</v>
      </c>
      <c r="F2047" s="7" t="str">
        <f>_xlfn.XLOOKUP(Orders!B2047,Customers!A2047:A3046,Customers!C2047:C3046,"Country not Found",0)</f>
        <v>Country not Found</v>
      </c>
      <c r="G2047" s="7" t="str">
        <f>_xlfn.XLOOKUP(C2047,Products!A2047:A2546,Products!B2047:B2546,"Product Missing",0)</f>
        <v>Product Missing</v>
      </c>
      <c r="H2047" s="7" t="str">
        <f>_xlfn.XLOOKUP(C2047,Products!A2047:A2546,Products!C2047:C2546,"Category Missing",0)</f>
        <v>Category Missing</v>
      </c>
      <c r="I2047" s="11" t="str">
        <f>_xlfn.XLOOKUP(Orders!C2047,Products!A2047:A2546,Products!D2047:D2546,"Price Missing",0)</f>
        <v>Price Missing</v>
      </c>
      <c r="J2047" s="19">
        <f t="shared" si="31"/>
        <v>0</v>
      </c>
    </row>
    <row r="2048" spans="1:10" x14ac:dyDescent="0.35">
      <c r="A2048" s="4" t="s">
        <v>6068</v>
      </c>
      <c r="B2048" s="7" t="s">
        <v>2105</v>
      </c>
      <c r="C2048" s="7" t="s">
        <v>3324</v>
      </c>
      <c r="D2048" s="5">
        <v>2</v>
      </c>
      <c r="E2048" s="7" t="str">
        <f>_xlfn.XLOOKUP(B2048,Customers!A2048:A3047,Customers!B2048:B3047,"Customer Not Found",0)</f>
        <v>Customer Not Found</v>
      </c>
      <c r="F2048" s="7" t="str">
        <f>_xlfn.XLOOKUP(Orders!B2048,Customers!A2048:A3047,Customers!C2048:C3047,"Country not Found",0)</f>
        <v>Country not Found</v>
      </c>
      <c r="G2048" s="7" t="str">
        <f>_xlfn.XLOOKUP(C2048,Products!A2048:A2547,Products!B2048:B2547,"Product Missing",0)</f>
        <v>Product Missing</v>
      </c>
      <c r="H2048" s="7" t="str">
        <f>_xlfn.XLOOKUP(C2048,Products!A2048:A2547,Products!C2048:C2547,"Category Missing",0)</f>
        <v>Category Missing</v>
      </c>
      <c r="I2048" s="11" t="str">
        <f>_xlfn.XLOOKUP(Orders!C2048,Products!A2048:A2547,Products!D2048:D2547,"Price Missing",0)</f>
        <v>Price Missing</v>
      </c>
      <c r="J2048" s="19">
        <f t="shared" si="31"/>
        <v>0</v>
      </c>
    </row>
    <row r="2049" spans="1:10" x14ac:dyDescent="0.35">
      <c r="A2049" s="4" t="s">
        <v>6069</v>
      </c>
      <c r="B2049" s="7" t="s">
        <v>2822</v>
      </c>
      <c r="C2049" s="7" t="s">
        <v>3152</v>
      </c>
      <c r="D2049" s="5">
        <v>5</v>
      </c>
      <c r="E2049" s="7" t="str">
        <f>_xlfn.XLOOKUP(B2049,Customers!A2049:A3048,Customers!B2049:B3048,"Customer Not Found",0)</f>
        <v>Customer Not Found</v>
      </c>
      <c r="F2049" s="7" t="str">
        <f>_xlfn.XLOOKUP(Orders!B2049,Customers!A2049:A3048,Customers!C2049:C3048,"Country not Found",0)</f>
        <v>Country not Found</v>
      </c>
      <c r="G2049" s="7" t="str">
        <f>_xlfn.XLOOKUP(C2049,Products!A2049:A2548,Products!B2049:B2548,"Product Missing",0)</f>
        <v>Product Missing</v>
      </c>
      <c r="H2049" s="7" t="str">
        <f>_xlfn.XLOOKUP(C2049,Products!A2049:A2548,Products!C2049:C2548,"Category Missing",0)</f>
        <v>Category Missing</v>
      </c>
      <c r="I2049" s="11" t="str">
        <f>_xlfn.XLOOKUP(Orders!C2049,Products!A2049:A2548,Products!D2049:D2548,"Price Missing",0)</f>
        <v>Price Missing</v>
      </c>
      <c r="J2049" s="19">
        <f t="shared" si="31"/>
        <v>0</v>
      </c>
    </row>
    <row r="2050" spans="1:10" x14ac:dyDescent="0.35">
      <c r="A2050" s="4" t="s">
        <v>6070</v>
      </c>
      <c r="B2050" s="7" t="s">
        <v>2600</v>
      </c>
      <c r="C2050" s="7" t="s">
        <v>3150</v>
      </c>
      <c r="D2050" s="5">
        <v>1</v>
      </c>
      <c r="E2050" s="7" t="str">
        <f>_xlfn.XLOOKUP(B2050,Customers!A2050:A3049,Customers!B2050:B3049,"Customer Not Found",0)</f>
        <v>Customer Not Found</v>
      </c>
      <c r="F2050" s="7" t="str">
        <f>_xlfn.XLOOKUP(Orders!B2050,Customers!A2050:A3049,Customers!C2050:C3049,"Country not Found",0)</f>
        <v>Country not Found</v>
      </c>
      <c r="G2050" s="7" t="str">
        <f>_xlfn.XLOOKUP(C2050,Products!A2050:A2549,Products!B2050:B2549,"Product Missing",0)</f>
        <v>Product Missing</v>
      </c>
      <c r="H2050" s="7" t="str">
        <f>_xlfn.XLOOKUP(C2050,Products!A2050:A2549,Products!C2050:C2549,"Category Missing",0)</f>
        <v>Category Missing</v>
      </c>
      <c r="I2050" s="11" t="str">
        <f>_xlfn.XLOOKUP(Orders!C2050,Products!A2050:A2549,Products!D2050:D2549,"Price Missing",0)</f>
        <v>Price Missing</v>
      </c>
      <c r="J2050" s="19">
        <f t="shared" si="31"/>
        <v>0</v>
      </c>
    </row>
    <row r="2051" spans="1:10" x14ac:dyDescent="0.35">
      <c r="A2051" s="4" t="s">
        <v>6071</v>
      </c>
      <c r="B2051" s="7" t="s">
        <v>797</v>
      </c>
      <c r="C2051" s="7" t="s">
        <v>3246</v>
      </c>
      <c r="D2051" s="5">
        <v>9</v>
      </c>
      <c r="E2051" s="7" t="str">
        <f>_xlfn.XLOOKUP(B2051,Customers!A2051:A3050,Customers!B2051:B3050,"Customer Not Found",0)</f>
        <v>Customer Not Found</v>
      </c>
      <c r="F2051" s="7" t="str">
        <f>_xlfn.XLOOKUP(Orders!B2051,Customers!A2051:A3050,Customers!C2051:C3050,"Country not Found",0)</f>
        <v>Country not Found</v>
      </c>
      <c r="G2051" s="7" t="str">
        <f>_xlfn.XLOOKUP(C2051,Products!A2051:A2550,Products!B2051:B2550,"Product Missing",0)</f>
        <v>Product Missing</v>
      </c>
      <c r="H2051" s="7" t="str">
        <f>_xlfn.XLOOKUP(C2051,Products!A2051:A2550,Products!C2051:C2550,"Category Missing",0)</f>
        <v>Category Missing</v>
      </c>
      <c r="I2051" s="11" t="str">
        <f>_xlfn.XLOOKUP(Orders!C2051,Products!A2051:A2550,Products!D2051:D2550,"Price Missing",0)</f>
        <v>Price Missing</v>
      </c>
      <c r="J2051" s="19">
        <f t="shared" ref="J2051:J2114" si="32">IFERROR(I2051*D2051,0)</f>
        <v>0</v>
      </c>
    </row>
    <row r="2052" spans="1:10" x14ac:dyDescent="0.35">
      <c r="A2052" s="4" t="s">
        <v>6072</v>
      </c>
      <c r="B2052" s="7" t="s">
        <v>1838</v>
      </c>
      <c r="C2052" s="7" t="s">
        <v>3156</v>
      </c>
      <c r="D2052" s="5">
        <v>10</v>
      </c>
      <c r="E2052" s="7" t="str">
        <f>_xlfn.XLOOKUP(B2052,Customers!A2052:A3051,Customers!B2052:B3051,"Customer Not Found",0)</f>
        <v>Customer Not Found</v>
      </c>
      <c r="F2052" s="7" t="str">
        <f>_xlfn.XLOOKUP(Orders!B2052,Customers!A2052:A3051,Customers!C2052:C3051,"Country not Found",0)</f>
        <v>Country not Found</v>
      </c>
      <c r="G2052" s="7" t="str">
        <f>_xlfn.XLOOKUP(C2052,Products!A2052:A2551,Products!B2052:B2551,"Product Missing",0)</f>
        <v>Product Missing</v>
      </c>
      <c r="H2052" s="7" t="str">
        <f>_xlfn.XLOOKUP(C2052,Products!A2052:A2551,Products!C2052:C2551,"Category Missing",0)</f>
        <v>Category Missing</v>
      </c>
      <c r="I2052" s="11" t="str">
        <f>_xlfn.XLOOKUP(Orders!C2052,Products!A2052:A2551,Products!D2052:D2551,"Price Missing",0)</f>
        <v>Price Missing</v>
      </c>
      <c r="J2052" s="19">
        <f t="shared" si="32"/>
        <v>0</v>
      </c>
    </row>
    <row r="2053" spans="1:10" x14ac:dyDescent="0.35">
      <c r="A2053" s="4" t="s">
        <v>6073</v>
      </c>
      <c r="B2053" s="7" t="s">
        <v>1274</v>
      </c>
      <c r="C2053" s="7" t="s">
        <v>3394</v>
      </c>
      <c r="D2053" s="5">
        <v>1</v>
      </c>
      <c r="E2053" s="7" t="str">
        <f>_xlfn.XLOOKUP(B2053,Customers!A2053:A3052,Customers!B2053:B3052,"Customer Not Found",0)</f>
        <v>Customer Not Found</v>
      </c>
      <c r="F2053" s="7" t="str">
        <f>_xlfn.XLOOKUP(Orders!B2053,Customers!A2053:A3052,Customers!C2053:C3052,"Country not Found",0)</f>
        <v>Country not Found</v>
      </c>
      <c r="G2053" s="7" t="str">
        <f>_xlfn.XLOOKUP(C2053,Products!A2053:A2552,Products!B2053:B2552,"Product Missing",0)</f>
        <v>Product Missing</v>
      </c>
      <c r="H2053" s="7" t="str">
        <f>_xlfn.XLOOKUP(C2053,Products!A2053:A2552,Products!C2053:C2552,"Category Missing",0)</f>
        <v>Category Missing</v>
      </c>
      <c r="I2053" s="11" t="str">
        <f>_xlfn.XLOOKUP(Orders!C2053,Products!A2053:A2552,Products!D2053:D2552,"Price Missing",0)</f>
        <v>Price Missing</v>
      </c>
      <c r="J2053" s="19">
        <f t="shared" si="32"/>
        <v>0</v>
      </c>
    </row>
    <row r="2054" spans="1:10" x14ac:dyDescent="0.35">
      <c r="A2054" s="4" t="s">
        <v>6074</v>
      </c>
      <c r="B2054" s="7" t="s">
        <v>1895</v>
      </c>
      <c r="C2054" s="7" t="s">
        <v>3998</v>
      </c>
      <c r="D2054" s="5">
        <v>6</v>
      </c>
      <c r="E2054" s="7" t="str">
        <f>_xlfn.XLOOKUP(B2054,Customers!A2054:A3053,Customers!B2054:B3053,"Customer Not Found",0)</f>
        <v>Customer Not Found</v>
      </c>
      <c r="F2054" s="7" t="str">
        <f>_xlfn.XLOOKUP(Orders!B2054,Customers!A2054:A3053,Customers!C2054:C3053,"Country not Found",0)</f>
        <v>Country not Found</v>
      </c>
      <c r="G2054" s="7" t="str">
        <f>_xlfn.XLOOKUP(C2054,Products!A2054:A2553,Products!B2054:B2553,"Product Missing",0)</f>
        <v>Product Missing</v>
      </c>
      <c r="H2054" s="7" t="str">
        <f>_xlfn.XLOOKUP(C2054,Products!A2054:A2553,Products!C2054:C2553,"Category Missing",0)</f>
        <v>Category Missing</v>
      </c>
      <c r="I2054" s="11" t="str">
        <f>_xlfn.XLOOKUP(Orders!C2054,Products!A2054:A2553,Products!D2054:D2553,"Price Missing",0)</f>
        <v>Price Missing</v>
      </c>
      <c r="J2054" s="19">
        <f t="shared" si="32"/>
        <v>0</v>
      </c>
    </row>
    <row r="2055" spans="1:10" x14ac:dyDescent="0.35">
      <c r="A2055" s="4" t="s">
        <v>6075</v>
      </c>
      <c r="B2055" s="7" t="s">
        <v>2501</v>
      </c>
      <c r="C2055" s="7" t="s">
        <v>3400</v>
      </c>
      <c r="D2055" s="5">
        <v>2</v>
      </c>
      <c r="E2055" s="7" t="str">
        <f>_xlfn.XLOOKUP(B2055,Customers!A2055:A3054,Customers!B2055:B3054,"Customer Not Found",0)</f>
        <v>Customer Not Found</v>
      </c>
      <c r="F2055" s="7" t="str">
        <f>_xlfn.XLOOKUP(Orders!B2055,Customers!A2055:A3054,Customers!C2055:C3054,"Country not Found",0)</f>
        <v>Country not Found</v>
      </c>
      <c r="G2055" s="7" t="str">
        <f>_xlfn.XLOOKUP(C2055,Products!A2055:A2554,Products!B2055:B2554,"Product Missing",0)</f>
        <v>Product Missing</v>
      </c>
      <c r="H2055" s="7" t="str">
        <f>_xlfn.XLOOKUP(C2055,Products!A2055:A2554,Products!C2055:C2554,"Category Missing",0)</f>
        <v>Category Missing</v>
      </c>
      <c r="I2055" s="11" t="str">
        <f>_xlfn.XLOOKUP(Orders!C2055,Products!A2055:A2554,Products!D2055:D2554,"Price Missing",0)</f>
        <v>Price Missing</v>
      </c>
      <c r="J2055" s="19">
        <f t="shared" si="32"/>
        <v>0</v>
      </c>
    </row>
    <row r="2056" spans="1:10" x14ac:dyDescent="0.35">
      <c r="A2056" s="4" t="s">
        <v>6076</v>
      </c>
      <c r="B2056" s="7" t="s">
        <v>2894</v>
      </c>
      <c r="C2056" s="7" t="s">
        <v>3716</v>
      </c>
      <c r="D2056" s="5">
        <v>4</v>
      </c>
      <c r="E2056" s="7" t="str">
        <f>_xlfn.XLOOKUP(B2056,Customers!A2056:A3055,Customers!B2056:B3055,"Customer Not Found",0)</f>
        <v>Customer Not Found</v>
      </c>
      <c r="F2056" s="7" t="str">
        <f>_xlfn.XLOOKUP(Orders!B2056,Customers!A2056:A3055,Customers!C2056:C3055,"Country not Found",0)</f>
        <v>Country not Found</v>
      </c>
      <c r="G2056" s="7" t="str">
        <f>_xlfn.XLOOKUP(C2056,Products!A2056:A2555,Products!B2056:B2555,"Product Missing",0)</f>
        <v>Product Missing</v>
      </c>
      <c r="H2056" s="7" t="str">
        <f>_xlfn.XLOOKUP(C2056,Products!A2056:A2555,Products!C2056:C2555,"Category Missing",0)</f>
        <v>Category Missing</v>
      </c>
      <c r="I2056" s="11" t="str">
        <f>_xlfn.XLOOKUP(Orders!C2056,Products!A2056:A2555,Products!D2056:D2555,"Price Missing",0)</f>
        <v>Price Missing</v>
      </c>
      <c r="J2056" s="19">
        <f t="shared" si="32"/>
        <v>0</v>
      </c>
    </row>
    <row r="2057" spans="1:10" x14ac:dyDescent="0.35">
      <c r="A2057" s="4" t="s">
        <v>6077</v>
      </c>
      <c r="B2057" s="7" t="s">
        <v>1979</v>
      </c>
      <c r="C2057" s="7" t="s">
        <v>3502</v>
      </c>
      <c r="D2057" s="5">
        <v>1</v>
      </c>
      <c r="E2057" s="7" t="str">
        <f>_xlfn.XLOOKUP(B2057,Customers!A2057:A3056,Customers!B2057:B3056,"Customer Not Found",0)</f>
        <v>Customer Not Found</v>
      </c>
      <c r="F2057" s="7" t="str">
        <f>_xlfn.XLOOKUP(Orders!B2057,Customers!A2057:A3056,Customers!C2057:C3056,"Country not Found",0)</f>
        <v>Country not Found</v>
      </c>
      <c r="G2057" s="7" t="str">
        <f>_xlfn.XLOOKUP(C2057,Products!A2057:A2556,Products!B2057:B2556,"Product Missing",0)</f>
        <v>Product Missing</v>
      </c>
      <c r="H2057" s="7" t="str">
        <f>_xlfn.XLOOKUP(C2057,Products!A2057:A2556,Products!C2057:C2556,"Category Missing",0)</f>
        <v>Category Missing</v>
      </c>
      <c r="I2057" s="11" t="str">
        <f>_xlfn.XLOOKUP(Orders!C2057,Products!A2057:A2556,Products!D2057:D2556,"Price Missing",0)</f>
        <v>Price Missing</v>
      </c>
      <c r="J2057" s="19">
        <f t="shared" si="32"/>
        <v>0</v>
      </c>
    </row>
    <row r="2058" spans="1:10" x14ac:dyDescent="0.35">
      <c r="A2058" s="4" t="s">
        <v>6078</v>
      </c>
      <c r="B2058" s="7" t="s">
        <v>881</v>
      </c>
      <c r="C2058" s="7" t="s">
        <v>3045</v>
      </c>
      <c r="D2058" s="5">
        <v>1</v>
      </c>
      <c r="E2058" s="7" t="str">
        <f>_xlfn.XLOOKUP(B2058,Customers!A2058:A3057,Customers!B2058:B3057,"Customer Not Found",0)</f>
        <v>Customer Not Found</v>
      </c>
      <c r="F2058" s="7" t="str">
        <f>_xlfn.XLOOKUP(Orders!B2058,Customers!A2058:A3057,Customers!C2058:C3057,"Country not Found",0)</f>
        <v>Country not Found</v>
      </c>
      <c r="G2058" s="7" t="str">
        <f>_xlfn.XLOOKUP(C2058,Products!A2058:A2557,Products!B2058:B2557,"Product Missing",0)</f>
        <v>Product Missing</v>
      </c>
      <c r="H2058" s="7" t="str">
        <f>_xlfn.XLOOKUP(C2058,Products!A2058:A2557,Products!C2058:C2557,"Category Missing",0)</f>
        <v>Category Missing</v>
      </c>
      <c r="I2058" s="11" t="str">
        <f>_xlfn.XLOOKUP(Orders!C2058,Products!A2058:A2557,Products!D2058:D2557,"Price Missing",0)</f>
        <v>Price Missing</v>
      </c>
      <c r="J2058" s="19">
        <f t="shared" si="32"/>
        <v>0</v>
      </c>
    </row>
    <row r="2059" spans="1:10" x14ac:dyDescent="0.35">
      <c r="A2059" s="4" t="s">
        <v>6079</v>
      </c>
      <c r="B2059" s="7" t="s">
        <v>107</v>
      </c>
      <c r="C2059" s="7" t="s">
        <v>3442</v>
      </c>
      <c r="D2059" s="5">
        <v>8</v>
      </c>
      <c r="E2059" s="7" t="str">
        <f>_xlfn.XLOOKUP(B2059,Customers!A2059:A3058,Customers!B2059:B3058,"Customer Not Found",0)</f>
        <v>Customer Not Found</v>
      </c>
      <c r="F2059" s="7" t="str">
        <f>_xlfn.XLOOKUP(Orders!B2059,Customers!A2059:A3058,Customers!C2059:C3058,"Country not Found",0)</f>
        <v>Country not Found</v>
      </c>
      <c r="G2059" s="7" t="str">
        <f>_xlfn.XLOOKUP(C2059,Products!A2059:A2558,Products!B2059:B2558,"Product Missing",0)</f>
        <v>Product Missing</v>
      </c>
      <c r="H2059" s="7" t="str">
        <f>_xlfn.XLOOKUP(C2059,Products!A2059:A2558,Products!C2059:C2558,"Category Missing",0)</f>
        <v>Category Missing</v>
      </c>
      <c r="I2059" s="11" t="str">
        <f>_xlfn.XLOOKUP(Orders!C2059,Products!A2059:A2558,Products!D2059:D2558,"Price Missing",0)</f>
        <v>Price Missing</v>
      </c>
      <c r="J2059" s="19">
        <f t="shared" si="32"/>
        <v>0</v>
      </c>
    </row>
    <row r="2060" spans="1:10" x14ac:dyDescent="0.35">
      <c r="A2060" s="4" t="s">
        <v>6080</v>
      </c>
      <c r="B2060" s="7" t="s">
        <v>1664</v>
      </c>
      <c r="C2060" s="7" t="s">
        <v>3452</v>
      </c>
      <c r="D2060" s="5">
        <v>4</v>
      </c>
      <c r="E2060" s="7" t="str">
        <f>_xlfn.XLOOKUP(B2060,Customers!A2060:A3059,Customers!B2060:B3059,"Customer Not Found",0)</f>
        <v>Customer Not Found</v>
      </c>
      <c r="F2060" s="7" t="str">
        <f>_xlfn.XLOOKUP(Orders!B2060,Customers!A2060:A3059,Customers!C2060:C3059,"Country not Found",0)</f>
        <v>Country not Found</v>
      </c>
      <c r="G2060" s="7" t="str">
        <f>_xlfn.XLOOKUP(C2060,Products!A2060:A2559,Products!B2060:B2559,"Product Missing",0)</f>
        <v>Product Missing</v>
      </c>
      <c r="H2060" s="7" t="str">
        <f>_xlfn.XLOOKUP(C2060,Products!A2060:A2559,Products!C2060:C2559,"Category Missing",0)</f>
        <v>Category Missing</v>
      </c>
      <c r="I2060" s="11" t="str">
        <f>_xlfn.XLOOKUP(Orders!C2060,Products!A2060:A2559,Products!D2060:D2559,"Price Missing",0)</f>
        <v>Price Missing</v>
      </c>
      <c r="J2060" s="19">
        <f t="shared" si="32"/>
        <v>0</v>
      </c>
    </row>
    <row r="2061" spans="1:10" x14ac:dyDescent="0.35">
      <c r="A2061" s="4" t="s">
        <v>6081</v>
      </c>
      <c r="B2061" s="7" t="s">
        <v>419</v>
      </c>
      <c r="C2061" s="7" t="s">
        <v>3990</v>
      </c>
      <c r="D2061" s="5">
        <v>7</v>
      </c>
      <c r="E2061" s="7" t="str">
        <f>_xlfn.XLOOKUP(B2061,Customers!A2061:A3060,Customers!B2061:B3060,"Customer Not Found",0)</f>
        <v>Customer Not Found</v>
      </c>
      <c r="F2061" s="7" t="str">
        <f>_xlfn.XLOOKUP(Orders!B2061,Customers!A2061:A3060,Customers!C2061:C3060,"Country not Found",0)</f>
        <v>Country not Found</v>
      </c>
      <c r="G2061" s="7" t="str">
        <f>_xlfn.XLOOKUP(C2061,Products!A2061:A2560,Products!B2061:B2560,"Product Missing",0)</f>
        <v>Product Missing</v>
      </c>
      <c r="H2061" s="7" t="str">
        <f>_xlfn.XLOOKUP(C2061,Products!A2061:A2560,Products!C2061:C2560,"Category Missing",0)</f>
        <v>Category Missing</v>
      </c>
      <c r="I2061" s="11" t="str">
        <f>_xlfn.XLOOKUP(Orders!C2061,Products!A2061:A2560,Products!D2061:D2560,"Price Missing",0)</f>
        <v>Price Missing</v>
      </c>
      <c r="J2061" s="19">
        <f t="shared" si="32"/>
        <v>0</v>
      </c>
    </row>
    <row r="2062" spans="1:10" x14ac:dyDescent="0.35">
      <c r="A2062" s="4" t="s">
        <v>6082</v>
      </c>
      <c r="B2062" s="7" t="s">
        <v>1850</v>
      </c>
      <c r="C2062" s="7" t="s">
        <v>3616</v>
      </c>
      <c r="D2062" s="5">
        <v>2</v>
      </c>
      <c r="E2062" s="7" t="str">
        <f>_xlfn.XLOOKUP(B2062,Customers!A2062:A3061,Customers!B2062:B3061,"Customer Not Found",0)</f>
        <v>Customer Not Found</v>
      </c>
      <c r="F2062" s="7" t="str">
        <f>_xlfn.XLOOKUP(Orders!B2062,Customers!A2062:A3061,Customers!C2062:C3061,"Country not Found",0)</f>
        <v>Country not Found</v>
      </c>
      <c r="G2062" s="7" t="str">
        <f>_xlfn.XLOOKUP(C2062,Products!A2062:A2561,Products!B2062:B2561,"Product Missing",0)</f>
        <v>Product Missing</v>
      </c>
      <c r="H2062" s="7" t="str">
        <f>_xlfn.XLOOKUP(C2062,Products!A2062:A2561,Products!C2062:C2561,"Category Missing",0)</f>
        <v>Category Missing</v>
      </c>
      <c r="I2062" s="11" t="str">
        <f>_xlfn.XLOOKUP(Orders!C2062,Products!A2062:A2561,Products!D2062:D2561,"Price Missing",0)</f>
        <v>Price Missing</v>
      </c>
      <c r="J2062" s="19">
        <f t="shared" si="32"/>
        <v>0</v>
      </c>
    </row>
    <row r="2063" spans="1:10" x14ac:dyDescent="0.35">
      <c r="A2063" s="4" t="s">
        <v>6083</v>
      </c>
      <c r="B2063" s="7" t="s">
        <v>25</v>
      </c>
      <c r="C2063" s="7" t="s">
        <v>3510</v>
      </c>
      <c r="D2063" s="5">
        <v>6</v>
      </c>
      <c r="E2063" s="7" t="str">
        <f>_xlfn.XLOOKUP(B2063,Customers!A2063:A3062,Customers!B2063:B3062,"Customer Not Found",0)</f>
        <v>Customer Not Found</v>
      </c>
      <c r="F2063" s="7" t="str">
        <f>_xlfn.XLOOKUP(Orders!B2063,Customers!A2063:A3062,Customers!C2063:C3062,"Country not Found",0)</f>
        <v>Country not Found</v>
      </c>
      <c r="G2063" s="7" t="str">
        <f>_xlfn.XLOOKUP(C2063,Products!A2063:A2562,Products!B2063:B2562,"Product Missing",0)</f>
        <v>Product Missing</v>
      </c>
      <c r="H2063" s="7" t="str">
        <f>_xlfn.XLOOKUP(C2063,Products!A2063:A2562,Products!C2063:C2562,"Category Missing",0)</f>
        <v>Category Missing</v>
      </c>
      <c r="I2063" s="11" t="str">
        <f>_xlfn.XLOOKUP(Orders!C2063,Products!A2063:A2562,Products!D2063:D2562,"Price Missing",0)</f>
        <v>Price Missing</v>
      </c>
      <c r="J2063" s="19">
        <f t="shared" si="32"/>
        <v>0</v>
      </c>
    </row>
    <row r="2064" spans="1:10" x14ac:dyDescent="0.35">
      <c r="A2064" s="4" t="s">
        <v>6084</v>
      </c>
      <c r="B2064" s="7" t="s">
        <v>1658</v>
      </c>
      <c r="C2064" s="7" t="s">
        <v>3188</v>
      </c>
      <c r="D2064" s="5">
        <v>2</v>
      </c>
      <c r="E2064" s="7" t="str">
        <f>_xlfn.XLOOKUP(B2064,Customers!A2064:A3063,Customers!B2064:B3063,"Customer Not Found",0)</f>
        <v>Customer Not Found</v>
      </c>
      <c r="F2064" s="7" t="str">
        <f>_xlfn.XLOOKUP(Orders!B2064,Customers!A2064:A3063,Customers!C2064:C3063,"Country not Found",0)</f>
        <v>Country not Found</v>
      </c>
      <c r="G2064" s="7" t="str">
        <f>_xlfn.XLOOKUP(C2064,Products!A2064:A2563,Products!B2064:B2563,"Product Missing",0)</f>
        <v>Product Missing</v>
      </c>
      <c r="H2064" s="7" t="str">
        <f>_xlfn.XLOOKUP(C2064,Products!A2064:A2563,Products!C2064:C2563,"Category Missing",0)</f>
        <v>Category Missing</v>
      </c>
      <c r="I2064" s="11" t="str">
        <f>_xlfn.XLOOKUP(Orders!C2064,Products!A2064:A2563,Products!D2064:D2563,"Price Missing",0)</f>
        <v>Price Missing</v>
      </c>
      <c r="J2064" s="19">
        <f t="shared" si="32"/>
        <v>0</v>
      </c>
    </row>
    <row r="2065" spans="1:10" x14ac:dyDescent="0.35">
      <c r="A2065" s="4" t="s">
        <v>6085</v>
      </c>
      <c r="B2065" s="7" t="s">
        <v>812</v>
      </c>
      <c r="C2065" s="7" t="s">
        <v>3332</v>
      </c>
      <c r="D2065" s="5">
        <v>10</v>
      </c>
      <c r="E2065" s="7" t="str">
        <f>_xlfn.XLOOKUP(B2065,Customers!A2065:A3064,Customers!B2065:B3064,"Customer Not Found",0)</f>
        <v>Customer Not Found</v>
      </c>
      <c r="F2065" s="7" t="str">
        <f>_xlfn.XLOOKUP(Orders!B2065,Customers!A2065:A3064,Customers!C2065:C3064,"Country not Found",0)</f>
        <v>Country not Found</v>
      </c>
      <c r="G2065" s="7" t="str">
        <f>_xlfn.XLOOKUP(C2065,Products!A2065:A2564,Products!B2065:B2564,"Product Missing",0)</f>
        <v>Product Missing</v>
      </c>
      <c r="H2065" s="7" t="str">
        <f>_xlfn.XLOOKUP(C2065,Products!A2065:A2564,Products!C2065:C2564,"Category Missing",0)</f>
        <v>Category Missing</v>
      </c>
      <c r="I2065" s="11" t="str">
        <f>_xlfn.XLOOKUP(Orders!C2065,Products!A2065:A2564,Products!D2065:D2564,"Price Missing",0)</f>
        <v>Price Missing</v>
      </c>
      <c r="J2065" s="19">
        <f t="shared" si="32"/>
        <v>0</v>
      </c>
    </row>
    <row r="2066" spans="1:10" x14ac:dyDescent="0.35">
      <c r="A2066" s="4" t="s">
        <v>6086</v>
      </c>
      <c r="B2066" s="7" t="s">
        <v>1589</v>
      </c>
      <c r="C2066" s="7" t="s">
        <v>3646</v>
      </c>
      <c r="D2066" s="5">
        <v>1</v>
      </c>
      <c r="E2066" s="7" t="str">
        <f>_xlfn.XLOOKUP(B2066,Customers!A2066:A3065,Customers!B2066:B3065,"Customer Not Found",0)</f>
        <v>Customer Not Found</v>
      </c>
      <c r="F2066" s="7" t="str">
        <f>_xlfn.XLOOKUP(Orders!B2066,Customers!A2066:A3065,Customers!C2066:C3065,"Country not Found",0)</f>
        <v>Country not Found</v>
      </c>
      <c r="G2066" s="7" t="str">
        <f>_xlfn.XLOOKUP(C2066,Products!A2066:A2565,Products!B2066:B2565,"Product Missing",0)</f>
        <v>Product Missing</v>
      </c>
      <c r="H2066" s="7" t="str">
        <f>_xlfn.XLOOKUP(C2066,Products!A2066:A2565,Products!C2066:C2565,"Category Missing",0)</f>
        <v>Category Missing</v>
      </c>
      <c r="I2066" s="11" t="str">
        <f>_xlfn.XLOOKUP(Orders!C2066,Products!A2066:A2565,Products!D2066:D2565,"Price Missing",0)</f>
        <v>Price Missing</v>
      </c>
      <c r="J2066" s="19">
        <f t="shared" si="32"/>
        <v>0</v>
      </c>
    </row>
    <row r="2067" spans="1:10" x14ac:dyDescent="0.35">
      <c r="A2067" s="4" t="s">
        <v>6087</v>
      </c>
      <c r="B2067" s="7" t="s">
        <v>1823</v>
      </c>
      <c r="C2067" s="7" t="s">
        <v>3970</v>
      </c>
      <c r="D2067" s="5">
        <v>7</v>
      </c>
      <c r="E2067" s="7" t="str">
        <f>_xlfn.XLOOKUP(B2067,Customers!A2067:A3066,Customers!B2067:B3066,"Customer Not Found",0)</f>
        <v>Customer Not Found</v>
      </c>
      <c r="F2067" s="7" t="str">
        <f>_xlfn.XLOOKUP(Orders!B2067,Customers!A2067:A3066,Customers!C2067:C3066,"Country not Found",0)</f>
        <v>Country not Found</v>
      </c>
      <c r="G2067" s="7" t="str">
        <f>_xlfn.XLOOKUP(C2067,Products!A2067:A2566,Products!B2067:B2566,"Product Missing",0)</f>
        <v>Product Missing</v>
      </c>
      <c r="H2067" s="7" t="str">
        <f>_xlfn.XLOOKUP(C2067,Products!A2067:A2566,Products!C2067:C2566,"Category Missing",0)</f>
        <v>Category Missing</v>
      </c>
      <c r="I2067" s="11" t="str">
        <f>_xlfn.XLOOKUP(Orders!C2067,Products!A2067:A2566,Products!D2067:D2566,"Price Missing",0)</f>
        <v>Price Missing</v>
      </c>
      <c r="J2067" s="19">
        <f t="shared" si="32"/>
        <v>0</v>
      </c>
    </row>
    <row r="2068" spans="1:10" x14ac:dyDescent="0.35">
      <c r="A2068" s="4" t="s">
        <v>6088</v>
      </c>
      <c r="B2068" s="7" t="s">
        <v>2381</v>
      </c>
      <c r="C2068" s="7" t="s">
        <v>3952</v>
      </c>
      <c r="D2068" s="5">
        <v>6</v>
      </c>
      <c r="E2068" s="7" t="str">
        <f>_xlfn.XLOOKUP(B2068,Customers!A2068:A3067,Customers!B2068:B3067,"Customer Not Found",0)</f>
        <v>Customer Not Found</v>
      </c>
      <c r="F2068" s="7" t="str">
        <f>_xlfn.XLOOKUP(Orders!B2068,Customers!A2068:A3067,Customers!C2068:C3067,"Country not Found",0)</f>
        <v>Country not Found</v>
      </c>
      <c r="G2068" s="7" t="str">
        <f>_xlfn.XLOOKUP(C2068,Products!A2068:A2567,Products!B2068:B2567,"Product Missing",0)</f>
        <v>Product Missing</v>
      </c>
      <c r="H2068" s="7" t="str">
        <f>_xlfn.XLOOKUP(C2068,Products!A2068:A2567,Products!C2068:C2567,"Category Missing",0)</f>
        <v>Category Missing</v>
      </c>
      <c r="I2068" s="11" t="str">
        <f>_xlfn.XLOOKUP(Orders!C2068,Products!A2068:A2567,Products!D2068:D2567,"Price Missing",0)</f>
        <v>Price Missing</v>
      </c>
      <c r="J2068" s="19">
        <f t="shared" si="32"/>
        <v>0</v>
      </c>
    </row>
    <row r="2069" spans="1:10" x14ac:dyDescent="0.35">
      <c r="A2069" s="4" t="s">
        <v>6089</v>
      </c>
      <c r="B2069" s="7" t="s">
        <v>827</v>
      </c>
      <c r="C2069" s="7" t="s">
        <v>3043</v>
      </c>
      <c r="D2069" s="5">
        <v>5</v>
      </c>
      <c r="E2069" s="7" t="str">
        <f>_xlfn.XLOOKUP(B2069,Customers!A2069:A3068,Customers!B2069:B3068,"Customer Not Found",0)</f>
        <v>Customer Not Found</v>
      </c>
      <c r="F2069" s="7" t="str">
        <f>_xlfn.XLOOKUP(Orders!B2069,Customers!A2069:A3068,Customers!C2069:C3068,"Country not Found",0)</f>
        <v>Country not Found</v>
      </c>
      <c r="G2069" s="7" t="str">
        <f>_xlfn.XLOOKUP(C2069,Products!A2069:A2568,Products!B2069:B2568,"Product Missing",0)</f>
        <v>Product Missing</v>
      </c>
      <c r="H2069" s="7" t="str">
        <f>_xlfn.XLOOKUP(C2069,Products!A2069:A2568,Products!C2069:C2568,"Category Missing",0)</f>
        <v>Category Missing</v>
      </c>
      <c r="I2069" s="11" t="str">
        <f>_xlfn.XLOOKUP(Orders!C2069,Products!A2069:A2568,Products!D2069:D2568,"Price Missing",0)</f>
        <v>Price Missing</v>
      </c>
      <c r="J2069" s="19">
        <f t="shared" si="32"/>
        <v>0</v>
      </c>
    </row>
    <row r="2070" spans="1:10" x14ac:dyDescent="0.35">
      <c r="A2070" s="4" t="s">
        <v>6090</v>
      </c>
      <c r="B2070" s="7" t="s">
        <v>2471</v>
      </c>
      <c r="C2070" s="7" t="s">
        <v>3078</v>
      </c>
      <c r="D2070" s="5">
        <v>6</v>
      </c>
      <c r="E2070" s="7" t="str">
        <f>_xlfn.XLOOKUP(B2070,Customers!A2070:A3069,Customers!B2070:B3069,"Customer Not Found",0)</f>
        <v>Customer Not Found</v>
      </c>
      <c r="F2070" s="7" t="str">
        <f>_xlfn.XLOOKUP(Orders!B2070,Customers!A2070:A3069,Customers!C2070:C3069,"Country not Found",0)</f>
        <v>Country not Found</v>
      </c>
      <c r="G2070" s="7" t="str">
        <f>_xlfn.XLOOKUP(C2070,Products!A2070:A2569,Products!B2070:B2569,"Product Missing",0)</f>
        <v>Product Missing</v>
      </c>
      <c r="H2070" s="7" t="str">
        <f>_xlfn.XLOOKUP(C2070,Products!A2070:A2569,Products!C2070:C2569,"Category Missing",0)</f>
        <v>Category Missing</v>
      </c>
      <c r="I2070" s="11" t="str">
        <f>_xlfn.XLOOKUP(Orders!C2070,Products!A2070:A2569,Products!D2070:D2569,"Price Missing",0)</f>
        <v>Price Missing</v>
      </c>
      <c r="J2070" s="19">
        <f t="shared" si="32"/>
        <v>0</v>
      </c>
    </row>
    <row r="2071" spans="1:10" x14ac:dyDescent="0.35">
      <c r="A2071" s="4" t="s">
        <v>6091</v>
      </c>
      <c r="B2071" s="7" t="s">
        <v>2984</v>
      </c>
      <c r="C2071" s="7" t="s">
        <v>3746</v>
      </c>
      <c r="D2071" s="5">
        <v>9</v>
      </c>
      <c r="E2071" s="7" t="str">
        <f>_xlfn.XLOOKUP(B2071,Customers!A2071:A3070,Customers!B2071:B3070,"Customer Not Found",0)</f>
        <v>Customer Not Found</v>
      </c>
      <c r="F2071" s="7" t="str">
        <f>_xlfn.XLOOKUP(Orders!B2071,Customers!A2071:A3070,Customers!C2071:C3070,"Country not Found",0)</f>
        <v>Country not Found</v>
      </c>
      <c r="G2071" s="7" t="str">
        <f>_xlfn.XLOOKUP(C2071,Products!A2071:A2570,Products!B2071:B2570,"Product Missing",0)</f>
        <v>Product Missing</v>
      </c>
      <c r="H2071" s="7" t="str">
        <f>_xlfn.XLOOKUP(C2071,Products!A2071:A2570,Products!C2071:C2570,"Category Missing",0)</f>
        <v>Category Missing</v>
      </c>
      <c r="I2071" s="11" t="str">
        <f>_xlfn.XLOOKUP(Orders!C2071,Products!A2071:A2570,Products!D2071:D2570,"Price Missing",0)</f>
        <v>Price Missing</v>
      </c>
      <c r="J2071" s="19">
        <f t="shared" si="32"/>
        <v>0</v>
      </c>
    </row>
    <row r="2072" spans="1:10" x14ac:dyDescent="0.35">
      <c r="A2072" s="4" t="s">
        <v>6092</v>
      </c>
      <c r="B2072" s="7" t="s">
        <v>1580</v>
      </c>
      <c r="C2072" s="7" t="s">
        <v>3064</v>
      </c>
      <c r="D2072" s="5">
        <v>7</v>
      </c>
      <c r="E2072" s="7" t="str">
        <f>_xlfn.XLOOKUP(B2072,Customers!A2072:A3071,Customers!B2072:B3071,"Customer Not Found",0)</f>
        <v>Customer Not Found</v>
      </c>
      <c r="F2072" s="7" t="str">
        <f>_xlfn.XLOOKUP(Orders!B2072,Customers!A2072:A3071,Customers!C2072:C3071,"Country not Found",0)</f>
        <v>Country not Found</v>
      </c>
      <c r="G2072" s="7" t="str">
        <f>_xlfn.XLOOKUP(C2072,Products!A2072:A2571,Products!B2072:B2571,"Product Missing",0)</f>
        <v>Product Missing</v>
      </c>
      <c r="H2072" s="7" t="str">
        <f>_xlfn.XLOOKUP(C2072,Products!A2072:A2571,Products!C2072:C2571,"Category Missing",0)</f>
        <v>Category Missing</v>
      </c>
      <c r="I2072" s="11" t="str">
        <f>_xlfn.XLOOKUP(Orders!C2072,Products!A2072:A2571,Products!D2072:D2571,"Price Missing",0)</f>
        <v>Price Missing</v>
      </c>
      <c r="J2072" s="19">
        <f t="shared" si="32"/>
        <v>0</v>
      </c>
    </row>
    <row r="2073" spans="1:10" x14ac:dyDescent="0.35">
      <c r="A2073" s="4" t="s">
        <v>6093</v>
      </c>
      <c r="B2073" s="7" t="s">
        <v>1655</v>
      </c>
      <c r="C2073" s="7" t="s">
        <v>3752</v>
      </c>
      <c r="D2073" s="5">
        <v>5</v>
      </c>
      <c r="E2073" s="7" t="str">
        <f>_xlfn.XLOOKUP(B2073,Customers!A2073:A3072,Customers!B2073:B3072,"Customer Not Found",0)</f>
        <v>Customer Not Found</v>
      </c>
      <c r="F2073" s="7" t="str">
        <f>_xlfn.XLOOKUP(Orders!B2073,Customers!A2073:A3072,Customers!C2073:C3072,"Country not Found",0)</f>
        <v>Country not Found</v>
      </c>
      <c r="G2073" s="7" t="str">
        <f>_xlfn.XLOOKUP(C2073,Products!A2073:A2572,Products!B2073:B2572,"Product Missing",0)</f>
        <v>Product Missing</v>
      </c>
      <c r="H2073" s="7" t="str">
        <f>_xlfn.XLOOKUP(C2073,Products!A2073:A2572,Products!C2073:C2572,"Category Missing",0)</f>
        <v>Category Missing</v>
      </c>
      <c r="I2073" s="11" t="str">
        <f>_xlfn.XLOOKUP(Orders!C2073,Products!A2073:A2572,Products!D2073:D2572,"Price Missing",0)</f>
        <v>Price Missing</v>
      </c>
      <c r="J2073" s="19">
        <f t="shared" si="32"/>
        <v>0</v>
      </c>
    </row>
    <row r="2074" spans="1:10" x14ac:dyDescent="0.35">
      <c r="A2074" s="4" t="s">
        <v>6094</v>
      </c>
      <c r="B2074" s="7" t="s">
        <v>314</v>
      </c>
      <c r="C2074" s="7" t="s">
        <v>3025</v>
      </c>
      <c r="D2074" s="5">
        <v>10</v>
      </c>
      <c r="E2074" s="7" t="str">
        <f>_xlfn.XLOOKUP(B2074,Customers!A2074:A3073,Customers!B2074:B3073,"Customer Not Found",0)</f>
        <v>Customer Not Found</v>
      </c>
      <c r="F2074" s="7" t="str">
        <f>_xlfn.XLOOKUP(Orders!B2074,Customers!A2074:A3073,Customers!C2074:C3073,"Country not Found",0)</f>
        <v>Country not Found</v>
      </c>
      <c r="G2074" s="7" t="str">
        <f>_xlfn.XLOOKUP(C2074,Products!A2074:A2573,Products!B2074:B2573,"Product Missing",0)</f>
        <v>Product Missing</v>
      </c>
      <c r="H2074" s="7" t="str">
        <f>_xlfn.XLOOKUP(C2074,Products!A2074:A2573,Products!C2074:C2573,"Category Missing",0)</f>
        <v>Category Missing</v>
      </c>
      <c r="I2074" s="11" t="str">
        <f>_xlfn.XLOOKUP(Orders!C2074,Products!A2074:A2573,Products!D2074:D2573,"Price Missing",0)</f>
        <v>Price Missing</v>
      </c>
      <c r="J2074" s="19">
        <f t="shared" si="32"/>
        <v>0</v>
      </c>
    </row>
    <row r="2075" spans="1:10" x14ac:dyDescent="0.35">
      <c r="A2075" s="4" t="s">
        <v>6095</v>
      </c>
      <c r="B2075" s="7" t="s">
        <v>2120</v>
      </c>
      <c r="C2075" s="7" t="s">
        <v>3934</v>
      </c>
      <c r="D2075" s="5">
        <v>8</v>
      </c>
      <c r="E2075" s="7" t="str">
        <f>_xlfn.XLOOKUP(B2075,Customers!A2075:A3074,Customers!B2075:B3074,"Customer Not Found",0)</f>
        <v>Customer Not Found</v>
      </c>
      <c r="F2075" s="7" t="str">
        <f>_xlfn.XLOOKUP(Orders!B2075,Customers!A2075:A3074,Customers!C2075:C3074,"Country not Found",0)</f>
        <v>Country not Found</v>
      </c>
      <c r="G2075" s="7" t="str">
        <f>_xlfn.XLOOKUP(C2075,Products!A2075:A2574,Products!B2075:B2574,"Product Missing",0)</f>
        <v>Product Missing</v>
      </c>
      <c r="H2075" s="7" t="str">
        <f>_xlfn.XLOOKUP(C2075,Products!A2075:A2574,Products!C2075:C2574,"Category Missing",0)</f>
        <v>Category Missing</v>
      </c>
      <c r="I2075" s="11" t="str">
        <f>_xlfn.XLOOKUP(Orders!C2075,Products!A2075:A2574,Products!D2075:D2574,"Price Missing",0)</f>
        <v>Price Missing</v>
      </c>
      <c r="J2075" s="19">
        <f t="shared" si="32"/>
        <v>0</v>
      </c>
    </row>
    <row r="2076" spans="1:10" x14ac:dyDescent="0.35">
      <c r="A2076" s="4" t="s">
        <v>6096</v>
      </c>
      <c r="B2076" s="7" t="s">
        <v>2318</v>
      </c>
      <c r="C2076" s="7" t="s">
        <v>3770</v>
      </c>
      <c r="D2076" s="5">
        <v>10</v>
      </c>
      <c r="E2076" s="7" t="str">
        <f>_xlfn.XLOOKUP(B2076,Customers!A2076:A3075,Customers!B2076:B3075,"Customer Not Found",0)</f>
        <v>Customer Not Found</v>
      </c>
      <c r="F2076" s="7" t="str">
        <f>_xlfn.XLOOKUP(Orders!B2076,Customers!A2076:A3075,Customers!C2076:C3075,"Country not Found",0)</f>
        <v>Country not Found</v>
      </c>
      <c r="G2076" s="7" t="str">
        <f>_xlfn.XLOOKUP(C2076,Products!A2076:A2575,Products!B2076:B2575,"Product Missing",0)</f>
        <v>Product Missing</v>
      </c>
      <c r="H2076" s="7" t="str">
        <f>_xlfn.XLOOKUP(C2076,Products!A2076:A2575,Products!C2076:C2575,"Category Missing",0)</f>
        <v>Category Missing</v>
      </c>
      <c r="I2076" s="11" t="str">
        <f>_xlfn.XLOOKUP(Orders!C2076,Products!A2076:A2575,Products!D2076:D2575,"Price Missing",0)</f>
        <v>Price Missing</v>
      </c>
      <c r="J2076" s="19">
        <f t="shared" si="32"/>
        <v>0</v>
      </c>
    </row>
    <row r="2077" spans="1:10" x14ac:dyDescent="0.35">
      <c r="A2077" s="4" t="s">
        <v>6097</v>
      </c>
      <c r="B2077" s="7" t="s">
        <v>2483</v>
      </c>
      <c r="C2077" s="7" t="s">
        <v>3066</v>
      </c>
      <c r="D2077" s="5">
        <v>9</v>
      </c>
      <c r="E2077" s="7" t="str">
        <f>_xlfn.XLOOKUP(B2077,Customers!A2077:A3076,Customers!B2077:B3076,"Customer Not Found",0)</f>
        <v>Customer Not Found</v>
      </c>
      <c r="F2077" s="7" t="str">
        <f>_xlfn.XLOOKUP(Orders!B2077,Customers!A2077:A3076,Customers!C2077:C3076,"Country not Found",0)</f>
        <v>Country not Found</v>
      </c>
      <c r="G2077" s="7" t="str">
        <f>_xlfn.XLOOKUP(C2077,Products!A2077:A2576,Products!B2077:B2576,"Product Missing",0)</f>
        <v>Product Missing</v>
      </c>
      <c r="H2077" s="7" t="str">
        <f>_xlfn.XLOOKUP(C2077,Products!A2077:A2576,Products!C2077:C2576,"Category Missing",0)</f>
        <v>Category Missing</v>
      </c>
      <c r="I2077" s="11" t="str">
        <f>_xlfn.XLOOKUP(Orders!C2077,Products!A2077:A2576,Products!D2077:D2576,"Price Missing",0)</f>
        <v>Price Missing</v>
      </c>
      <c r="J2077" s="19">
        <f t="shared" si="32"/>
        <v>0</v>
      </c>
    </row>
    <row r="2078" spans="1:10" x14ac:dyDescent="0.35">
      <c r="A2078" s="4" t="s">
        <v>6098</v>
      </c>
      <c r="B2078" s="7" t="s">
        <v>1751</v>
      </c>
      <c r="C2078" s="7" t="s">
        <v>3550</v>
      </c>
      <c r="D2078" s="5">
        <v>8</v>
      </c>
      <c r="E2078" s="7" t="str">
        <f>_xlfn.XLOOKUP(B2078,Customers!A2078:A3077,Customers!B2078:B3077,"Customer Not Found",0)</f>
        <v>Customer Not Found</v>
      </c>
      <c r="F2078" s="7" t="str">
        <f>_xlfn.XLOOKUP(Orders!B2078,Customers!A2078:A3077,Customers!C2078:C3077,"Country not Found",0)</f>
        <v>Country not Found</v>
      </c>
      <c r="G2078" s="7" t="str">
        <f>_xlfn.XLOOKUP(C2078,Products!A2078:A2577,Products!B2078:B2577,"Product Missing",0)</f>
        <v>Product Missing</v>
      </c>
      <c r="H2078" s="7" t="str">
        <f>_xlfn.XLOOKUP(C2078,Products!A2078:A2577,Products!C2078:C2577,"Category Missing",0)</f>
        <v>Category Missing</v>
      </c>
      <c r="I2078" s="11" t="str">
        <f>_xlfn.XLOOKUP(Orders!C2078,Products!A2078:A2577,Products!D2078:D2577,"Price Missing",0)</f>
        <v>Price Missing</v>
      </c>
      <c r="J2078" s="19">
        <f t="shared" si="32"/>
        <v>0</v>
      </c>
    </row>
    <row r="2079" spans="1:10" x14ac:dyDescent="0.35">
      <c r="A2079" s="4" t="s">
        <v>6099</v>
      </c>
      <c r="B2079" s="7" t="s">
        <v>1202</v>
      </c>
      <c r="C2079" s="7" t="s">
        <v>3842</v>
      </c>
      <c r="D2079" s="5">
        <v>5</v>
      </c>
      <c r="E2079" s="7" t="str">
        <f>_xlfn.XLOOKUP(B2079,Customers!A2079:A3078,Customers!B2079:B3078,"Customer Not Found",0)</f>
        <v>Customer Not Found</v>
      </c>
      <c r="F2079" s="7" t="str">
        <f>_xlfn.XLOOKUP(Orders!B2079,Customers!A2079:A3078,Customers!C2079:C3078,"Country not Found",0)</f>
        <v>Country not Found</v>
      </c>
      <c r="G2079" s="7" t="str">
        <f>_xlfn.XLOOKUP(C2079,Products!A2079:A2578,Products!B2079:B2578,"Product Missing",0)</f>
        <v>Product Missing</v>
      </c>
      <c r="H2079" s="7" t="str">
        <f>_xlfn.XLOOKUP(C2079,Products!A2079:A2578,Products!C2079:C2578,"Category Missing",0)</f>
        <v>Category Missing</v>
      </c>
      <c r="I2079" s="11" t="str">
        <f>_xlfn.XLOOKUP(Orders!C2079,Products!A2079:A2578,Products!D2079:D2578,"Price Missing",0)</f>
        <v>Price Missing</v>
      </c>
      <c r="J2079" s="19">
        <f t="shared" si="32"/>
        <v>0</v>
      </c>
    </row>
    <row r="2080" spans="1:10" x14ac:dyDescent="0.35">
      <c r="A2080" s="4" t="s">
        <v>6100</v>
      </c>
      <c r="B2080" s="7" t="s">
        <v>1235</v>
      </c>
      <c r="C2080" s="7" t="s">
        <v>3824</v>
      </c>
      <c r="D2080" s="5">
        <v>8</v>
      </c>
      <c r="E2080" s="7" t="str">
        <f>_xlfn.XLOOKUP(B2080,Customers!A2080:A3079,Customers!B2080:B3079,"Customer Not Found",0)</f>
        <v>Customer Not Found</v>
      </c>
      <c r="F2080" s="7" t="str">
        <f>_xlfn.XLOOKUP(Orders!B2080,Customers!A2080:A3079,Customers!C2080:C3079,"Country not Found",0)</f>
        <v>Country not Found</v>
      </c>
      <c r="G2080" s="7" t="str">
        <f>_xlfn.XLOOKUP(C2080,Products!A2080:A2579,Products!B2080:B2579,"Product Missing",0)</f>
        <v>Product Missing</v>
      </c>
      <c r="H2080" s="7" t="str">
        <f>_xlfn.XLOOKUP(C2080,Products!A2080:A2579,Products!C2080:C2579,"Category Missing",0)</f>
        <v>Category Missing</v>
      </c>
      <c r="I2080" s="11" t="str">
        <f>_xlfn.XLOOKUP(Orders!C2080,Products!A2080:A2579,Products!D2080:D2579,"Price Missing",0)</f>
        <v>Price Missing</v>
      </c>
      <c r="J2080" s="19">
        <f t="shared" si="32"/>
        <v>0</v>
      </c>
    </row>
    <row r="2081" spans="1:10" x14ac:dyDescent="0.35">
      <c r="A2081" s="4" t="s">
        <v>6101</v>
      </c>
      <c r="B2081" s="7" t="s">
        <v>2096</v>
      </c>
      <c r="C2081" s="7" t="s">
        <v>3380</v>
      </c>
      <c r="D2081" s="5">
        <v>1</v>
      </c>
      <c r="E2081" s="7" t="str">
        <f>_xlfn.XLOOKUP(B2081,Customers!A2081:A3080,Customers!B2081:B3080,"Customer Not Found",0)</f>
        <v>Customer Not Found</v>
      </c>
      <c r="F2081" s="7" t="str">
        <f>_xlfn.XLOOKUP(Orders!B2081,Customers!A2081:A3080,Customers!C2081:C3080,"Country not Found",0)</f>
        <v>Country not Found</v>
      </c>
      <c r="G2081" s="7" t="str">
        <f>_xlfn.XLOOKUP(C2081,Products!A2081:A2580,Products!B2081:B2580,"Product Missing",0)</f>
        <v>Product Missing</v>
      </c>
      <c r="H2081" s="7" t="str">
        <f>_xlfn.XLOOKUP(C2081,Products!A2081:A2580,Products!C2081:C2580,"Category Missing",0)</f>
        <v>Category Missing</v>
      </c>
      <c r="I2081" s="11" t="str">
        <f>_xlfn.XLOOKUP(Orders!C2081,Products!A2081:A2580,Products!D2081:D2580,"Price Missing",0)</f>
        <v>Price Missing</v>
      </c>
      <c r="J2081" s="19">
        <f t="shared" si="32"/>
        <v>0</v>
      </c>
    </row>
    <row r="2082" spans="1:10" x14ac:dyDescent="0.35">
      <c r="A2082" s="4" t="s">
        <v>6102</v>
      </c>
      <c r="B2082" s="7" t="s">
        <v>1454</v>
      </c>
      <c r="C2082" s="7" t="s">
        <v>3128</v>
      </c>
      <c r="D2082" s="5">
        <v>3</v>
      </c>
      <c r="E2082" s="7" t="str">
        <f>_xlfn.XLOOKUP(B2082,Customers!A2082:A3081,Customers!B2082:B3081,"Customer Not Found",0)</f>
        <v>Customer Not Found</v>
      </c>
      <c r="F2082" s="7" t="str">
        <f>_xlfn.XLOOKUP(Orders!B2082,Customers!A2082:A3081,Customers!C2082:C3081,"Country not Found",0)</f>
        <v>Country not Found</v>
      </c>
      <c r="G2082" s="7" t="str">
        <f>_xlfn.XLOOKUP(C2082,Products!A2082:A2581,Products!B2082:B2581,"Product Missing",0)</f>
        <v>Product Missing</v>
      </c>
      <c r="H2082" s="7" t="str">
        <f>_xlfn.XLOOKUP(C2082,Products!A2082:A2581,Products!C2082:C2581,"Category Missing",0)</f>
        <v>Category Missing</v>
      </c>
      <c r="I2082" s="11" t="str">
        <f>_xlfn.XLOOKUP(Orders!C2082,Products!A2082:A2581,Products!D2082:D2581,"Price Missing",0)</f>
        <v>Price Missing</v>
      </c>
      <c r="J2082" s="19">
        <f t="shared" si="32"/>
        <v>0</v>
      </c>
    </row>
    <row r="2083" spans="1:10" x14ac:dyDescent="0.35">
      <c r="A2083" s="4" t="s">
        <v>6103</v>
      </c>
      <c r="B2083" s="7" t="s">
        <v>590</v>
      </c>
      <c r="C2083" s="7" t="s">
        <v>3732</v>
      </c>
      <c r="D2083" s="5">
        <v>4</v>
      </c>
      <c r="E2083" s="7" t="str">
        <f>_xlfn.XLOOKUP(B2083,Customers!A2083:A3082,Customers!B2083:B3082,"Customer Not Found",0)</f>
        <v>Customer Not Found</v>
      </c>
      <c r="F2083" s="7" t="str">
        <f>_xlfn.XLOOKUP(Orders!B2083,Customers!A2083:A3082,Customers!C2083:C3082,"Country not Found",0)</f>
        <v>Country not Found</v>
      </c>
      <c r="G2083" s="7" t="str">
        <f>_xlfn.XLOOKUP(C2083,Products!A2083:A2582,Products!B2083:B2582,"Product Missing",0)</f>
        <v>Product Missing</v>
      </c>
      <c r="H2083" s="7" t="str">
        <f>_xlfn.XLOOKUP(C2083,Products!A2083:A2582,Products!C2083:C2582,"Category Missing",0)</f>
        <v>Category Missing</v>
      </c>
      <c r="I2083" s="11" t="str">
        <f>_xlfn.XLOOKUP(Orders!C2083,Products!A2083:A2582,Products!D2083:D2582,"Price Missing",0)</f>
        <v>Price Missing</v>
      </c>
      <c r="J2083" s="19">
        <f t="shared" si="32"/>
        <v>0</v>
      </c>
    </row>
    <row r="2084" spans="1:10" x14ac:dyDescent="0.35">
      <c r="A2084" s="4" t="s">
        <v>6104</v>
      </c>
      <c r="B2084" s="7" t="s">
        <v>2666</v>
      </c>
      <c r="C2084" s="7" t="s">
        <v>3826</v>
      </c>
      <c r="D2084" s="5">
        <v>10</v>
      </c>
      <c r="E2084" s="7" t="str">
        <f>_xlfn.XLOOKUP(B2084,Customers!A2084:A3083,Customers!B2084:B3083,"Customer Not Found",0)</f>
        <v>Customer Not Found</v>
      </c>
      <c r="F2084" s="7" t="str">
        <f>_xlfn.XLOOKUP(Orders!B2084,Customers!A2084:A3083,Customers!C2084:C3083,"Country not Found",0)</f>
        <v>Country not Found</v>
      </c>
      <c r="G2084" s="7" t="str">
        <f>_xlfn.XLOOKUP(C2084,Products!A2084:A2583,Products!B2084:B2583,"Product Missing",0)</f>
        <v>Product Missing</v>
      </c>
      <c r="H2084" s="7" t="str">
        <f>_xlfn.XLOOKUP(C2084,Products!A2084:A2583,Products!C2084:C2583,"Category Missing",0)</f>
        <v>Category Missing</v>
      </c>
      <c r="I2084" s="11" t="str">
        <f>_xlfn.XLOOKUP(Orders!C2084,Products!A2084:A2583,Products!D2084:D2583,"Price Missing",0)</f>
        <v>Price Missing</v>
      </c>
      <c r="J2084" s="19">
        <f t="shared" si="32"/>
        <v>0</v>
      </c>
    </row>
    <row r="2085" spans="1:10" x14ac:dyDescent="0.35">
      <c r="A2085" s="4" t="s">
        <v>6105</v>
      </c>
      <c r="B2085" s="7" t="s">
        <v>1469</v>
      </c>
      <c r="C2085" s="7" t="s">
        <v>3218</v>
      </c>
      <c r="D2085" s="5">
        <v>7</v>
      </c>
      <c r="E2085" s="7" t="str">
        <f>_xlfn.XLOOKUP(B2085,Customers!A2085:A3084,Customers!B2085:B3084,"Customer Not Found",0)</f>
        <v>Customer Not Found</v>
      </c>
      <c r="F2085" s="7" t="str">
        <f>_xlfn.XLOOKUP(Orders!B2085,Customers!A2085:A3084,Customers!C2085:C3084,"Country not Found",0)</f>
        <v>Country not Found</v>
      </c>
      <c r="G2085" s="7" t="str">
        <f>_xlfn.XLOOKUP(C2085,Products!A2085:A2584,Products!B2085:B2584,"Product Missing",0)</f>
        <v>Product Missing</v>
      </c>
      <c r="H2085" s="7" t="str">
        <f>_xlfn.XLOOKUP(C2085,Products!A2085:A2584,Products!C2085:C2584,"Category Missing",0)</f>
        <v>Category Missing</v>
      </c>
      <c r="I2085" s="11" t="str">
        <f>_xlfn.XLOOKUP(Orders!C2085,Products!A2085:A2584,Products!D2085:D2584,"Price Missing",0)</f>
        <v>Price Missing</v>
      </c>
      <c r="J2085" s="19">
        <f t="shared" si="32"/>
        <v>0</v>
      </c>
    </row>
    <row r="2086" spans="1:10" x14ac:dyDescent="0.35">
      <c r="A2086" s="4" t="s">
        <v>6106</v>
      </c>
      <c r="B2086" s="7" t="s">
        <v>1550</v>
      </c>
      <c r="C2086" s="7" t="s">
        <v>3458</v>
      </c>
      <c r="D2086" s="5">
        <v>8</v>
      </c>
      <c r="E2086" s="7" t="str">
        <f>_xlfn.XLOOKUP(B2086,Customers!A2086:A3085,Customers!B2086:B3085,"Customer Not Found",0)</f>
        <v>Customer Not Found</v>
      </c>
      <c r="F2086" s="7" t="str">
        <f>_xlfn.XLOOKUP(Orders!B2086,Customers!A2086:A3085,Customers!C2086:C3085,"Country not Found",0)</f>
        <v>Country not Found</v>
      </c>
      <c r="G2086" s="7" t="str">
        <f>_xlfn.XLOOKUP(C2086,Products!A2086:A2585,Products!B2086:B2585,"Product Missing",0)</f>
        <v>Product Missing</v>
      </c>
      <c r="H2086" s="7" t="str">
        <f>_xlfn.XLOOKUP(C2086,Products!A2086:A2585,Products!C2086:C2585,"Category Missing",0)</f>
        <v>Category Missing</v>
      </c>
      <c r="I2086" s="11" t="str">
        <f>_xlfn.XLOOKUP(Orders!C2086,Products!A2086:A2585,Products!D2086:D2585,"Price Missing",0)</f>
        <v>Price Missing</v>
      </c>
      <c r="J2086" s="19">
        <f t="shared" si="32"/>
        <v>0</v>
      </c>
    </row>
    <row r="2087" spans="1:10" x14ac:dyDescent="0.35">
      <c r="A2087" s="4" t="s">
        <v>6107</v>
      </c>
      <c r="B2087" s="7" t="s">
        <v>1136</v>
      </c>
      <c r="C2087" s="7" t="s">
        <v>3574</v>
      </c>
      <c r="D2087" s="5">
        <v>8</v>
      </c>
      <c r="E2087" s="7" t="str">
        <f>_xlfn.XLOOKUP(B2087,Customers!A2087:A3086,Customers!B2087:B3086,"Customer Not Found",0)</f>
        <v>Customer Not Found</v>
      </c>
      <c r="F2087" s="7" t="str">
        <f>_xlfn.XLOOKUP(Orders!B2087,Customers!A2087:A3086,Customers!C2087:C3086,"Country not Found",0)</f>
        <v>Country not Found</v>
      </c>
      <c r="G2087" s="7" t="str">
        <f>_xlfn.XLOOKUP(C2087,Products!A2087:A2586,Products!B2087:B2586,"Product Missing",0)</f>
        <v>Product Missing</v>
      </c>
      <c r="H2087" s="7" t="str">
        <f>_xlfn.XLOOKUP(C2087,Products!A2087:A2586,Products!C2087:C2586,"Category Missing",0)</f>
        <v>Category Missing</v>
      </c>
      <c r="I2087" s="11" t="str">
        <f>_xlfn.XLOOKUP(Orders!C2087,Products!A2087:A2586,Products!D2087:D2586,"Price Missing",0)</f>
        <v>Price Missing</v>
      </c>
      <c r="J2087" s="19">
        <f t="shared" si="32"/>
        <v>0</v>
      </c>
    </row>
    <row r="2088" spans="1:10" x14ac:dyDescent="0.35">
      <c r="A2088" s="4" t="s">
        <v>6108</v>
      </c>
      <c r="B2088" s="7" t="s">
        <v>1814</v>
      </c>
      <c r="C2088" s="7" t="s">
        <v>3608</v>
      </c>
      <c r="D2088" s="5">
        <v>4</v>
      </c>
      <c r="E2088" s="7" t="str">
        <f>_xlfn.XLOOKUP(B2088,Customers!A2088:A3087,Customers!B2088:B3087,"Customer Not Found",0)</f>
        <v>Customer Not Found</v>
      </c>
      <c r="F2088" s="7" t="str">
        <f>_xlfn.XLOOKUP(Orders!B2088,Customers!A2088:A3087,Customers!C2088:C3087,"Country not Found",0)</f>
        <v>Country not Found</v>
      </c>
      <c r="G2088" s="7" t="str">
        <f>_xlfn.XLOOKUP(C2088,Products!A2088:A2587,Products!B2088:B2587,"Product Missing",0)</f>
        <v>Product Missing</v>
      </c>
      <c r="H2088" s="7" t="str">
        <f>_xlfn.XLOOKUP(C2088,Products!A2088:A2587,Products!C2088:C2587,"Category Missing",0)</f>
        <v>Category Missing</v>
      </c>
      <c r="I2088" s="11" t="str">
        <f>_xlfn.XLOOKUP(Orders!C2088,Products!A2088:A2587,Products!D2088:D2587,"Price Missing",0)</f>
        <v>Price Missing</v>
      </c>
      <c r="J2088" s="19">
        <f t="shared" si="32"/>
        <v>0</v>
      </c>
    </row>
    <row r="2089" spans="1:10" x14ac:dyDescent="0.35">
      <c r="A2089" s="4" t="s">
        <v>6109</v>
      </c>
      <c r="B2089" s="7" t="s">
        <v>566</v>
      </c>
      <c r="C2089" s="7" t="s">
        <v>3680</v>
      </c>
      <c r="D2089" s="5">
        <v>2</v>
      </c>
      <c r="E2089" s="7" t="str">
        <f>_xlfn.XLOOKUP(B2089,Customers!A2089:A3088,Customers!B2089:B3088,"Customer Not Found",0)</f>
        <v>Customer Not Found</v>
      </c>
      <c r="F2089" s="7" t="str">
        <f>_xlfn.XLOOKUP(Orders!B2089,Customers!A2089:A3088,Customers!C2089:C3088,"Country not Found",0)</f>
        <v>Country not Found</v>
      </c>
      <c r="G2089" s="7" t="str">
        <f>_xlfn.XLOOKUP(C2089,Products!A2089:A2588,Products!B2089:B2588,"Product Missing",0)</f>
        <v>Product Missing</v>
      </c>
      <c r="H2089" s="7" t="str">
        <f>_xlfn.XLOOKUP(C2089,Products!A2089:A2588,Products!C2089:C2588,"Category Missing",0)</f>
        <v>Category Missing</v>
      </c>
      <c r="I2089" s="11" t="str">
        <f>_xlfn.XLOOKUP(Orders!C2089,Products!A2089:A2588,Products!D2089:D2588,"Price Missing",0)</f>
        <v>Price Missing</v>
      </c>
      <c r="J2089" s="19">
        <f t="shared" si="32"/>
        <v>0</v>
      </c>
    </row>
    <row r="2090" spans="1:10" x14ac:dyDescent="0.35">
      <c r="A2090" s="4" t="s">
        <v>6110</v>
      </c>
      <c r="B2090" s="7" t="s">
        <v>1652</v>
      </c>
      <c r="C2090" s="7" t="s">
        <v>4016</v>
      </c>
      <c r="D2090" s="5">
        <v>5</v>
      </c>
      <c r="E2090" s="7" t="str">
        <f>_xlfn.XLOOKUP(B2090,Customers!A2090:A3089,Customers!B2090:B3089,"Customer Not Found",0)</f>
        <v>Customer Not Found</v>
      </c>
      <c r="F2090" s="7" t="str">
        <f>_xlfn.XLOOKUP(Orders!B2090,Customers!A2090:A3089,Customers!C2090:C3089,"Country not Found",0)</f>
        <v>Country not Found</v>
      </c>
      <c r="G2090" s="7" t="str">
        <f>_xlfn.XLOOKUP(C2090,Products!A2090:A2589,Products!B2090:B2589,"Product Missing",0)</f>
        <v>Product Missing</v>
      </c>
      <c r="H2090" s="7" t="str">
        <f>_xlfn.XLOOKUP(C2090,Products!A2090:A2589,Products!C2090:C2589,"Category Missing",0)</f>
        <v>Category Missing</v>
      </c>
      <c r="I2090" s="11" t="str">
        <f>_xlfn.XLOOKUP(Orders!C2090,Products!A2090:A2589,Products!D2090:D2589,"Price Missing",0)</f>
        <v>Price Missing</v>
      </c>
      <c r="J2090" s="19">
        <f t="shared" si="32"/>
        <v>0</v>
      </c>
    </row>
    <row r="2091" spans="1:10" x14ac:dyDescent="0.35">
      <c r="A2091" s="4" t="s">
        <v>6111</v>
      </c>
      <c r="B2091" s="7" t="s">
        <v>200</v>
      </c>
      <c r="C2091" s="7" t="s">
        <v>3670</v>
      </c>
      <c r="D2091" s="5">
        <v>5</v>
      </c>
      <c r="E2091" s="7" t="str">
        <f>_xlfn.XLOOKUP(B2091,Customers!A2091:A3090,Customers!B2091:B3090,"Customer Not Found",0)</f>
        <v>Customer Not Found</v>
      </c>
      <c r="F2091" s="7" t="str">
        <f>_xlfn.XLOOKUP(Orders!B2091,Customers!A2091:A3090,Customers!C2091:C3090,"Country not Found",0)</f>
        <v>Country not Found</v>
      </c>
      <c r="G2091" s="7" t="str">
        <f>_xlfn.XLOOKUP(C2091,Products!A2091:A2590,Products!B2091:B2590,"Product Missing",0)</f>
        <v>Product Missing</v>
      </c>
      <c r="H2091" s="7" t="str">
        <f>_xlfn.XLOOKUP(C2091,Products!A2091:A2590,Products!C2091:C2590,"Category Missing",0)</f>
        <v>Category Missing</v>
      </c>
      <c r="I2091" s="11" t="str">
        <f>_xlfn.XLOOKUP(Orders!C2091,Products!A2091:A2590,Products!D2091:D2590,"Price Missing",0)</f>
        <v>Price Missing</v>
      </c>
      <c r="J2091" s="19">
        <f t="shared" si="32"/>
        <v>0</v>
      </c>
    </row>
    <row r="2092" spans="1:10" x14ac:dyDescent="0.35">
      <c r="A2092" s="4" t="s">
        <v>6112</v>
      </c>
      <c r="B2092" s="7" t="s">
        <v>2675</v>
      </c>
      <c r="C2092" s="7" t="s">
        <v>3037</v>
      </c>
      <c r="D2092" s="5">
        <v>8</v>
      </c>
      <c r="E2092" s="7" t="str">
        <f>_xlfn.XLOOKUP(B2092,Customers!A2092:A3091,Customers!B2092:B3091,"Customer Not Found",0)</f>
        <v>Customer Not Found</v>
      </c>
      <c r="F2092" s="7" t="str">
        <f>_xlfn.XLOOKUP(Orders!B2092,Customers!A2092:A3091,Customers!C2092:C3091,"Country not Found",0)</f>
        <v>Country not Found</v>
      </c>
      <c r="G2092" s="7" t="str">
        <f>_xlfn.XLOOKUP(C2092,Products!A2092:A2591,Products!B2092:B2591,"Product Missing",0)</f>
        <v>Product Missing</v>
      </c>
      <c r="H2092" s="7" t="str">
        <f>_xlfn.XLOOKUP(C2092,Products!A2092:A2591,Products!C2092:C2591,"Category Missing",0)</f>
        <v>Category Missing</v>
      </c>
      <c r="I2092" s="11" t="str">
        <f>_xlfn.XLOOKUP(Orders!C2092,Products!A2092:A2591,Products!D2092:D2591,"Price Missing",0)</f>
        <v>Price Missing</v>
      </c>
      <c r="J2092" s="19">
        <f t="shared" si="32"/>
        <v>0</v>
      </c>
    </row>
    <row r="2093" spans="1:10" x14ac:dyDescent="0.35">
      <c r="A2093" s="4" t="s">
        <v>6113</v>
      </c>
      <c r="B2093" s="7" t="s">
        <v>2498</v>
      </c>
      <c r="C2093" s="7" t="s">
        <v>3690</v>
      </c>
      <c r="D2093" s="5">
        <v>2</v>
      </c>
      <c r="E2093" s="7" t="str">
        <f>_xlfn.XLOOKUP(B2093,Customers!A2093:A3092,Customers!B2093:B3092,"Customer Not Found",0)</f>
        <v>Customer Not Found</v>
      </c>
      <c r="F2093" s="7" t="str">
        <f>_xlfn.XLOOKUP(Orders!B2093,Customers!A2093:A3092,Customers!C2093:C3092,"Country not Found",0)</f>
        <v>Country not Found</v>
      </c>
      <c r="G2093" s="7" t="str">
        <f>_xlfn.XLOOKUP(C2093,Products!A2093:A2592,Products!B2093:B2592,"Product Missing",0)</f>
        <v>Product Missing</v>
      </c>
      <c r="H2093" s="7" t="str">
        <f>_xlfn.XLOOKUP(C2093,Products!A2093:A2592,Products!C2093:C2592,"Category Missing",0)</f>
        <v>Category Missing</v>
      </c>
      <c r="I2093" s="11" t="str">
        <f>_xlfn.XLOOKUP(Orders!C2093,Products!A2093:A2592,Products!D2093:D2592,"Price Missing",0)</f>
        <v>Price Missing</v>
      </c>
      <c r="J2093" s="19">
        <f t="shared" si="32"/>
        <v>0</v>
      </c>
    </row>
    <row r="2094" spans="1:10" x14ac:dyDescent="0.35">
      <c r="A2094" s="4" t="s">
        <v>6114</v>
      </c>
      <c r="B2094" s="7" t="s">
        <v>1280</v>
      </c>
      <c r="C2094" s="7" t="s">
        <v>3712</v>
      </c>
      <c r="D2094" s="5">
        <v>6</v>
      </c>
      <c r="E2094" s="7" t="str">
        <f>_xlfn.XLOOKUP(B2094,Customers!A2094:A3093,Customers!B2094:B3093,"Customer Not Found",0)</f>
        <v>Customer Not Found</v>
      </c>
      <c r="F2094" s="7" t="str">
        <f>_xlfn.XLOOKUP(Orders!B2094,Customers!A2094:A3093,Customers!C2094:C3093,"Country not Found",0)</f>
        <v>Country not Found</v>
      </c>
      <c r="G2094" s="7" t="str">
        <f>_xlfn.XLOOKUP(C2094,Products!A2094:A2593,Products!B2094:B2593,"Product Missing",0)</f>
        <v>Product Missing</v>
      </c>
      <c r="H2094" s="7" t="str">
        <f>_xlfn.XLOOKUP(C2094,Products!A2094:A2593,Products!C2094:C2593,"Category Missing",0)</f>
        <v>Category Missing</v>
      </c>
      <c r="I2094" s="11" t="str">
        <f>_xlfn.XLOOKUP(Orders!C2094,Products!A2094:A2593,Products!D2094:D2593,"Price Missing",0)</f>
        <v>Price Missing</v>
      </c>
      <c r="J2094" s="19">
        <f t="shared" si="32"/>
        <v>0</v>
      </c>
    </row>
    <row r="2095" spans="1:10" x14ac:dyDescent="0.35">
      <c r="A2095" s="4" t="s">
        <v>6115</v>
      </c>
      <c r="B2095" s="7" t="s">
        <v>2687</v>
      </c>
      <c r="C2095" s="7" t="s">
        <v>3334</v>
      </c>
      <c r="D2095" s="5">
        <v>9</v>
      </c>
      <c r="E2095" s="7" t="str">
        <f>_xlfn.XLOOKUP(B2095,Customers!A2095:A3094,Customers!B2095:B3094,"Customer Not Found",0)</f>
        <v>Customer Not Found</v>
      </c>
      <c r="F2095" s="7" t="str">
        <f>_xlfn.XLOOKUP(Orders!B2095,Customers!A2095:A3094,Customers!C2095:C3094,"Country not Found",0)</f>
        <v>Country not Found</v>
      </c>
      <c r="G2095" s="7" t="str">
        <f>_xlfn.XLOOKUP(C2095,Products!A2095:A2594,Products!B2095:B2594,"Product Missing",0)</f>
        <v>Product Missing</v>
      </c>
      <c r="H2095" s="7" t="str">
        <f>_xlfn.XLOOKUP(C2095,Products!A2095:A2594,Products!C2095:C2594,"Category Missing",0)</f>
        <v>Category Missing</v>
      </c>
      <c r="I2095" s="11" t="str">
        <f>_xlfn.XLOOKUP(Orders!C2095,Products!A2095:A2594,Products!D2095:D2594,"Price Missing",0)</f>
        <v>Price Missing</v>
      </c>
      <c r="J2095" s="19">
        <f t="shared" si="32"/>
        <v>0</v>
      </c>
    </row>
    <row r="2096" spans="1:10" x14ac:dyDescent="0.35">
      <c r="A2096" s="4" t="s">
        <v>6116</v>
      </c>
      <c r="B2096" s="7" t="s">
        <v>2882</v>
      </c>
      <c r="C2096" s="7" t="s">
        <v>3708</v>
      </c>
      <c r="D2096" s="5">
        <v>4</v>
      </c>
      <c r="E2096" s="7" t="str">
        <f>_xlfn.XLOOKUP(B2096,Customers!A2096:A3095,Customers!B2096:B3095,"Customer Not Found",0)</f>
        <v>Customer Not Found</v>
      </c>
      <c r="F2096" s="7" t="str">
        <f>_xlfn.XLOOKUP(Orders!B2096,Customers!A2096:A3095,Customers!C2096:C3095,"Country not Found",0)</f>
        <v>Country not Found</v>
      </c>
      <c r="G2096" s="7" t="str">
        <f>_xlfn.XLOOKUP(C2096,Products!A2096:A2595,Products!B2096:B2595,"Product Missing",0)</f>
        <v>Product Missing</v>
      </c>
      <c r="H2096" s="7" t="str">
        <f>_xlfn.XLOOKUP(C2096,Products!A2096:A2595,Products!C2096:C2595,"Category Missing",0)</f>
        <v>Category Missing</v>
      </c>
      <c r="I2096" s="11" t="str">
        <f>_xlfn.XLOOKUP(Orders!C2096,Products!A2096:A2595,Products!D2096:D2595,"Price Missing",0)</f>
        <v>Price Missing</v>
      </c>
      <c r="J2096" s="19">
        <f t="shared" si="32"/>
        <v>0</v>
      </c>
    </row>
    <row r="2097" spans="1:10" x14ac:dyDescent="0.35">
      <c r="A2097" s="4" t="s">
        <v>6117</v>
      </c>
      <c r="B2097" s="7" t="s">
        <v>134</v>
      </c>
      <c r="C2097" s="7" t="s">
        <v>3496</v>
      </c>
      <c r="D2097" s="5">
        <v>1</v>
      </c>
      <c r="E2097" s="7" t="str">
        <f>_xlfn.XLOOKUP(B2097,Customers!A2097:A3096,Customers!B2097:B3096,"Customer Not Found",0)</f>
        <v>Customer Not Found</v>
      </c>
      <c r="F2097" s="7" t="str">
        <f>_xlfn.XLOOKUP(Orders!B2097,Customers!A2097:A3096,Customers!C2097:C3096,"Country not Found",0)</f>
        <v>Country not Found</v>
      </c>
      <c r="G2097" s="7" t="str">
        <f>_xlfn.XLOOKUP(C2097,Products!A2097:A2596,Products!B2097:B2596,"Product Missing",0)</f>
        <v>Product Missing</v>
      </c>
      <c r="H2097" s="7" t="str">
        <f>_xlfn.XLOOKUP(C2097,Products!A2097:A2596,Products!C2097:C2596,"Category Missing",0)</f>
        <v>Category Missing</v>
      </c>
      <c r="I2097" s="11" t="str">
        <f>_xlfn.XLOOKUP(Orders!C2097,Products!A2097:A2596,Products!D2097:D2596,"Price Missing",0)</f>
        <v>Price Missing</v>
      </c>
      <c r="J2097" s="19">
        <f t="shared" si="32"/>
        <v>0</v>
      </c>
    </row>
    <row r="2098" spans="1:10" x14ac:dyDescent="0.35">
      <c r="A2098" s="4" t="s">
        <v>6118</v>
      </c>
      <c r="B2098" s="7" t="s">
        <v>2033</v>
      </c>
      <c r="C2098" s="7" t="s">
        <v>3656</v>
      </c>
      <c r="D2098" s="5">
        <v>9</v>
      </c>
      <c r="E2098" s="7" t="str">
        <f>_xlfn.XLOOKUP(B2098,Customers!A2098:A3097,Customers!B2098:B3097,"Customer Not Found",0)</f>
        <v>Customer Not Found</v>
      </c>
      <c r="F2098" s="7" t="str">
        <f>_xlfn.XLOOKUP(Orders!B2098,Customers!A2098:A3097,Customers!C2098:C3097,"Country not Found",0)</f>
        <v>Country not Found</v>
      </c>
      <c r="G2098" s="7" t="str">
        <f>_xlfn.XLOOKUP(C2098,Products!A2098:A2597,Products!B2098:B2597,"Product Missing",0)</f>
        <v>Product Missing</v>
      </c>
      <c r="H2098" s="7" t="str">
        <f>_xlfn.XLOOKUP(C2098,Products!A2098:A2597,Products!C2098:C2597,"Category Missing",0)</f>
        <v>Category Missing</v>
      </c>
      <c r="I2098" s="11" t="str">
        <f>_xlfn.XLOOKUP(Orders!C2098,Products!A2098:A2597,Products!D2098:D2597,"Price Missing",0)</f>
        <v>Price Missing</v>
      </c>
      <c r="J2098" s="19">
        <f t="shared" si="32"/>
        <v>0</v>
      </c>
    </row>
    <row r="2099" spans="1:10" x14ac:dyDescent="0.35">
      <c r="A2099" s="4" t="s">
        <v>6119</v>
      </c>
      <c r="B2099" s="7" t="s">
        <v>2840</v>
      </c>
      <c r="C2099" s="7" t="s">
        <v>3810</v>
      </c>
      <c r="D2099" s="5">
        <v>1</v>
      </c>
      <c r="E2099" s="7" t="str">
        <f>_xlfn.XLOOKUP(B2099,Customers!A2099:A3098,Customers!B2099:B3098,"Customer Not Found",0)</f>
        <v>Customer Not Found</v>
      </c>
      <c r="F2099" s="7" t="str">
        <f>_xlfn.XLOOKUP(Orders!B2099,Customers!A2099:A3098,Customers!C2099:C3098,"Country not Found",0)</f>
        <v>Country not Found</v>
      </c>
      <c r="G2099" s="7" t="str">
        <f>_xlfn.XLOOKUP(C2099,Products!A2099:A2598,Products!B2099:B2598,"Product Missing",0)</f>
        <v>Product Missing</v>
      </c>
      <c r="H2099" s="7" t="str">
        <f>_xlfn.XLOOKUP(C2099,Products!A2099:A2598,Products!C2099:C2598,"Category Missing",0)</f>
        <v>Category Missing</v>
      </c>
      <c r="I2099" s="11" t="str">
        <f>_xlfn.XLOOKUP(Orders!C2099,Products!A2099:A2598,Products!D2099:D2598,"Price Missing",0)</f>
        <v>Price Missing</v>
      </c>
      <c r="J2099" s="19">
        <f t="shared" si="32"/>
        <v>0</v>
      </c>
    </row>
    <row r="2100" spans="1:10" x14ac:dyDescent="0.35">
      <c r="A2100" s="4" t="s">
        <v>6120</v>
      </c>
      <c r="B2100" s="7" t="s">
        <v>563</v>
      </c>
      <c r="C2100" s="7" t="s">
        <v>3406</v>
      </c>
      <c r="D2100" s="5">
        <v>10</v>
      </c>
      <c r="E2100" s="7" t="str">
        <f>_xlfn.XLOOKUP(B2100,Customers!A2100:A3099,Customers!B2100:B3099,"Customer Not Found",0)</f>
        <v>Customer Not Found</v>
      </c>
      <c r="F2100" s="7" t="str">
        <f>_xlfn.XLOOKUP(Orders!B2100,Customers!A2100:A3099,Customers!C2100:C3099,"Country not Found",0)</f>
        <v>Country not Found</v>
      </c>
      <c r="G2100" s="7" t="str">
        <f>_xlfn.XLOOKUP(C2100,Products!A2100:A2599,Products!B2100:B2599,"Product Missing",0)</f>
        <v>Product Missing</v>
      </c>
      <c r="H2100" s="7" t="str">
        <f>_xlfn.XLOOKUP(C2100,Products!A2100:A2599,Products!C2100:C2599,"Category Missing",0)</f>
        <v>Category Missing</v>
      </c>
      <c r="I2100" s="11" t="str">
        <f>_xlfn.XLOOKUP(Orders!C2100,Products!A2100:A2599,Products!D2100:D2599,"Price Missing",0)</f>
        <v>Price Missing</v>
      </c>
      <c r="J2100" s="19">
        <f t="shared" si="32"/>
        <v>0</v>
      </c>
    </row>
    <row r="2101" spans="1:10" x14ac:dyDescent="0.35">
      <c r="A2101" s="4" t="s">
        <v>6121</v>
      </c>
      <c r="B2101" s="7" t="s">
        <v>1727</v>
      </c>
      <c r="C2101" s="7" t="s">
        <v>3382</v>
      </c>
      <c r="D2101" s="5">
        <v>5</v>
      </c>
      <c r="E2101" s="7" t="str">
        <f>_xlfn.XLOOKUP(B2101,Customers!A2101:A3100,Customers!B2101:B3100,"Customer Not Found",0)</f>
        <v>Customer Not Found</v>
      </c>
      <c r="F2101" s="7" t="str">
        <f>_xlfn.XLOOKUP(Orders!B2101,Customers!A2101:A3100,Customers!C2101:C3100,"Country not Found",0)</f>
        <v>Country not Found</v>
      </c>
      <c r="G2101" s="7" t="str">
        <f>_xlfn.XLOOKUP(C2101,Products!A2101:A2600,Products!B2101:B2600,"Product Missing",0)</f>
        <v>Product Missing</v>
      </c>
      <c r="H2101" s="7" t="str">
        <f>_xlfn.XLOOKUP(C2101,Products!A2101:A2600,Products!C2101:C2600,"Category Missing",0)</f>
        <v>Category Missing</v>
      </c>
      <c r="I2101" s="11" t="str">
        <f>_xlfn.XLOOKUP(Orders!C2101,Products!A2101:A2600,Products!D2101:D2600,"Price Missing",0)</f>
        <v>Price Missing</v>
      </c>
      <c r="J2101" s="19">
        <f t="shared" si="32"/>
        <v>0</v>
      </c>
    </row>
    <row r="2102" spans="1:10" x14ac:dyDescent="0.35">
      <c r="A2102" s="4" t="s">
        <v>6122</v>
      </c>
      <c r="B2102" s="7" t="s">
        <v>155</v>
      </c>
      <c r="C2102" s="7" t="s">
        <v>3268</v>
      </c>
      <c r="D2102" s="5">
        <v>3</v>
      </c>
      <c r="E2102" s="7" t="str">
        <f>_xlfn.XLOOKUP(B2102,Customers!A2102:A3101,Customers!B2102:B3101,"Customer Not Found",0)</f>
        <v>Customer Not Found</v>
      </c>
      <c r="F2102" s="7" t="str">
        <f>_xlfn.XLOOKUP(Orders!B2102,Customers!A2102:A3101,Customers!C2102:C3101,"Country not Found",0)</f>
        <v>Country not Found</v>
      </c>
      <c r="G2102" s="7" t="str">
        <f>_xlfn.XLOOKUP(C2102,Products!A2102:A2601,Products!B2102:B2601,"Product Missing",0)</f>
        <v>Product Missing</v>
      </c>
      <c r="H2102" s="7" t="str">
        <f>_xlfn.XLOOKUP(C2102,Products!A2102:A2601,Products!C2102:C2601,"Category Missing",0)</f>
        <v>Category Missing</v>
      </c>
      <c r="I2102" s="11" t="str">
        <f>_xlfn.XLOOKUP(Orders!C2102,Products!A2102:A2601,Products!D2102:D2601,"Price Missing",0)</f>
        <v>Price Missing</v>
      </c>
      <c r="J2102" s="19">
        <f t="shared" si="32"/>
        <v>0</v>
      </c>
    </row>
    <row r="2103" spans="1:10" x14ac:dyDescent="0.35">
      <c r="A2103" s="4" t="s">
        <v>6123</v>
      </c>
      <c r="B2103" s="7" t="s">
        <v>107</v>
      </c>
      <c r="C2103" s="7" t="s">
        <v>3604</v>
      </c>
      <c r="D2103" s="5">
        <v>8</v>
      </c>
      <c r="E2103" s="7" t="str">
        <f>_xlfn.XLOOKUP(B2103,Customers!A2103:A3102,Customers!B2103:B3102,"Customer Not Found",0)</f>
        <v>Customer Not Found</v>
      </c>
      <c r="F2103" s="7" t="str">
        <f>_xlfn.XLOOKUP(Orders!B2103,Customers!A2103:A3102,Customers!C2103:C3102,"Country not Found",0)</f>
        <v>Country not Found</v>
      </c>
      <c r="G2103" s="7" t="str">
        <f>_xlfn.XLOOKUP(C2103,Products!A2103:A2602,Products!B2103:B2602,"Product Missing",0)</f>
        <v>Product Missing</v>
      </c>
      <c r="H2103" s="7" t="str">
        <f>_xlfn.XLOOKUP(C2103,Products!A2103:A2602,Products!C2103:C2602,"Category Missing",0)</f>
        <v>Category Missing</v>
      </c>
      <c r="I2103" s="11" t="str">
        <f>_xlfn.XLOOKUP(Orders!C2103,Products!A2103:A2602,Products!D2103:D2602,"Price Missing",0)</f>
        <v>Price Missing</v>
      </c>
      <c r="J2103" s="19">
        <f t="shared" si="32"/>
        <v>0</v>
      </c>
    </row>
    <row r="2104" spans="1:10" x14ac:dyDescent="0.35">
      <c r="A2104" s="4" t="s">
        <v>6124</v>
      </c>
      <c r="B2104" s="7" t="s">
        <v>2126</v>
      </c>
      <c r="C2104" s="7" t="s">
        <v>3874</v>
      </c>
      <c r="D2104" s="5">
        <v>5</v>
      </c>
      <c r="E2104" s="7" t="str">
        <f>_xlfn.XLOOKUP(B2104,Customers!A2104:A3103,Customers!B2104:B3103,"Customer Not Found",0)</f>
        <v>Customer Not Found</v>
      </c>
      <c r="F2104" s="7" t="str">
        <f>_xlfn.XLOOKUP(Orders!B2104,Customers!A2104:A3103,Customers!C2104:C3103,"Country not Found",0)</f>
        <v>Country not Found</v>
      </c>
      <c r="G2104" s="7" t="str">
        <f>_xlfn.XLOOKUP(C2104,Products!A2104:A2603,Products!B2104:B2603,"Product Missing",0)</f>
        <v>Product Missing</v>
      </c>
      <c r="H2104" s="7" t="str">
        <f>_xlfn.XLOOKUP(C2104,Products!A2104:A2603,Products!C2104:C2603,"Category Missing",0)</f>
        <v>Category Missing</v>
      </c>
      <c r="I2104" s="11" t="str">
        <f>_xlfn.XLOOKUP(Orders!C2104,Products!A2104:A2603,Products!D2104:D2603,"Price Missing",0)</f>
        <v>Price Missing</v>
      </c>
      <c r="J2104" s="19">
        <f t="shared" si="32"/>
        <v>0</v>
      </c>
    </row>
    <row r="2105" spans="1:10" x14ac:dyDescent="0.35">
      <c r="A2105" s="4" t="s">
        <v>6125</v>
      </c>
      <c r="B2105" s="7" t="s">
        <v>2021</v>
      </c>
      <c r="C2105" s="7" t="s">
        <v>3474</v>
      </c>
      <c r="D2105" s="5">
        <v>8</v>
      </c>
      <c r="E2105" s="7" t="str">
        <f>_xlfn.XLOOKUP(B2105,Customers!A2105:A3104,Customers!B2105:B3104,"Customer Not Found",0)</f>
        <v>Customer Not Found</v>
      </c>
      <c r="F2105" s="7" t="str">
        <f>_xlfn.XLOOKUP(Orders!B2105,Customers!A2105:A3104,Customers!C2105:C3104,"Country not Found",0)</f>
        <v>Country not Found</v>
      </c>
      <c r="G2105" s="7" t="str">
        <f>_xlfn.XLOOKUP(C2105,Products!A2105:A2604,Products!B2105:B2604,"Product Missing",0)</f>
        <v>Product Missing</v>
      </c>
      <c r="H2105" s="7" t="str">
        <f>_xlfn.XLOOKUP(C2105,Products!A2105:A2604,Products!C2105:C2604,"Category Missing",0)</f>
        <v>Category Missing</v>
      </c>
      <c r="I2105" s="11" t="str">
        <f>_xlfn.XLOOKUP(Orders!C2105,Products!A2105:A2604,Products!D2105:D2604,"Price Missing",0)</f>
        <v>Price Missing</v>
      </c>
      <c r="J2105" s="19">
        <f t="shared" si="32"/>
        <v>0</v>
      </c>
    </row>
    <row r="2106" spans="1:10" x14ac:dyDescent="0.35">
      <c r="A2106" s="4" t="s">
        <v>6126</v>
      </c>
      <c r="B2106" s="7" t="s">
        <v>197</v>
      </c>
      <c r="C2106" s="7" t="s">
        <v>3908</v>
      </c>
      <c r="D2106" s="5">
        <v>6</v>
      </c>
      <c r="E2106" s="7" t="str">
        <f>_xlfn.XLOOKUP(B2106,Customers!A2106:A3105,Customers!B2106:B3105,"Customer Not Found",0)</f>
        <v>Customer Not Found</v>
      </c>
      <c r="F2106" s="7" t="str">
        <f>_xlfn.XLOOKUP(Orders!B2106,Customers!A2106:A3105,Customers!C2106:C3105,"Country not Found",0)</f>
        <v>Country not Found</v>
      </c>
      <c r="G2106" s="7" t="str">
        <f>_xlfn.XLOOKUP(C2106,Products!A2106:A2605,Products!B2106:B2605,"Product Missing",0)</f>
        <v>Product Missing</v>
      </c>
      <c r="H2106" s="7" t="str">
        <f>_xlfn.XLOOKUP(C2106,Products!A2106:A2605,Products!C2106:C2605,"Category Missing",0)</f>
        <v>Category Missing</v>
      </c>
      <c r="I2106" s="11" t="str">
        <f>_xlfn.XLOOKUP(Orders!C2106,Products!A2106:A2605,Products!D2106:D2605,"Price Missing",0)</f>
        <v>Price Missing</v>
      </c>
      <c r="J2106" s="19">
        <f t="shared" si="32"/>
        <v>0</v>
      </c>
    </row>
    <row r="2107" spans="1:10" x14ac:dyDescent="0.35">
      <c r="A2107" s="4" t="s">
        <v>6127</v>
      </c>
      <c r="B2107" s="7" t="s">
        <v>1469</v>
      </c>
      <c r="C2107" s="7" t="s">
        <v>3688</v>
      </c>
      <c r="D2107" s="5">
        <v>5</v>
      </c>
      <c r="E2107" s="7" t="str">
        <f>_xlfn.XLOOKUP(B2107,Customers!A2107:A3106,Customers!B2107:B3106,"Customer Not Found",0)</f>
        <v>Customer Not Found</v>
      </c>
      <c r="F2107" s="7" t="str">
        <f>_xlfn.XLOOKUP(Orders!B2107,Customers!A2107:A3106,Customers!C2107:C3106,"Country not Found",0)</f>
        <v>Country not Found</v>
      </c>
      <c r="G2107" s="7" t="str">
        <f>_xlfn.XLOOKUP(C2107,Products!A2107:A2606,Products!B2107:B2606,"Product Missing",0)</f>
        <v>Product Missing</v>
      </c>
      <c r="H2107" s="7" t="str">
        <f>_xlfn.XLOOKUP(C2107,Products!A2107:A2606,Products!C2107:C2606,"Category Missing",0)</f>
        <v>Category Missing</v>
      </c>
      <c r="I2107" s="11" t="str">
        <f>_xlfn.XLOOKUP(Orders!C2107,Products!A2107:A2606,Products!D2107:D2606,"Price Missing",0)</f>
        <v>Price Missing</v>
      </c>
      <c r="J2107" s="19">
        <f t="shared" si="32"/>
        <v>0</v>
      </c>
    </row>
    <row r="2108" spans="1:10" x14ac:dyDescent="0.35">
      <c r="A2108" s="4" t="s">
        <v>6128</v>
      </c>
      <c r="B2108" s="7" t="s">
        <v>461</v>
      </c>
      <c r="C2108" s="7" t="s">
        <v>3080</v>
      </c>
      <c r="D2108" s="5">
        <v>7</v>
      </c>
      <c r="E2108" s="7" t="str">
        <f>_xlfn.XLOOKUP(B2108,Customers!A2108:A3107,Customers!B2108:B3107,"Customer Not Found",0)</f>
        <v>Customer Not Found</v>
      </c>
      <c r="F2108" s="7" t="str">
        <f>_xlfn.XLOOKUP(Orders!B2108,Customers!A2108:A3107,Customers!C2108:C3107,"Country not Found",0)</f>
        <v>Country not Found</v>
      </c>
      <c r="G2108" s="7" t="str">
        <f>_xlfn.XLOOKUP(C2108,Products!A2108:A2607,Products!B2108:B2607,"Product Missing",0)</f>
        <v>Product Missing</v>
      </c>
      <c r="H2108" s="7" t="str">
        <f>_xlfn.XLOOKUP(C2108,Products!A2108:A2607,Products!C2108:C2607,"Category Missing",0)</f>
        <v>Category Missing</v>
      </c>
      <c r="I2108" s="11" t="str">
        <f>_xlfn.XLOOKUP(Orders!C2108,Products!A2108:A2607,Products!D2108:D2607,"Price Missing",0)</f>
        <v>Price Missing</v>
      </c>
      <c r="J2108" s="19">
        <f t="shared" si="32"/>
        <v>0</v>
      </c>
    </row>
    <row r="2109" spans="1:10" x14ac:dyDescent="0.35">
      <c r="A2109" s="4" t="s">
        <v>6129</v>
      </c>
      <c r="B2109" s="7" t="s">
        <v>1277</v>
      </c>
      <c r="C2109" s="7" t="s">
        <v>3047</v>
      </c>
      <c r="D2109" s="5">
        <v>4</v>
      </c>
      <c r="E2109" s="7" t="str">
        <f>_xlfn.XLOOKUP(B2109,Customers!A2109:A3108,Customers!B2109:B3108,"Customer Not Found",0)</f>
        <v>Customer Not Found</v>
      </c>
      <c r="F2109" s="7" t="str">
        <f>_xlfn.XLOOKUP(Orders!B2109,Customers!A2109:A3108,Customers!C2109:C3108,"Country not Found",0)</f>
        <v>Country not Found</v>
      </c>
      <c r="G2109" s="7" t="str">
        <f>_xlfn.XLOOKUP(C2109,Products!A2109:A2608,Products!B2109:B2608,"Product Missing",0)</f>
        <v>Product Missing</v>
      </c>
      <c r="H2109" s="7" t="str">
        <f>_xlfn.XLOOKUP(C2109,Products!A2109:A2608,Products!C2109:C2608,"Category Missing",0)</f>
        <v>Category Missing</v>
      </c>
      <c r="I2109" s="11" t="str">
        <f>_xlfn.XLOOKUP(Orders!C2109,Products!A2109:A2608,Products!D2109:D2608,"Price Missing",0)</f>
        <v>Price Missing</v>
      </c>
      <c r="J2109" s="19">
        <f t="shared" si="32"/>
        <v>0</v>
      </c>
    </row>
    <row r="2110" spans="1:10" x14ac:dyDescent="0.35">
      <c r="A2110" s="4" t="s">
        <v>6130</v>
      </c>
      <c r="B2110" s="7" t="s">
        <v>2405</v>
      </c>
      <c r="C2110" s="7" t="s">
        <v>3746</v>
      </c>
      <c r="D2110" s="5">
        <v>7</v>
      </c>
      <c r="E2110" s="7" t="str">
        <f>_xlfn.XLOOKUP(B2110,Customers!A2110:A3109,Customers!B2110:B3109,"Customer Not Found",0)</f>
        <v>Customer Not Found</v>
      </c>
      <c r="F2110" s="7" t="str">
        <f>_xlfn.XLOOKUP(Orders!B2110,Customers!A2110:A3109,Customers!C2110:C3109,"Country not Found",0)</f>
        <v>Country not Found</v>
      </c>
      <c r="G2110" s="7" t="str">
        <f>_xlfn.XLOOKUP(C2110,Products!A2110:A2609,Products!B2110:B2609,"Product Missing",0)</f>
        <v>Product Missing</v>
      </c>
      <c r="H2110" s="7" t="str">
        <f>_xlfn.XLOOKUP(C2110,Products!A2110:A2609,Products!C2110:C2609,"Category Missing",0)</f>
        <v>Category Missing</v>
      </c>
      <c r="I2110" s="11" t="str">
        <f>_xlfn.XLOOKUP(Orders!C2110,Products!A2110:A2609,Products!D2110:D2609,"Price Missing",0)</f>
        <v>Price Missing</v>
      </c>
      <c r="J2110" s="19">
        <f t="shared" si="32"/>
        <v>0</v>
      </c>
    </row>
    <row r="2111" spans="1:10" x14ac:dyDescent="0.35">
      <c r="A2111" s="4" t="s">
        <v>6131</v>
      </c>
      <c r="B2111" s="7" t="s">
        <v>2561</v>
      </c>
      <c r="C2111" s="7" t="s">
        <v>3862</v>
      </c>
      <c r="D2111" s="5">
        <v>9</v>
      </c>
      <c r="E2111" s="7" t="str">
        <f>_xlfn.XLOOKUP(B2111,Customers!A2111:A3110,Customers!B2111:B3110,"Customer Not Found",0)</f>
        <v>Customer Not Found</v>
      </c>
      <c r="F2111" s="7" t="str">
        <f>_xlfn.XLOOKUP(Orders!B2111,Customers!A2111:A3110,Customers!C2111:C3110,"Country not Found",0)</f>
        <v>Country not Found</v>
      </c>
      <c r="G2111" s="7" t="str">
        <f>_xlfn.XLOOKUP(C2111,Products!A2111:A2610,Products!B2111:B2610,"Product Missing",0)</f>
        <v>Product Missing</v>
      </c>
      <c r="H2111" s="7" t="str">
        <f>_xlfn.XLOOKUP(C2111,Products!A2111:A2610,Products!C2111:C2610,"Category Missing",0)</f>
        <v>Category Missing</v>
      </c>
      <c r="I2111" s="11" t="str">
        <f>_xlfn.XLOOKUP(Orders!C2111,Products!A2111:A2610,Products!D2111:D2610,"Price Missing",0)</f>
        <v>Price Missing</v>
      </c>
      <c r="J2111" s="19">
        <f t="shared" si="32"/>
        <v>0</v>
      </c>
    </row>
    <row r="2112" spans="1:10" x14ac:dyDescent="0.35">
      <c r="A2112" s="4" t="s">
        <v>6132</v>
      </c>
      <c r="B2112" s="7" t="s">
        <v>104</v>
      </c>
      <c r="C2112" s="7" t="s">
        <v>3106</v>
      </c>
      <c r="D2112" s="5">
        <v>1</v>
      </c>
      <c r="E2112" s="7" t="str">
        <f>_xlfn.XLOOKUP(B2112,Customers!A2112:A3111,Customers!B2112:B3111,"Customer Not Found",0)</f>
        <v>Customer Not Found</v>
      </c>
      <c r="F2112" s="7" t="str">
        <f>_xlfn.XLOOKUP(Orders!B2112,Customers!A2112:A3111,Customers!C2112:C3111,"Country not Found",0)</f>
        <v>Country not Found</v>
      </c>
      <c r="G2112" s="7" t="str">
        <f>_xlfn.XLOOKUP(C2112,Products!A2112:A2611,Products!B2112:B2611,"Product Missing",0)</f>
        <v>Product Missing</v>
      </c>
      <c r="H2112" s="7" t="str">
        <f>_xlfn.XLOOKUP(C2112,Products!A2112:A2611,Products!C2112:C2611,"Category Missing",0)</f>
        <v>Category Missing</v>
      </c>
      <c r="I2112" s="11" t="str">
        <f>_xlfn.XLOOKUP(Orders!C2112,Products!A2112:A2611,Products!D2112:D2611,"Price Missing",0)</f>
        <v>Price Missing</v>
      </c>
      <c r="J2112" s="19">
        <f t="shared" si="32"/>
        <v>0</v>
      </c>
    </row>
    <row r="2113" spans="1:10" x14ac:dyDescent="0.35">
      <c r="A2113" s="4" t="s">
        <v>6133</v>
      </c>
      <c r="B2113" s="7" t="s">
        <v>647</v>
      </c>
      <c r="C2113" s="7" t="s">
        <v>3872</v>
      </c>
      <c r="D2113" s="5">
        <v>1</v>
      </c>
      <c r="E2113" s="7" t="str">
        <f>_xlfn.XLOOKUP(B2113,Customers!A2113:A3112,Customers!B2113:B3112,"Customer Not Found",0)</f>
        <v>Customer Not Found</v>
      </c>
      <c r="F2113" s="7" t="str">
        <f>_xlfn.XLOOKUP(Orders!B2113,Customers!A2113:A3112,Customers!C2113:C3112,"Country not Found",0)</f>
        <v>Country not Found</v>
      </c>
      <c r="G2113" s="7" t="str">
        <f>_xlfn.XLOOKUP(C2113,Products!A2113:A2612,Products!B2113:B2612,"Product Missing",0)</f>
        <v>Product Missing</v>
      </c>
      <c r="H2113" s="7" t="str">
        <f>_xlfn.XLOOKUP(C2113,Products!A2113:A2612,Products!C2113:C2612,"Category Missing",0)</f>
        <v>Category Missing</v>
      </c>
      <c r="I2113" s="11" t="str">
        <f>_xlfn.XLOOKUP(Orders!C2113,Products!A2113:A2612,Products!D2113:D2612,"Price Missing",0)</f>
        <v>Price Missing</v>
      </c>
      <c r="J2113" s="19">
        <f t="shared" si="32"/>
        <v>0</v>
      </c>
    </row>
    <row r="2114" spans="1:10" x14ac:dyDescent="0.35">
      <c r="A2114" s="4" t="s">
        <v>6134</v>
      </c>
      <c r="B2114" s="7" t="s">
        <v>2510</v>
      </c>
      <c r="C2114" s="7" t="s">
        <v>3092</v>
      </c>
      <c r="D2114" s="5">
        <v>10</v>
      </c>
      <c r="E2114" s="7" t="str">
        <f>_xlfn.XLOOKUP(B2114,Customers!A2114:A3113,Customers!B2114:B3113,"Customer Not Found",0)</f>
        <v>Customer Not Found</v>
      </c>
      <c r="F2114" s="7" t="str">
        <f>_xlfn.XLOOKUP(Orders!B2114,Customers!A2114:A3113,Customers!C2114:C3113,"Country not Found",0)</f>
        <v>Country not Found</v>
      </c>
      <c r="G2114" s="7" t="str">
        <f>_xlfn.XLOOKUP(C2114,Products!A2114:A2613,Products!B2114:B2613,"Product Missing",0)</f>
        <v>Product Missing</v>
      </c>
      <c r="H2114" s="7" t="str">
        <f>_xlfn.XLOOKUP(C2114,Products!A2114:A2613,Products!C2114:C2613,"Category Missing",0)</f>
        <v>Category Missing</v>
      </c>
      <c r="I2114" s="11" t="str">
        <f>_xlfn.XLOOKUP(Orders!C2114,Products!A2114:A2613,Products!D2114:D2613,"Price Missing",0)</f>
        <v>Price Missing</v>
      </c>
      <c r="J2114" s="19">
        <f t="shared" si="32"/>
        <v>0</v>
      </c>
    </row>
    <row r="2115" spans="1:10" x14ac:dyDescent="0.35">
      <c r="A2115" s="4" t="s">
        <v>6135</v>
      </c>
      <c r="B2115" s="7" t="s">
        <v>1064</v>
      </c>
      <c r="C2115" s="7" t="s">
        <v>3528</v>
      </c>
      <c r="D2115" s="5">
        <v>2</v>
      </c>
      <c r="E2115" s="7" t="str">
        <f>_xlfn.XLOOKUP(B2115,Customers!A2115:A3114,Customers!B2115:B3114,"Customer Not Found",0)</f>
        <v>Customer Not Found</v>
      </c>
      <c r="F2115" s="7" t="str">
        <f>_xlfn.XLOOKUP(Orders!B2115,Customers!A2115:A3114,Customers!C2115:C3114,"Country not Found",0)</f>
        <v>Country not Found</v>
      </c>
      <c r="G2115" s="7" t="str">
        <f>_xlfn.XLOOKUP(C2115,Products!A2115:A2614,Products!B2115:B2614,"Product Missing",0)</f>
        <v>Product Missing</v>
      </c>
      <c r="H2115" s="7" t="str">
        <f>_xlfn.XLOOKUP(C2115,Products!A2115:A2614,Products!C2115:C2614,"Category Missing",0)</f>
        <v>Category Missing</v>
      </c>
      <c r="I2115" s="11" t="str">
        <f>_xlfn.XLOOKUP(Orders!C2115,Products!A2115:A2614,Products!D2115:D2614,"Price Missing",0)</f>
        <v>Price Missing</v>
      </c>
      <c r="J2115" s="19">
        <f t="shared" ref="J2115:J2178" si="33">IFERROR(I2115*D2115,0)</f>
        <v>0</v>
      </c>
    </row>
    <row r="2116" spans="1:10" x14ac:dyDescent="0.35">
      <c r="A2116" s="4" t="s">
        <v>6136</v>
      </c>
      <c r="B2116" s="7" t="s">
        <v>2141</v>
      </c>
      <c r="C2116" s="7" t="s">
        <v>3194</v>
      </c>
      <c r="D2116" s="5">
        <v>10</v>
      </c>
      <c r="E2116" s="7" t="str">
        <f>_xlfn.XLOOKUP(B2116,Customers!A2116:A3115,Customers!B2116:B3115,"Customer Not Found",0)</f>
        <v>Customer Not Found</v>
      </c>
      <c r="F2116" s="7" t="str">
        <f>_xlfn.XLOOKUP(Orders!B2116,Customers!A2116:A3115,Customers!C2116:C3115,"Country not Found",0)</f>
        <v>Country not Found</v>
      </c>
      <c r="G2116" s="7" t="str">
        <f>_xlfn.XLOOKUP(C2116,Products!A2116:A2615,Products!B2116:B2615,"Product Missing",0)</f>
        <v>Product Missing</v>
      </c>
      <c r="H2116" s="7" t="str">
        <f>_xlfn.XLOOKUP(C2116,Products!A2116:A2615,Products!C2116:C2615,"Category Missing",0)</f>
        <v>Category Missing</v>
      </c>
      <c r="I2116" s="11" t="str">
        <f>_xlfn.XLOOKUP(Orders!C2116,Products!A2116:A2615,Products!D2116:D2615,"Price Missing",0)</f>
        <v>Price Missing</v>
      </c>
      <c r="J2116" s="19">
        <f t="shared" si="33"/>
        <v>0</v>
      </c>
    </row>
    <row r="2117" spans="1:10" x14ac:dyDescent="0.35">
      <c r="A2117" s="4" t="s">
        <v>6137</v>
      </c>
      <c r="B2117" s="7" t="s">
        <v>467</v>
      </c>
      <c r="C2117" s="7" t="s">
        <v>4004</v>
      </c>
      <c r="D2117" s="5">
        <v>4</v>
      </c>
      <c r="E2117" s="7" t="str">
        <f>_xlfn.XLOOKUP(B2117,Customers!A2117:A3116,Customers!B2117:B3116,"Customer Not Found",0)</f>
        <v>Customer Not Found</v>
      </c>
      <c r="F2117" s="7" t="str">
        <f>_xlfn.XLOOKUP(Orders!B2117,Customers!A2117:A3116,Customers!C2117:C3116,"Country not Found",0)</f>
        <v>Country not Found</v>
      </c>
      <c r="G2117" s="7" t="str">
        <f>_xlfn.XLOOKUP(C2117,Products!A2117:A2616,Products!B2117:B2616,"Product Missing",0)</f>
        <v>Product Missing</v>
      </c>
      <c r="H2117" s="7" t="str">
        <f>_xlfn.XLOOKUP(C2117,Products!A2117:A2616,Products!C2117:C2616,"Category Missing",0)</f>
        <v>Category Missing</v>
      </c>
      <c r="I2117" s="11" t="str">
        <f>_xlfn.XLOOKUP(Orders!C2117,Products!A2117:A2616,Products!D2117:D2616,"Price Missing",0)</f>
        <v>Price Missing</v>
      </c>
      <c r="J2117" s="19">
        <f t="shared" si="33"/>
        <v>0</v>
      </c>
    </row>
    <row r="2118" spans="1:10" x14ac:dyDescent="0.35">
      <c r="A2118" s="4" t="s">
        <v>6138</v>
      </c>
      <c r="B2118" s="7" t="s">
        <v>2660</v>
      </c>
      <c r="C2118" s="7" t="s">
        <v>4008</v>
      </c>
      <c r="D2118" s="5">
        <v>1</v>
      </c>
      <c r="E2118" s="7" t="str">
        <f>_xlfn.XLOOKUP(B2118,Customers!A2118:A3117,Customers!B2118:B3117,"Customer Not Found",0)</f>
        <v>Customer Not Found</v>
      </c>
      <c r="F2118" s="7" t="str">
        <f>_xlfn.XLOOKUP(Orders!B2118,Customers!A2118:A3117,Customers!C2118:C3117,"Country not Found",0)</f>
        <v>Country not Found</v>
      </c>
      <c r="G2118" s="7" t="str">
        <f>_xlfn.XLOOKUP(C2118,Products!A2118:A2617,Products!B2118:B2617,"Product Missing",0)</f>
        <v>Product Missing</v>
      </c>
      <c r="H2118" s="7" t="str">
        <f>_xlfn.XLOOKUP(C2118,Products!A2118:A2617,Products!C2118:C2617,"Category Missing",0)</f>
        <v>Category Missing</v>
      </c>
      <c r="I2118" s="11" t="str">
        <f>_xlfn.XLOOKUP(Orders!C2118,Products!A2118:A2617,Products!D2118:D2617,"Price Missing",0)</f>
        <v>Price Missing</v>
      </c>
      <c r="J2118" s="19">
        <f t="shared" si="33"/>
        <v>0</v>
      </c>
    </row>
    <row r="2119" spans="1:10" x14ac:dyDescent="0.35">
      <c r="A2119" s="4" t="s">
        <v>6139</v>
      </c>
      <c r="B2119" s="7" t="s">
        <v>2288</v>
      </c>
      <c r="C2119" s="7" t="s">
        <v>3060</v>
      </c>
      <c r="D2119" s="5">
        <v>9</v>
      </c>
      <c r="E2119" s="7" t="str">
        <f>_xlfn.XLOOKUP(B2119,Customers!A2119:A3118,Customers!B2119:B3118,"Customer Not Found",0)</f>
        <v>Customer Not Found</v>
      </c>
      <c r="F2119" s="7" t="str">
        <f>_xlfn.XLOOKUP(Orders!B2119,Customers!A2119:A3118,Customers!C2119:C3118,"Country not Found",0)</f>
        <v>Country not Found</v>
      </c>
      <c r="G2119" s="7" t="str">
        <f>_xlfn.XLOOKUP(C2119,Products!A2119:A2618,Products!B2119:B2618,"Product Missing",0)</f>
        <v>Product Missing</v>
      </c>
      <c r="H2119" s="7" t="str">
        <f>_xlfn.XLOOKUP(C2119,Products!A2119:A2618,Products!C2119:C2618,"Category Missing",0)</f>
        <v>Category Missing</v>
      </c>
      <c r="I2119" s="11" t="str">
        <f>_xlfn.XLOOKUP(Orders!C2119,Products!A2119:A2618,Products!D2119:D2618,"Price Missing",0)</f>
        <v>Price Missing</v>
      </c>
      <c r="J2119" s="19">
        <f t="shared" si="33"/>
        <v>0</v>
      </c>
    </row>
    <row r="2120" spans="1:10" x14ac:dyDescent="0.35">
      <c r="A2120" s="4" t="s">
        <v>6140</v>
      </c>
      <c r="B2120" s="7" t="s">
        <v>2360</v>
      </c>
      <c r="C2120" s="7" t="s">
        <v>3918</v>
      </c>
      <c r="D2120" s="5">
        <v>6</v>
      </c>
      <c r="E2120" s="7" t="str">
        <f>_xlfn.XLOOKUP(B2120,Customers!A2120:A3119,Customers!B2120:B3119,"Customer Not Found",0)</f>
        <v>Customer Not Found</v>
      </c>
      <c r="F2120" s="7" t="str">
        <f>_xlfn.XLOOKUP(Orders!B2120,Customers!A2120:A3119,Customers!C2120:C3119,"Country not Found",0)</f>
        <v>Country not Found</v>
      </c>
      <c r="G2120" s="7" t="str">
        <f>_xlfn.XLOOKUP(C2120,Products!A2120:A2619,Products!B2120:B2619,"Product Missing",0)</f>
        <v>Product Missing</v>
      </c>
      <c r="H2120" s="7" t="str">
        <f>_xlfn.XLOOKUP(C2120,Products!A2120:A2619,Products!C2120:C2619,"Category Missing",0)</f>
        <v>Category Missing</v>
      </c>
      <c r="I2120" s="11" t="str">
        <f>_xlfn.XLOOKUP(Orders!C2120,Products!A2120:A2619,Products!D2120:D2619,"Price Missing",0)</f>
        <v>Price Missing</v>
      </c>
      <c r="J2120" s="19">
        <f t="shared" si="33"/>
        <v>0</v>
      </c>
    </row>
    <row r="2121" spans="1:10" x14ac:dyDescent="0.35">
      <c r="A2121" s="4" t="s">
        <v>6141</v>
      </c>
      <c r="B2121" s="7" t="s">
        <v>1301</v>
      </c>
      <c r="C2121" s="7" t="s">
        <v>3516</v>
      </c>
      <c r="D2121" s="5">
        <v>5</v>
      </c>
      <c r="E2121" s="7" t="str">
        <f>_xlfn.XLOOKUP(B2121,Customers!A2121:A3120,Customers!B2121:B3120,"Customer Not Found",0)</f>
        <v>Customer Not Found</v>
      </c>
      <c r="F2121" s="7" t="str">
        <f>_xlfn.XLOOKUP(Orders!B2121,Customers!A2121:A3120,Customers!C2121:C3120,"Country not Found",0)</f>
        <v>Country not Found</v>
      </c>
      <c r="G2121" s="7" t="str">
        <f>_xlfn.XLOOKUP(C2121,Products!A2121:A2620,Products!B2121:B2620,"Product Missing",0)</f>
        <v>Product Missing</v>
      </c>
      <c r="H2121" s="7" t="str">
        <f>_xlfn.XLOOKUP(C2121,Products!A2121:A2620,Products!C2121:C2620,"Category Missing",0)</f>
        <v>Category Missing</v>
      </c>
      <c r="I2121" s="11" t="str">
        <f>_xlfn.XLOOKUP(Orders!C2121,Products!A2121:A2620,Products!D2121:D2620,"Price Missing",0)</f>
        <v>Price Missing</v>
      </c>
      <c r="J2121" s="19">
        <f t="shared" si="33"/>
        <v>0</v>
      </c>
    </row>
    <row r="2122" spans="1:10" x14ac:dyDescent="0.35">
      <c r="A2122" s="4" t="s">
        <v>6142</v>
      </c>
      <c r="B2122" s="7" t="s">
        <v>1910</v>
      </c>
      <c r="C2122" s="7" t="s">
        <v>3204</v>
      </c>
      <c r="D2122" s="5">
        <v>6</v>
      </c>
      <c r="E2122" s="7" t="str">
        <f>_xlfn.XLOOKUP(B2122,Customers!A2122:A3121,Customers!B2122:B3121,"Customer Not Found",0)</f>
        <v>Customer Not Found</v>
      </c>
      <c r="F2122" s="7" t="str">
        <f>_xlfn.XLOOKUP(Orders!B2122,Customers!A2122:A3121,Customers!C2122:C3121,"Country not Found",0)</f>
        <v>Country not Found</v>
      </c>
      <c r="G2122" s="7" t="str">
        <f>_xlfn.XLOOKUP(C2122,Products!A2122:A2621,Products!B2122:B2621,"Product Missing",0)</f>
        <v>Product Missing</v>
      </c>
      <c r="H2122" s="7" t="str">
        <f>_xlfn.XLOOKUP(C2122,Products!A2122:A2621,Products!C2122:C2621,"Category Missing",0)</f>
        <v>Category Missing</v>
      </c>
      <c r="I2122" s="11" t="str">
        <f>_xlfn.XLOOKUP(Orders!C2122,Products!A2122:A2621,Products!D2122:D2621,"Price Missing",0)</f>
        <v>Price Missing</v>
      </c>
      <c r="J2122" s="19">
        <f t="shared" si="33"/>
        <v>0</v>
      </c>
    </row>
    <row r="2123" spans="1:10" x14ac:dyDescent="0.35">
      <c r="A2123" s="4" t="s">
        <v>6143</v>
      </c>
      <c r="B2123" s="7" t="s">
        <v>2390</v>
      </c>
      <c r="C2123" s="7" t="s">
        <v>3924</v>
      </c>
      <c r="D2123" s="5">
        <v>8</v>
      </c>
      <c r="E2123" s="7" t="str">
        <f>_xlfn.XLOOKUP(B2123,Customers!A2123:A3122,Customers!B2123:B3122,"Customer Not Found",0)</f>
        <v>Customer Not Found</v>
      </c>
      <c r="F2123" s="7" t="str">
        <f>_xlfn.XLOOKUP(Orders!B2123,Customers!A2123:A3122,Customers!C2123:C3122,"Country not Found",0)</f>
        <v>Country not Found</v>
      </c>
      <c r="G2123" s="7" t="str">
        <f>_xlfn.XLOOKUP(C2123,Products!A2123:A2622,Products!B2123:B2622,"Product Missing",0)</f>
        <v>Product Missing</v>
      </c>
      <c r="H2123" s="7" t="str">
        <f>_xlfn.XLOOKUP(C2123,Products!A2123:A2622,Products!C2123:C2622,"Category Missing",0)</f>
        <v>Category Missing</v>
      </c>
      <c r="I2123" s="11" t="str">
        <f>_xlfn.XLOOKUP(Orders!C2123,Products!A2123:A2622,Products!D2123:D2622,"Price Missing",0)</f>
        <v>Price Missing</v>
      </c>
      <c r="J2123" s="19">
        <f t="shared" si="33"/>
        <v>0</v>
      </c>
    </row>
    <row r="2124" spans="1:10" x14ac:dyDescent="0.35">
      <c r="A2124" s="4" t="s">
        <v>6144</v>
      </c>
      <c r="B2124" s="7" t="s">
        <v>2636</v>
      </c>
      <c r="C2124" s="7" t="s">
        <v>3286</v>
      </c>
      <c r="D2124" s="5">
        <v>5</v>
      </c>
      <c r="E2124" s="7" t="str">
        <f>_xlfn.XLOOKUP(B2124,Customers!A2124:A3123,Customers!B2124:B3123,"Customer Not Found",0)</f>
        <v>Customer Not Found</v>
      </c>
      <c r="F2124" s="7" t="str">
        <f>_xlfn.XLOOKUP(Orders!B2124,Customers!A2124:A3123,Customers!C2124:C3123,"Country not Found",0)</f>
        <v>Country not Found</v>
      </c>
      <c r="G2124" s="7" t="str">
        <f>_xlfn.XLOOKUP(C2124,Products!A2124:A2623,Products!B2124:B2623,"Product Missing",0)</f>
        <v>Product Missing</v>
      </c>
      <c r="H2124" s="7" t="str">
        <f>_xlfn.XLOOKUP(C2124,Products!A2124:A2623,Products!C2124:C2623,"Category Missing",0)</f>
        <v>Category Missing</v>
      </c>
      <c r="I2124" s="11" t="str">
        <f>_xlfn.XLOOKUP(Orders!C2124,Products!A2124:A2623,Products!D2124:D2623,"Price Missing",0)</f>
        <v>Price Missing</v>
      </c>
      <c r="J2124" s="19">
        <f t="shared" si="33"/>
        <v>0</v>
      </c>
    </row>
    <row r="2125" spans="1:10" x14ac:dyDescent="0.35">
      <c r="A2125" s="4" t="s">
        <v>6145</v>
      </c>
      <c r="B2125" s="7" t="s">
        <v>1883</v>
      </c>
      <c r="C2125" s="7" t="s">
        <v>3760</v>
      </c>
      <c r="D2125" s="5">
        <v>7</v>
      </c>
      <c r="E2125" s="7" t="str">
        <f>_xlfn.XLOOKUP(B2125,Customers!A2125:A3124,Customers!B2125:B3124,"Customer Not Found",0)</f>
        <v>Customer Not Found</v>
      </c>
      <c r="F2125" s="7" t="str">
        <f>_xlfn.XLOOKUP(Orders!B2125,Customers!A2125:A3124,Customers!C2125:C3124,"Country not Found",0)</f>
        <v>Country not Found</v>
      </c>
      <c r="G2125" s="7" t="str">
        <f>_xlfn.XLOOKUP(C2125,Products!A2125:A2624,Products!B2125:B2624,"Product Missing",0)</f>
        <v>Product Missing</v>
      </c>
      <c r="H2125" s="7" t="str">
        <f>_xlfn.XLOOKUP(C2125,Products!A2125:A2624,Products!C2125:C2624,"Category Missing",0)</f>
        <v>Category Missing</v>
      </c>
      <c r="I2125" s="11" t="str">
        <f>_xlfn.XLOOKUP(Orders!C2125,Products!A2125:A2624,Products!D2125:D2624,"Price Missing",0)</f>
        <v>Price Missing</v>
      </c>
      <c r="J2125" s="19">
        <f t="shared" si="33"/>
        <v>0</v>
      </c>
    </row>
    <row r="2126" spans="1:10" x14ac:dyDescent="0.35">
      <c r="A2126" s="4" t="s">
        <v>6146</v>
      </c>
      <c r="B2126" s="7" t="s">
        <v>260</v>
      </c>
      <c r="C2126" s="7" t="s">
        <v>3930</v>
      </c>
      <c r="D2126" s="5">
        <v>5</v>
      </c>
      <c r="E2126" s="7" t="str">
        <f>_xlfn.XLOOKUP(B2126,Customers!A2126:A3125,Customers!B2126:B3125,"Customer Not Found",0)</f>
        <v>Customer Not Found</v>
      </c>
      <c r="F2126" s="7" t="str">
        <f>_xlfn.XLOOKUP(Orders!B2126,Customers!A2126:A3125,Customers!C2126:C3125,"Country not Found",0)</f>
        <v>Country not Found</v>
      </c>
      <c r="G2126" s="7" t="str">
        <f>_xlfn.XLOOKUP(C2126,Products!A2126:A2625,Products!B2126:B2625,"Product Missing",0)</f>
        <v>Product Missing</v>
      </c>
      <c r="H2126" s="7" t="str">
        <f>_xlfn.XLOOKUP(C2126,Products!A2126:A2625,Products!C2126:C2625,"Category Missing",0)</f>
        <v>Category Missing</v>
      </c>
      <c r="I2126" s="11" t="str">
        <f>_xlfn.XLOOKUP(Orders!C2126,Products!A2126:A2625,Products!D2126:D2625,"Price Missing",0)</f>
        <v>Price Missing</v>
      </c>
      <c r="J2126" s="19">
        <f t="shared" si="33"/>
        <v>0</v>
      </c>
    </row>
    <row r="2127" spans="1:10" x14ac:dyDescent="0.35">
      <c r="A2127" s="4" t="s">
        <v>6147</v>
      </c>
      <c r="B2127" s="7" t="s">
        <v>2714</v>
      </c>
      <c r="C2127" s="7" t="s">
        <v>3524</v>
      </c>
      <c r="D2127" s="5">
        <v>2</v>
      </c>
      <c r="E2127" s="7" t="str">
        <f>_xlfn.XLOOKUP(B2127,Customers!A2127:A3126,Customers!B2127:B3126,"Customer Not Found",0)</f>
        <v>Customer Not Found</v>
      </c>
      <c r="F2127" s="7" t="str">
        <f>_xlfn.XLOOKUP(Orders!B2127,Customers!A2127:A3126,Customers!C2127:C3126,"Country not Found",0)</f>
        <v>Country not Found</v>
      </c>
      <c r="G2127" s="7" t="str">
        <f>_xlfn.XLOOKUP(C2127,Products!A2127:A2626,Products!B2127:B2626,"Product Missing",0)</f>
        <v>Product Missing</v>
      </c>
      <c r="H2127" s="7" t="str">
        <f>_xlfn.XLOOKUP(C2127,Products!A2127:A2626,Products!C2127:C2626,"Category Missing",0)</f>
        <v>Category Missing</v>
      </c>
      <c r="I2127" s="11" t="str">
        <f>_xlfn.XLOOKUP(Orders!C2127,Products!A2127:A2626,Products!D2127:D2626,"Price Missing",0)</f>
        <v>Price Missing</v>
      </c>
      <c r="J2127" s="19">
        <f t="shared" si="33"/>
        <v>0</v>
      </c>
    </row>
    <row r="2128" spans="1:10" x14ac:dyDescent="0.35">
      <c r="A2128" s="4" t="s">
        <v>6148</v>
      </c>
      <c r="B2128" s="7" t="s">
        <v>857</v>
      </c>
      <c r="C2128" s="7" t="s">
        <v>3226</v>
      </c>
      <c r="D2128" s="5">
        <v>10</v>
      </c>
      <c r="E2128" s="7" t="str">
        <f>_xlfn.XLOOKUP(B2128,Customers!A2128:A3127,Customers!B2128:B3127,"Customer Not Found",0)</f>
        <v>Customer Not Found</v>
      </c>
      <c r="F2128" s="7" t="str">
        <f>_xlfn.XLOOKUP(Orders!B2128,Customers!A2128:A3127,Customers!C2128:C3127,"Country not Found",0)</f>
        <v>Country not Found</v>
      </c>
      <c r="G2128" s="7" t="str">
        <f>_xlfn.XLOOKUP(C2128,Products!A2128:A2627,Products!B2128:B2627,"Product Missing",0)</f>
        <v>Product Missing</v>
      </c>
      <c r="H2128" s="7" t="str">
        <f>_xlfn.XLOOKUP(C2128,Products!A2128:A2627,Products!C2128:C2627,"Category Missing",0)</f>
        <v>Category Missing</v>
      </c>
      <c r="I2128" s="11" t="str">
        <f>_xlfn.XLOOKUP(Orders!C2128,Products!A2128:A2627,Products!D2128:D2627,"Price Missing",0)</f>
        <v>Price Missing</v>
      </c>
      <c r="J2128" s="19">
        <f t="shared" si="33"/>
        <v>0</v>
      </c>
    </row>
    <row r="2129" spans="1:10" x14ac:dyDescent="0.35">
      <c r="A2129" s="4" t="s">
        <v>6149</v>
      </c>
      <c r="B2129" s="7" t="s">
        <v>2030</v>
      </c>
      <c r="C2129" s="7" t="s">
        <v>3146</v>
      </c>
      <c r="D2129" s="5">
        <v>5</v>
      </c>
      <c r="E2129" s="7" t="str">
        <f>_xlfn.XLOOKUP(B2129,Customers!A2129:A3128,Customers!B2129:B3128,"Customer Not Found",0)</f>
        <v>Customer Not Found</v>
      </c>
      <c r="F2129" s="7" t="str">
        <f>_xlfn.XLOOKUP(Orders!B2129,Customers!A2129:A3128,Customers!C2129:C3128,"Country not Found",0)</f>
        <v>Country not Found</v>
      </c>
      <c r="G2129" s="7" t="str">
        <f>_xlfn.XLOOKUP(C2129,Products!A2129:A2628,Products!B2129:B2628,"Product Missing",0)</f>
        <v>Product Missing</v>
      </c>
      <c r="H2129" s="7" t="str">
        <f>_xlfn.XLOOKUP(C2129,Products!A2129:A2628,Products!C2129:C2628,"Category Missing",0)</f>
        <v>Category Missing</v>
      </c>
      <c r="I2129" s="11" t="str">
        <f>_xlfn.XLOOKUP(Orders!C2129,Products!A2129:A2628,Products!D2129:D2628,"Price Missing",0)</f>
        <v>Price Missing</v>
      </c>
      <c r="J2129" s="19">
        <f t="shared" si="33"/>
        <v>0</v>
      </c>
    </row>
    <row r="2130" spans="1:10" x14ac:dyDescent="0.35">
      <c r="A2130" s="4" t="s">
        <v>6150</v>
      </c>
      <c r="B2130" s="7" t="s">
        <v>638</v>
      </c>
      <c r="C2130" s="7" t="s">
        <v>3260</v>
      </c>
      <c r="D2130" s="5">
        <v>4</v>
      </c>
      <c r="E2130" s="7" t="str">
        <f>_xlfn.XLOOKUP(B2130,Customers!A2130:A3129,Customers!B2130:B3129,"Customer Not Found",0)</f>
        <v>Customer Not Found</v>
      </c>
      <c r="F2130" s="7" t="str">
        <f>_xlfn.XLOOKUP(Orders!B2130,Customers!A2130:A3129,Customers!C2130:C3129,"Country not Found",0)</f>
        <v>Country not Found</v>
      </c>
      <c r="G2130" s="7" t="str">
        <f>_xlfn.XLOOKUP(C2130,Products!A2130:A2629,Products!B2130:B2629,"Product Missing",0)</f>
        <v>Product Missing</v>
      </c>
      <c r="H2130" s="7" t="str">
        <f>_xlfn.XLOOKUP(C2130,Products!A2130:A2629,Products!C2130:C2629,"Category Missing",0)</f>
        <v>Category Missing</v>
      </c>
      <c r="I2130" s="11" t="str">
        <f>_xlfn.XLOOKUP(Orders!C2130,Products!A2130:A2629,Products!D2130:D2629,"Price Missing",0)</f>
        <v>Price Missing</v>
      </c>
      <c r="J2130" s="19">
        <f t="shared" si="33"/>
        <v>0</v>
      </c>
    </row>
    <row r="2131" spans="1:10" x14ac:dyDescent="0.35">
      <c r="A2131" s="4" t="s">
        <v>6151</v>
      </c>
      <c r="B2131" s="7" t="s">
        <v>1364</v>
      </c>
      <c r="C2131" s="7" t="s">
        <v>4012</v>
      </c>
      <c r="D2131" s="5">
        <v>9</v>
      </c>
      <c r="E2131" s="7" t="str">
        <f>_xlfn.XLOOKUP(B2131,Customers!A2131:A3130,Customers!B2131:B3130,"Customer Not Found",0)</f>
        <v>Customer Not Found</v>
      </c>
      <c r="F2131" s="7" t="str">
        <f>_xlfn.XLOOKUP(Orders!B2131,Customers!A2131:A3130,Customers!C2131:C3130,"Country not Found",0)</f>
        <v>Country not Found</v>
      </c>
      <c r="G2131" s="7" t="str">
        <f>_xlfn.XLOOKUP(C2131,Products!A2131:A2630,Products!B2131:B2630,"Product Missing",0)</f>
        <v>Product Missing</v>
      </c>
      <c r="H2131" s="7" t="str">
        <f>_xlfn.XLOOKUP(C2131,Products!A2131:A2630,Products!C2131:C2630,"Category Missing",0)</f>
        <v>Category Missing</v>
      </c>
      <c r="I2131" s="11" t="str">
        <f>_xlfn.XLOOKUP(Orders!C2131,Products!A2131:A2630,Products!D2131:D2630,"Price Missing",0)</f>
        <v>Price Missing</v>
      </c>
      <c r="J2131" s="19">
        <f t="shared" si="33"/>
        <v>0</v>
      </c>
    </row>
    <row r="2132" spans="1:10" x14ac:dyDescent="0.35">
      <c r="A2132" s="4" t="s">
        <v>6152</v>
      </c>
      <c r="B2132" s="7" t="s">
        <v>2186</v>
      </c>
      <c r="C2132" s="7" t="s">
        <v>3966</v>
      </c>
      <c r="D2132" s="5">
        <v>3</v>
      </c>
      <c r="E2132" s="7" t="str">
        <f>_xlfn.XLOOKUP(B2132,Customers!A2132:A3131,Customers!B2132:B3131,"Customer Not Found",0)</f>
        <v>Customer Not Found</v>
      </c>
      <c r="F2132" s="7" t="str">
        <f>_xlfn.XLOOKUP(Orders!B2132,Customers!A2132:A3131,Customers!C2132:C3131,"Country not Found",0)</f>
        <v>Country not Found</v>
      </c>
      <c r="G2132" s="7" t="str">
        <f>_xlfn.XLOOKUP(C2132,Products!A2132:A2631,Products!B2132:B2631,"Product Missing",0)</f>
        <v>Product Missing</v>
      </c>
      <c r="H2132" s="7" t="str">
        <f>_xlfn.XLOOKUP(C2132,Products!A2132:A2631,Products!C2132:C2631,"Category Missing",0)</f>
        <v>Category Missing</v>
      </c>
      <c r="I2132" s="11" t="str">
        <f>_xlfn.XLOOKUP(Orders!C2132,Products!A2132:A2631,Products!D2132:D2631,"Price Missing",0)</f>
        <v>Price Missing</v>
      </c>
      <c r="J2132" s="19">
        <f t="shared" si="33"/>
        <v>0</v>
      </c>
    </row>
    <row r="2133" spans="1:10" x14ac:dyDescent="0.35">
      <c r="A2133" s="4" t="s">
        <v>6153</v>
      </c>
      <c r="B2133" s="7" t="s">
        <v>1943</v>
      </c>
      <c r="C2133" s="7" t="s">
        <v>3862</v>
      </c>
      <c r="D2133" s="5">
        <v>7</v>
      </c>
      <c r="E2133" s="7" t="str">
        <f>_xlfn.XLOOKUP(B2133,Customers!A2133:A3132,Customers!B2133:B3132,"Customer Not Found",0)</f>
        <v>Customer Not Found</v>
      </c>
      <c r="F2133" s="7" t="str">
        <f>_xlfn.XLOOKUP(Orders!B2133,Customers!A2133:A3132,Customers!C2133:C3132,"Country not Found",0)</f>
        <v>Country not Found</v>
      </c>
      <c r="G2133" s="7" t="str">
        <f>_xlfn.XLOOKUP(C2133,Products!A2133:A2632,Products!B2133:B2632,"Product Missing",0)</f>
        <v>Product Missing</v>
      </c>
      <c r="H2133" s="7" t="str">
        <f>_xlfn.XLOOKUP(C2133,Products!A2133:A2632,Products!C2133:C2632,"Category Missing",0)</f>
        <v>Category Missing</v>
      </c>
      <c r="I2133" s="11" t="str">
        <f>_xlfn.XLOOKUP(Orders!C2133,Products!A2133:A2632,Products!D2133:D2632,"Price Missing",0)</f>
        <v>Price Missing</v>
      </c>
      <c r="J2133" s="19">
        <f t="shared" si="33"/>
        <v>0</v>
      </c>
    </row>
    <row r="2134" spans="1:10" x14ac:dyDescent="0.35">
      <c r="A2134" s="4" t="s">
        <v>6154</v>
      </c>
      <c r="B2134" s="7" t="s">
        <v>2744</v>
      </c>
      <c r="C2134" s="7" t="s">
        <v>3070</v>
      </c>
      <c r="D2134" s="5">
        <v>7</v>
      </c>
      <c r="E2134" s="7" t="str">
        <f>_xlfn.XLOOKUP(B2134,Customers!A2134:A3133,Customers!B2134:B3133,"Customer Not Found",0)</f>
        <v>Customer Not Found</v>
      </c>
      <c r="F2134" s="7" t="str">
        <f>_xlfn.XLOOKUP(Orders!B2134,Customers!A2134:A3133,Customers!C2134:C3133,"Country not Found",0)</f>
        <v>Country not Found</v>
      </c>
      <c r="G2134" s="7" t="str">
        <f>_xlfn.XLOOKUP(C2134,Products!A2134:A2633,Products!B2134:B2633,"Product Missing",0)</f>
        <v>Product Missing</v>
      </c>
      <c r="H2134" s="7" t="str">
        <f>_xlfn.XLOOKUP(C2134,Products!A2134:A2633,Products!C2134:C2633,"Category Missing",0)</f>
        <v>Category Missing</v>
      </c>
      <c r="I2134" s="11" t="str">
        <f>_xlfn.XLOOKUP(Orders!C2134,Products!A2134:A2633,Products!D2134:D2633,"Price Missing",0)</f>
        <v>Price Missing</v>
      </c>
      <c r="J2134" s="19">
        <f t="shared" si="33"/>
        <v>0</v>
      </c>
    </row>
    <row r="2135" spans="1:10" x14ac:dyDescent="0.35">
      <c r="A2135" s="4" t="s">
        <v>6155</v>
      </c>
      <c r="B2135" s="7" t="s">
        <v>2891</v>
      </c>
      <c r="C2135" s="7" t="s">
        <v>3606</v>
      </c>
      <c r="D2135" s="5">
        <v>1</v>
      </c>
      <c r="E2135" s="7" t="str">
        <f>_xlfn.XLOOKUP(B2135,Customers!A2135:A3134,Customers!B2135:B3134,"Customer Not Found",0)</f>
        <v>Customer Not Found</v>
      </c>
      <c r="F2135" s="7" t="str">
        <f>_xlfn.XLOOKUP(Orders!B2135,Customers!A2135:A3134,Customers!C2135:C3134,"Country not Found",0)</f>
        <v>Country not Found</v>
      </c>
      <c r="G2135" s="7" t="str">
        <f>_xlfn.XLOOKUP(C2135,Products!A2135:A2634,Products!B2135:B2634,"Product Missing",0)</f>
        <v>Product Missing</v>
      </c>
      <c r="H2135" s="7" t="str">
        <f>_xlfn.XLOOKUP(C2135,Products!A2135:A2634,Products!C2135:C2634,"Category Missing",0)</f>
        <v>Category Missing</v>
      </c>
      <c r="I2135" s="11" t="str">
        <f>_xlfn.XLOOKUP(Orders!C2135,Products!A2135:A2634,Products!D2135:D2634,"Price Missing",0)</f>
        <v>Price Missing</v>
      </c>
      <c r="J2135" s="19">
        <f t="shared" si="33"/>
        <v>0</v>
      </c>
    </row>
    <row r="2136" spans="1:10" x14ac:dyDescent="0.35">
      <c r="A2136" s="4" t="s">
        <v>6156</v>
      </c>
      <c r="B2136" s="7" t="s">
        <v>1175</v>
      </c>
      <c r="C2136" s="7" t="s">
        <v>3796</v>
      </c>
      <c r="D2136" s="5">
        <v>4</v>
      </c>
      <c r="E2136" s="7" t="str">
        <f>_xlfn.XLOOKUP(B2136,Customers!A2136:A3135,Customers!B2136:B3135,"Customer Not Found",0)</f>
        <v>Customer Not Found</v>
      </c>
      <c r="F2136" s="7" t="str">
        <f>_xlfn.XLOOKUP(Orders!B2136,Customers!A2136:A3135,Customers!C2136:C3135,"Country not Found",0)</f>
        <v>Country not Found</v>
      </c>
      <c r="G2136" s="7" t="str">
        <f>_xlfn.XLOOKUP(C2136,Products!A2136:A2635,Products!B2136:B2635,"Product Missing",0)</f>
        <v>Product Missing</v>
      </c>
      <c r="H2136" s="7" t="str">
        <f>_xlfn.XLOOKUP(C2136,Products!A2136:A2635,Products!C2136:C2635,"Category Missing",0)</f>
        <v>Category Missing</v>
      </c>
      <c r="I2136" s="11" t="str">
        <f>_xlfn.XLOOKUP(Orders!C2136,Products!A2136:A2635,Products!D2136:D2635,"Price Missing",0)</f>
        <v>Price Missing</v>
      </c>
      <c r="J2136" s="19">
        <f t="shared" si="33"/>
        <v>0</v>
      </c>
    </row>
    <row r="2137" spans="1:10" x14ac:dyDescent="0.35">
      <c r="A2137" s="4" t="s">
        <v>6157</v>
      </c>
      <c r="B2137" s="7" t="s">
        <v>2249</v>
      </c>
      <c r="C2137" s="7" t="s">
        <v>3552</v>
      </c>
      <c r="D2137" s="5">
        <v>8</v>
      </c>
      <c r="E2137" s="7" t="str">
        <f>_xlfn.XLOOKUP(B2137,Customers!A2137:A3136,Customers!B2137:B3136,"Customer Not Found",0)</f>
        <v>Customer Not Found</v>
      </c>
      <c r="F2137" s="7" t="str">
        <f>_xlfn.XLOOKUP(Orders!B2137,Customers!A2137:A3136,Customers!C2137:C3136,"Country not Found",0)</f>
        <v>Country not Found</v>
      </c>
      <c r="G2137" s="7" t="str">
        <f>_xlfn.XLOOKUP(C2137,Products!A2137:A2636,Products!B2137:B2636,"Product Missing",0)</f>
        <v>Product Missing</v>
      </c>
      <c r="H2137" s="7" t="str">
        <f>_xlfn.XLOOKUP(C2137,Products!A2137:A2636,Products!C2137:C2636,"Category Missing",0)</f>
        <v>Category Missing</v>
      </c>
      <c r="I2137" s="11" t="str">
        <f>_xlfn.XLOOKUP(Orders!C2137,Products!A2137:A2636,Products!D2137:D2636,"Price Missing",0)</f>
        <v>Price Missing</v>
      </c>
      <c r="J2137" s="19">
        <f t="shared" si="33"/>
        <v>0</v>
      </c>
    </row>
    <row r="2138" spans="1:10" x14ac:dyDescent="0.35">
      <c r="A2138" s="4" t="s">
        <v>6158</v>
      </c>
      <c r="B2138" s="7" t="s">
        <v>158</v>
      </c>
      <c r="C2138" s="7" t="s">
        <v>3308</v>
      </c>
      <c r="D2138" s="5">
        <v>1</v>
      </c>
      <c r="E2138" s="7" t="str">
        <f>_xlfn.XLOOKUP(B2138,Customers!A2138:A3137,Customers!B2138:B3137,"Customer Not Found",0)</f>
        <v>Customer Not Found</v>
      </c>
      <c r="F2138" s="7" t="str">
        <f>_xlfn.XLOOKUP(Orders!B2138,Customers!A2138:A3137,Customers!C2138:C3137,"Country not Found",0)</f>
        <v>Country not Found</v>
      </c>
      <c r="G2138" s="7" t="str">
        <f>_xlfn.XLOOKUP(C2138,Products!A2138:A2637,Products!B2138:B2637,"Product Missing",0)</f>
        <v>Product Missing</v>
      </c>
      <c r="H2138" s="7" t="str">
        <f>_xlfn.XLOOKUP(C2138,Products!A2138:A2637,Products!C2138:C2637,"Category Missing",0)</f>
        <v>Category Missing</v>
      </c>
      <c r="I2138" s="11" t="str">
        <f>_xlfn.XLOOKUP(Orders!C2138,Products!A2138:A2637,Products!D2138:D2637,"Price Missing",0)</f>
        <v>Price Missing</v>
      </c>
      <c r="J2138" s="19">
        <f t="shared" si="33"/>
        <v>0</v>
      </c>
    </row>
    <row r="2139" spans="1:10" x14ac:dyDescent="0.35">
      <c r="A2139" s="4" t="s">
        <v>6159</v>
      </c>
      <c r="B2139" s="7" t="s">
        <v>497</v>
      </c>
      <c r="C2139" s="7" t="s">
        <v>3018</v>
      </c>
      <c r="D2139" s="5">
        <v>3</v>
      </c>
      <c r="E2139" s="7" t="str">
        <f>_xlfn.XLOOKUP(B2139,Customers!A2139:A3138,Customers!B2139:B3138,"Customer Not Found",0)</f>
        <v>Customer Not Found</v>
      </c>
      <c r="F2139" s="7" t="str">
        <f>_xlfn.XLOOKUP(Orders!B2139,Customers!A2139:A3138,Customers!C2139:C3138,"Country not Found",0)</f>
        <v>Country not Found</v>
      </c>
      <c r="G2139" s="7" t="str">
        <f>_xlfn.XLOOKUP(C2139,Products!A2139:A2638,Products!B2139:B2638,"Product Missing",0)</f>
        <v>Product Missing</v>
      </c>
      <c r="H2139" s="7" t="str">
        <f>_xlfn.XLOOKUP(C2139,Products!A2139:A2638,Products!C2139:C2638,"Category Missing",0)</f>
        <v>Category Missing</v>
      </c>
      <c r="I2139" s="11" t="str">
        <f>_xlfn.XLOOKUP(Orders!C2139,Products!A2139:A2638,Products!D2139:D2638,"Price Missing",0)</f>
        <v>Price Missing</v>
      </c>
      <c r="J2139" s="19">
        <f t="shared" si="33"/>
        <v>0</v>
      </c>
    </row>
    <row r="2140" spans="1:10" x14ac:dyDescent="0.35">
      <c r="A2140" s="4" t="s">
        <v>6160</v>
      </c>
      <c r="B2140" s="7" t="s">
        <v>935</v>
      </c>
      <c r="C2140" s="7" t="s">
        <v>3808</v>
      </c>
      <c r="D2140" s="5">
        <v>7</v>
      </c>
      <c r="E2140" s="7" t="str">
        <f>_xlfn.XLOOKUP(B2140,Customers!A2140:A3139,Customers!B2140:B3139,"Customer Not Found",0)</f>
        <v>Customer Not Found</v>
      </c>
      <c r="F2140" s="7" t="str">
        <f>_xlfn.XLOOKUP(Orders!B2140,Customers!A2140:A3139,Customers!C2140:C3139,"Country not Found",0)</f>
        <v>Country not Found</v>
      </c>
      <c r="G2140" s="7" t="str">
        <f>_xlfn.XLOOKUP(C2140,Products!A2140:A2639,Products!B2140:B2639,"Product Missing",0)</f>
        <v>Product Missing</v>
      </c>
      <c r="H2140" s="7" t="str">
        <f>_xlfn.XLOOKUP(C2140,Products!A2140:A2639,Products!C2140:C2639,"Category Missing",0)</f>
        <v>Category Missing</v>
      </c>
      <c r="I2140" s="11" t="str">
        <f>_xlfn.XLOOKUP(Orders!C2140,Products!A2140:A2639,Products!D2140:D2639,"Price Missing",0)</f>
        <v>Price Missing</v>
      </c>
      <c r="J2140" s="19">
        <f t="shared" si="33"/>
        <v>0</v>
      </c>
    </row>
    <row r="2141" spans="1:10" x14ac:dyDescent="0.35">
      <c r="A2141" s="4" t="s">
        <v>6161</v>
      </c>
      <c r="B2141" s="7" t="s">
        <v>815</v>
      </c>
      <c r="C2141" s="7" t="s">
        <v>3570</v>
      </c>
      <c r="D2141" s="5">
        <v>3</v>
      </c>
      <c r="E2141" s="7" t="str">
        <f>_xlfn.XLOOKUP(B2141,Customers!A2141:A3140,Customers!B2141:B3140,"Customer Not Found",0)</f>
        <v>Customer Not Found</v>
      </c>
      <c r="F2141" s="7" t="str">
        <f>_xlfn.XLOOKUP(Orders!B2141,Customers!A2141:A3140,Customers!C2141:C3140,"Country not Found",0)</f>
        <v>Country not Found</v>
      </c>
      <c r="G2141" s="7" t="str">
        <f>_xlfn.XLOOKUP(C2141,Products!A2141:A2640,Products!B2141:B2640,"Product Missing",0)</f>
        <v>Product Missing</v>
      </c>
      <c r="H2141" s="7" t="str">
        <f>_xlfn.XLOOKUP(C2141,Products!A2141:A2640,Products!C2141:C2640,"Category Missing",0)</f>
        <v>Category Missing</v>
      </c>
      <c r="I2141" s="11" t="str">
        <f>_xlfn.XLOOKUP(Orders!C2141,Products!A2141:A2640,Products!D2141:D2640,"Price Missing",0)</f>
        <v>Price Missing</v>
      </c>
      <c r="J2141" s="19">
        <f t="shared" si="33"/>
        <v>0</v>
      </c>
    </row>
    <row r="2142" spans="1:10" x14ac:dyDescent="0.35">
      <c r="A2142" s="4" t="s">
        <v>6162</v>
      </c>
      <c r="B2142" s="7" t="s">
        <v>2813</v>
      </c>
      <c r="C2142" s="7" t="s">
        <v>3180</v>
      </c>
      <c r="D2142" s="5">
        <v>9</v>
      </c>
      <c r="E2142" s="7" t="str">
        <f>_xlfn.XLOOKUP(B2142,Customers!A2142:A3141,Customers!B2142:B3141,"Customer Not Found",0)</f>
        <v>Customer Not Found</v>
      </c>
      <c r="F2142" s="7" t="str">
        <f>_xlfn.XLOOKUP(Orders!B2142,Customers!A2142:A3141,Customers!C2142:C3141,"Country not Found",0)</f>
        <v>Country not Found</v>
      </c>
      <c r="G2142" s="7" t="str">
        <f>_xlfn.XLOOKUP(C2142,Products!A2142:A2641,Products!B2142:B2641,"Product Missing",0)</f>
        <v>Product Missing</v>
      </c>
      <c r="H2142" s="7" t="str">
        <f>_xlfn.XLOOKUP(C2142,Products!A2142:A2641,Products!C2142:C2641,"Category Missing",0)</f>
        <v>Category Missing</v>
      </c>
      <c r="I2142" s="11" t="str">
        <f>_xlfn.XLOOKUP(Orders!C2142,Products!A2142:A2641,Products!D2142:D2641,"Price Missing",0)</f>
        <v>Price Missing</v>
      </c>
      <c r="J2142" s="19">
        <f t="shared" si="33"/>
        <v>0</v>
      </c>
    </row>
    <row r="2143" spans="1:10" x14ac:dyDescent="0.35">
      <c r="A2143" s="4" t="s">
        <v>6163</v>
      </c>
      <c r="B2143" s="7" t="s">
        <v>449</v>
      </c>
      <c r="C2143" s="7" t="s">
        <v>3774</v>
      </c>
      <c r="D2143" s="5">
        <v>6</v>
      </c>
      <c r="E2143" s="7" t="str">
        <f>_xlfn.XLOOKUP(B2143,Customers!A2143:A3142,Customers!B2143:B3142,"Customer Not Found",0)</f>
        <v>Customer Not Found</v>
      </c>
      <c r="F2143" s="7" t="str">
        <f>_xlfn.XLOOKUP(Orders!B2143,Customers!A2143:A3142,Customers!C2143:C3142,"Country not Found",0)</f>
        <v>Country not Found</v>
      </c>
      <c r="G2143" s="7" t="str">
        <f>_xlfn.XLOOKUP(C2143,Products!A2143:A2642,Products!B2143:B2642,"Product Missing",0)</f>
        <v>Product Missing</v>
      </c>
      <c r="H2143" s="7" t="str">
        <f>_xlfn.XLOOKUP(C2143,Products!A2143:A2642,Products!C2143:C2642,"Category Missing",0)</f>
        <v>Category Missing</v>
      </c>
      <c r="I2143" s="11" t="str">
        <f>_xlfn.XLOOKUP(Orders!C2143,Products!A2143:A2642,Products!D2143:D2642,"Price Missing",0)</f>
        <v>Price Missing</v>
      </c>
      <c r="J2143" s="19">
        <f t="shared" si="33"/>
        <v>0</v>
      </c>
    </row>
    <row r="2144" spans="1:10" x14ac:dyDescent="0.35">
      <c r="A2144" s="4" t="s">
        <v>6164</v>
      </c>
      <c r="B2144" s="7" t="s">
        <v>470</v>
      </c>
      <c r="C2144" s="7" t="s">
        <v>3104</v>
      </c>
      <c r="D2144" s="5">
        <v>6</v>
      </c>
      <c r="E2144" s="7" t="str">
        <f>_xlfn.XLOOKUP(B2144,Customers!A2144:A3143,Customers!B2144:B3143,"Customer Not Found",0)</f>
        <v>Customer Not Found</v>
      </c>
      <c r="F2144" s="7" t="str">
        <f>_xlfn.XLOOKUP(Orders!B2144,Customers!A2144:A3143,Customers!C2144:C3143,"Country not Found",0)</f>
        <v>Country not Found</v>
      </c>
      <c r="G2144" s="7" t="str">
        <f>_xlfn.XLOOKUP(C2144,Products!A2144:A2643,Products!B2144:B2643,"Product Missing",0)</f>
        <v>Product Missing</v>
      </c>
      <c r="H2144" s="7" t="str">
        <f>_xlfn.XLOOKUP(C2144,Products!A2144:A2643,Products!C2144:C2643,"Category Missing",0)</f>
        <v>Category Missing</v>
      </c>
      <c r="I2144" s="11" t="str">
        <f>_xlfn.XLOOKUP(Orders!C2144,Products!A2144:A2643,Products!D2144:D2643,"Price Missing",0)</f>
        <v>Price Missing</v>
      </c>
      <c r="J2144" s="19">
        <f t="shared" si="33"/>
        <v>0</v>
      </c>
    </row>
    <row r="2145" spans="1:10" x14ac:dyDescent="0.35">
      <c r="A2145" s="4" t="s">
        <v>6165</v>
      </c>
      <c r="B2145" s="7" t="s">
        <v>2411</v>
      </c>
      <c r="C2145" s="7" t="s">
        <v>3400</v>
      </c>
      <c r="D2145" s="5">
        <v>1</v>
      </c>
      <c r="E2145" s="7" t="str">
        <f>_xlfn.XLOOKUP(B2145,Customers!A2145:A3144,Customers!B2145:B3144,"Customer Not Found",0)</f>
        <v>Customer Not Found</v>
      </c>
      <c r="F2145" s="7" t="str">
        <f>_xlfn.XLOOKUP(Orders!B2145,Customers!A2145:A3144,Customers!C2145:C3144,"Country not Found",0)</f>
        <v>Country not Found</v>
      </c>
      <c r="G2145" s="7" t="str">
        <f>_xlfn.XLOOKUP(C2145,Products!A2145:A2644,Products!B2145:B2644,"Product Missing",0)</f>
        <v>Product Missing</v>
      </c>
      <c r="H2145" s="7" t="str">
        <f>_xlfn.XLOOKUP(C2145,Products!A2145:A2644,Products!C2145:C2644,"Category Missing",0)</f>
        <v>Category Missing</v>
      </c>
      <c r="I2145" s="11" t="str">
        <f>_xlfn.XLOOKUP(Orders!C2145,Products!A2145:A2644,Products!D2145:D2644,"Price Missing",0)</f>
        <v>Price Missing</v>
      </c>
      <c r="J2145" s="19">
        <f t="shared" si="33"/>
        <v>0</v>
      </c>
    </row>
    <row r="2146" spans="1:10" x14ac:dyDescent="0.35">
      <c r="A2146" s="4" t="s">
        <v>6166</v>
      </c>
      <c r="B2146" s="7" t="s">
        <v>2375</v>
      </c>
      <c r="C2146" s="7" t="s">
        <v>3426</v>
      </c>
      <c r="D2146" s="5">
        <v>6</v>
      </c>
      <c r="E2146" s="7" t="str">
        <f>_xlfn.XLOOKUP(B2146,Customers!A2146:A3145,Customers!B2146:B3145,"Customer Not Found",0)</f>
        <v>Customer Not Found</v>
      </c>
      <c r="F2146" s="7" t="str">
        <f>_xlfn.XLOOKUP(Orders!B2146,Customers!A2146:A3145,Customers!C2146:C3145,"Country not Found",0)</f>
        <v>Country not Found</v>
      </c>
      <c r="G2146" s="7" t="str">
        <f>_xlfn.XLOOKUP(C2146,Products!A2146:A2645,Products!B2146:B2645,"Product Missing",0)</f>
        <v>Product Missing</v>
      </c>
      <c r="H2146" s="7" t="str">
        <f>_xlfn.XLOOKUP(C2146,Products!A2146:A2645,Products!C2146:C2645,"Category Missing",0)</f>
        <v>Category Missing</v>
      </c>
      <c r="I2146" s="11" t="str">
        <f>_xlfn.XLOOKUP(Orders!C2146,Products!A2146:A2645,Products!D2146:D2645,"Price Missing",0)</f>
        <v>Price Missing</v>
      </c>
      <c r="J2146" s="19">
        <f t="shared" si="33"/>
        <v>0</v>
      </c>
    </row>
    <row r="2147" spans="1:10" x14ac:dyDescent="0.35">
      <c r="A2147" s="4" t="s">
        <v>6167</v>
      </c>
      <c r="B2147" s="7" t="s">
        <v>2519</v>
      </c>
      <c r="C2147" s="7" t="s">
        <v>3896</v>
      </c>
      <c r="D2147" s="5">
        <v>4</v>
      </c>
      <c r="E2147" s="7" t="str">
        <f>_xlfn.XLOOKUP(B2147,Customers!A2147:A3146,Customers!B2147:B3146,"Customer Not Found",0)</f>
        <v>Customer Not Found</v>
      </c>
      <c r="F2147" s="7" t="str">
        <f>_xlfn.XLOOKUP(Orders!B2147,Customers!A2147:A3146,Customers!C2147:C3146,"Country not Found",0)</f>
        <v>Country not Found</v>
      </c>
      <c r="G2147" s="7" t="str">
        <f>_xlfn.XLOOKUP(C2147,Products!A2147:A2646,Products!B2147:B2646,"Product Missing",0)</f>
        <v>Product Missing</v>
      </c>
      <c r="H2147" s="7" t="str">
        <f>_xlfn.XLOOKUP(C2147,Products!A2147:A2646,Products!C2147:C2646,"Category Missing",0)</f>
        <v>Category Missing</v>
      </c>
      <c r="I2147" s="11" t="str">
        <f>_xlfn.XLOOKUP(Orders!C2147,Products!A2147:A2646,Products!D2147:D2646,"Price Missing",0)</f>
        <v>Price Missing</v>
      </c>
      <c r="J2147" s="19">
        <f t="shared" si="33"/>
        <v>0</v>
      </c>
    </row>
    <row r="2148" spans="1:10" x14ac:dyDescent="0.35">
      <c r="A2148" s="4" t="s">
        <v>6168</v>
      </c>
      <c r="B2148" s="7" t="s">
        <v>680</v>
      </c>
      <c r="C2148" s="7" t="s">
        <v>3588</v>
      </c>
      <c r="D2148" s="5">
        <v>2</v>
      </c>
      <c r="E2148" s="7" t="str">
        <f>_xlfn.XLOOKUP(B2148,Customers!A2148:A3147,Customers!B2148:B3147,"Customer Not Found",0)</f>
        <v>Customer Not Found</v>
      </c>
      <c r="F2148" s="7" t="str">
        <f>_xlfn.XLOOKUP(Orders!B2148,Customers!A2148:A3147,Customers!C2148:C3147,"Country not Found",0)</f>
        <v>Country not Found</v>
      </c>
      <c r="G2148" s="7" t="str">
        <f>_xlfn.XLOOKUP(C2148,Products!A2148:A2647,Products!B2148:B2647,"Product Missing",0)</f>
        <v>Product Missing</v>
      </c>
      <c r="H2148" s="7" t="str">
        <f>_xlfn.XLOOKUP(C2148,Products!A2148:A2647,Products!C2148:C2647,"Category Missing",0)</f>
        <v>Category Missing</v>
      </c>
      <c r="I2148" s="11" t="str">
        <f>_xlfn.XLOOKUP(Orders!C2148,Products!A2148:A2647,Products!D2148:D2647,"Price Missing",0)</f>
        <v>Price Missing</v>
      </c>
      <c r="J2148" s="19">
        <f t="shared" si="33"/>
        <v>0</v>
      </c>
    </row>
    <row r="2149" spans="1:10" x14ac:dyDescent="0.35">
      <c r="A2149" s="4" t="s">
        <v>6169</v>
      </c>
      <c r="B2149" s="7" t="s">
        <v>2615</v>
      </c>
      <c r="C2149" s="7" t="s">
        <v>3902</v>
      </c>
      <c r="D2149" s="5">
        <v>2</v>
      </c>
      <c r="E2149" s="7" t="str">
        <f>_xlfn.XLOOKUP(B2149,Customers!A2149:A3148,Customers!B2149:B3148,"Customer Not Found",0)</f>
        <v>Customer Not Found</v>
      </c>
      <c r="F2149" s="7" t="str">
        <f>_xlfn.XLOOKUP(Orders!B2149,Customers!A2149:A3148,Customers!C2149:C3148,"Country not Found",0)</f>
        <v>Country not Found</v>
      </c>
      <c r="G2149" s="7" t="str">
        <f>_xlfn.XLOOKUP(C2149,Products!A2149:A2648,Products!B2149:B2648,"Product Missing",0)</f>
        <v>Product Missing</v>
      </c>
      <c r="H2149" s="7" t="str">
        <f>_xlfn.XLOOKUP(C2149,Products!A2149:A2648,Products!C2149:C2648,"Category Missing",0)</f>
        <v>Category Missing</v>
      </c>
      <c r="I2149" s="11" t="str">
        <f>_xlfn.XLOOKUP(Orders!C2149,Products!A2149:A2648,Products!D2149:D2648,"Price Missing",0)</f>
        <v>Price Missing</v>
      </c>
      <c r="J2149" s="19">
        <f t="shared" si="33"/>
        <v>0</v>
      </c>
    </row>
    <row r="2150" spans="1:10" x14ac:dyDescent="0.35">
      <c r="A2150" s="4" t="s">
        <v>6170</v>
      </c>
      <c r="B2150" s="7" t="s">
        <v>2945</v>
      </c>
      <c r="C2150" s="7" t="s">
        <v>3684</v>
      </c>
      <c r="D2150" s="5">
        <v>5</v>
      </c>
      <c r="E2150" s="7" t="str">
        <f>_xlfn.XLOOKUP(B2150,Customers!A2150:A3149,Customers!B2150:B3149,"Customer Not Found",0)</f>
        <v>Customer Not Found</v>
      </c>
      <c r="F2150" s="7" t="str">
        <f>_xlfn.XLOOKUP(Orders!B2150,Customers!A2150:A3149,Customers!C2150:C3149,"Country not Found",0)</f>
        <v>Country not Found</v>
      </c>
      <c r="G2150" s="7" t="str">
        <f>_xlfn.XLOOKUP(C2150,Products!A2150:A2649,Products!B2150:B2649,"Product Missing",0)</f>
        <v>Product Missing</v>
      </c>
      <c r="H2150" s="7" t="str">
        <f>_xlfn.XLOOKUP(C2150,Products!A2150:A2649,Products!C2150:C2649,"Category Missing",0)</f>
        <v>Category Missing</v>
      </c>
      <c r="I2150" s="11" t="str">
        <f>_xlfn.XLOOKUP(Orders!C2150,Products!A2150:A2649,Products!D2150:D2649,"Price Missing",0)</f>
        <v>Price Missing</v>
      </c>
      <c r="J2150" s="19">
        <f t="shared" si="33"/>
        <v>0</v>
      </c>
    </row>
    <row r="2151" spans="1:10" x14ac:dyDescent="0.35">
      <c r="A2151" s="4" t="s">
        <v>6171</v>
      </c>
      <c r="B2151" s="7" t="s">
        <v>152</v>
      </c>
      <c r="C2151" s="7" t="s">
        <v>3734</v>
      </c>
      <c r="D2151" s="5">
        <v>4</v>
      </c>
      <c r="E2151" s="7" t="str">
        <f>_xlfn.XLOOKUP(B2151,Customers!A2151:A3150,Customers!B2151:B3150,"Customer Not Found",0)</f>
        <v>Customer Not Found</v>
      </c>
      <c r="F2151" s="7" t="str">
        <f>_xlfn.XLOOKUP(Orders!B2151,Customers!A2151:A3150,Customers!C2151:C3150,"Country not Found",0)</f>
        <v>Country not Found</v>
      </c>
      <c r="G2151" s="7" t="str">
        <f>_xlfn.XLOOKUP(C2151,Products!A2151:A2650,Products!B2151:B2650,"Product Missing",0)</f>
        <v>Product Missing</v>
      </c>
      <c r="H2151" s="7" t="str">
        <f>_xlfn.XLOOKUP(C2151,Products!A2151:A2650,Products!C2151:C2650,"Category Missing",0)</f>
        <v>Category Missing</v>
      </c>
      <c r="I2151" s="11" t="str">
        <f>_xlfn.XLOOKUP(Orders!C2151,Products!A2151:A2650,Products!D2151:D2650,"Price Missing",0)</f>
        <v>Price Missing</v>
      </c>
      <c r="J2151" s="19">
        <f t="shared" si="33"/>
        <v>0</v>
      </c>
    </row>
    <row r="2152" spans="1:10" x14ac:dyDescent="0.35">
      <c r="A2152" s="4" t="s">
        <v>6172</v>
      </c>
      <c r="B2152" s="7" t="s">
        <v>1526</v>
      </c>
      <c r="C2152" s="7" t="s">
        <v>3972</v>
      </c>
      <c r="D2152" s="5">
        <v>3</v>
      </c>
      <c r="E2152" s="7" t="str">
        <f>_xlfn.XLOOKUP(B2152,Customers!A2152:A3151,Customers!B2152:B3151,"Customer Not Found",0)</f>
        <v>Customer Not Found</v>
      </c>
      <c r="F2152" s="7" t="str">
        <f>_xlfn.XLOOKUP(Orders!B2152,Customers!A2152:A3151,Customers!C2152:C3151,"Country not Found",0)</f>
        <v>Country not Found</v>
      </c>
      <c r="G2152" s="7" t="str">
        <f>_xlfn.XLOOKUP(C2152,Products!A2152:A2651,Products!B2152:B2651,"Product Missing",0)</f>
        <v>Product Missing</v>
      </c>
      <c r="H2152" s="7" t="str">
        <f>_xlfn.XLOOKUP(C2152,Products!A2152:A2651,Products!C2152:C2651,"Category Missing",0)</f>
        <v>Category Missing</v>
      </c>
      <c r="I2152" s="11" t="str">
        <f>_xlfn.XLOOKUP(Orders!C2152,Products!A2152:A2651,Products!D2152:D2651,"Price Missing",0)</f>
        <v>Price Missing</v>
      </c>
      <c r="J2152" s="19">
        <f t="shared" si="33"/>
        <v>0</v>
      </c>
    </row>
    <row r="2153" spans="1:10" x14ac:dyDescent="0.35">
      <c r="A2153" s="4" t="s">
        <v>6173</v>
      </c>
      <c r="B2153" s="7" t="s">
        <v>2966</v>
      </c>
      <c r="C2153" s="7" t="s">
        <v>3382</v>
      </c>
      <c r="D2153" s="5">
        <v>5</v>
      </c>
      <c r="E2153" s="7" t="str">
        <f>_xlfn.XLOOKUP(B2153,Customers!A2153:A3152,Customers!B2153:B3152,"Customer Not Found",0)</f>
        <v>Customer Not Found</v>
      </c>
      <c r="F2153" s="7" t="str">
        <f>_xlfn.XLOOKUP(Orders!B2153,Customers!A2153:A3152,Customers!C2153:C3152,"Country not Found",0)</f>
        <v>Country not Found</v>
      </c>
      <c r="G2153" s="7" t="str">
        <f>_xlfn.XLOOKUP(C2153,Products!A2153:A2652,Products!B2153:B2652,"Product Missing",0)</f>
        <v>Product Missing</v>
      </c>
      <c r="H2153" s="7" t="str">
        <f>_xlfn.XLOOKUP(C2153,Products!A2153:A2652,Products!C2153:C2652,"Category Missing",0)</f>
        <v>Category Missing</v>
      </c>
      <c r="I2153" s="11" t="str">
        <f>_xlfn.XLOOKUP(Orders!C2153,Products!A2153:A2652,Products!D2153:D2652,"Price Missing",0)</f>
        <v>Price Missing</v>
      </c>
      <c r="J2153" s="19">
        <f t="shared" si="33"/>
        <v>0</v>
      </c>
    </row>
    <row r="2154" spans="1:10" x14ac:dyDescent="0.35">
      <c r="A2154" s="4" t="s">
        <v>6174</v>
      </c>
      <c r="B2154" s="7" t="s">
        <v>467</v>
      </c>
      <c r="C2154" s="7" t="s">
        <v>4006</v>
      </c>
      <c r="D2154" s="5">
        <v>3</v>
      </c>
      <c r="E2154" s="7" t="str">
        <f>_xlfn.XLOOKUP(B2154,Customers!A2154:A3153,Customers!B2154:B3153,"Customer Not Found",0)</f>
        <v>Customer Not Found</v>
      </c>
      <c r="F2154" s="7" t="str">
        <f>_xlfn.XLOOKUP(Orders!B2154,Customers!A2154:A3153,Customers!C2154:C3153,"Country not Found",0)</f>
        <v>Country not Found</v>
      </c>
      <c r="G2154" s="7" t="str">
        <f>_xlfn.XLOOKUP(C2154,Products!A2154:A2653,Products!B2154:B2653,"Product Missing",0)</f>
        <v>Product Missing</v>
      </c>
      <c r="H2154" s="7" t="str">
        <f>_xlfn.XLOOKUP(C2154,Products!A2154:A2653,Products!C2154:C2653,"Category Missing",0)</f>
        <v>Category Missing</v>
      </c>
      <c r="I2154" s="11" t="str">
        <f>_xlfn.XLOOKUP(Orders!C2154,Products!A2154:A2653,Products!D2154:D2653,"Price Missing",0)</f>
        <v>Price Missing</v>
      </c>
      <c r="J2154" s="19">
        <f t="shared" si="33"/>
        <v>0</v>
      </c>
    </row>
    <row r="2155" spans="1:10" x14ac:dyDescent="0.35">
      <c r="A2155" s="4" t="s">
        <v>6175</v>
      </c>
      <c r="B2155" s="7" t="s">
        <v>1196</v>
      </c>
      <c r="C2155" s="7" t="s">
        <v>3398</v>
      </c>
      <c r="D2155" s="5">
        <v>8</v>
      </c>
      <c r="E2155" s="7" t="str">
        <f>_xlfn.XLOOKUP(B2155,Customers!A2155:A3154,Customers!B2155:B3154,"Customer Not Found",0)</f>
        <v>Customer Not Found</v>
      </c>
      <c r="F2155" s="7" t="str">
        <f>_xlfn.XLOOKUP(Orders!B2155,Customers!A2155:A3154,Customers!C2155:C3154,"Country not Found",0)</f>
        <v>Country not Found</v>
      </c>
      <c r="G2155" s="7" t="str">
        <f>_xlfn.XLOOKUP(C2155,Products!A2155:A2654,Products!B2155:B2654,"Product Missing",0)</f>
        <v>Product Missing</v>
      </c>
      <c r="H2155" s="7" t="str">
        <f>_xlfn.XLOOKUP(C2155,Products!A2155:A2654,Products!C2155:C2654,"Category Missing",0)</f>
        <v>Category Missing</v>
      </c>
      <c r="I2155" s="11" t="str">
        <f>_xlfn.XLOOKUP(Orders!C2155,Products!A2155:A2654,Products!D2155:D2654,"Price Missing",0)</f>
        <v>Price Missing</v>
      </c>
      <c r="J2155" s="19">
        <f t="shared" si="33"/>
        <v>0</v>
      </c>
    </row>
    <row r="2156" spans="1:10" x14ac:dyDescent="0.35">
      <c r="A2156" s="4" t="s">
        <v>6176</v>
      </c>
      <c r="B2156" s="7" t="s">
        <v>2261</v>
      </c>
      <c r="C2156" s="7" t="s">
        <v>3950</v>
      </c>
      <c r="D2156" s="5">
        <v>9</v>
      </c>
      <c r="E2156" s="7" t="str">
        <f>_xlfn.XLOOKUP(B2156,Customers!A2156:A3155,Customers!B2156:B3155,"Customer Not Found",0)</f>
        <v>Customer Not Found</v>
      </c>
      <c r="F2156" s="7" t="str">
        <f>_xlfn.XLOOKUP(Orders!B2156,Customers!A2156:A3155,Customers!C2156:C3155,"Country not Found",0)</f>
        <v>Country not Found</v>
      </c>
      <c r="G2156" s="7" t="str">
        <f>_xlfn.XLOOKUP(C2156,Products!A2156:A2655,Products!B2156:B2655,"Product Missing",0)</f>
        <v>Product Missing</v>
      </c>
      <c r="H2156" s="7" t="str">
        <f>_xlfn.XLOOKUP(C2156,Products!A2156:A2655,Products!C2156:C2655,"Category Missing",0)</f>
        <v>Category Missing</v>
      </c>
      <c r="I2156" s="11" t="str">
        <f>_xlfn.XLOOKUP(Orders!C2156,Products!A2156:A2655,Products!D2156:D2655,"Price Missing",0)</f>
        <v>Price Missing</v>
      </c>
      <c r="J2156" s="19">
        <f t="shared" si="33"/>
        <v>0</v>
      </c>
    </row>
    <row r="2157" spans="1:10" x14ac:dyDescent="0.35">
      <c r="A2157" s="4" t="s">
        <v>6177</v>
      </c>
      <c r="B2157" s="7" t="s">
        <v>932</v>
      </c>
      <c r="C2157" s="7" t="s">
        <v>3260</v>
      </c>
      <c r="D2157" s="5">
        <v>8</v>
      </c>
      <c r="E2157" s="7" t="str">
        <f>_xlfn.XLOOKUP(B2157,Customers!A2157:A3156,Customers!B2157:B3156,"Customer Not Found",0)</f>
        <v>Customer Not Found</v>
      </c>
      <c r="F2157" s="7" t="str">
        <f>_xlfn.XLOOKUP(Orders!B2157,Customers!A2157:A3156,Customers!C2157:C3156,"Country not Found",0)</f>
        <v>Country not Found</v>
      </c>
      <c r="G2157" s="7" t="str">
        <f>_xlfn.XLOOKUP(C2157,Products!A2157:A2656,Products!B2157:B2656,"Product Missing",0)</f>
        <v>Product Missing</v>
      </c>
      <c r="H2157" s="7" t="str">
        <f>_xlfn.XLOOKUP(C2157,Products!A2157:A2656,Products!C2157:C2656,"Category Missing",0)</f>
        <v>Category Missing</v>
      </c>
      <c r="I2157" s="11" t="str">
        <f>_xlfn.XLOOKUP(Orders!C2157,Products!A2157:A2656,Products!D2157:D2656,"Price Missing",0)</f>
        <v>Price Missing</v>
      </c>
      <c r="J2157" s="19">
        <f t="shared" si="33"/>
        <v>0</v>
      </c>
    </row>
    <row r="2158" spans="1:10" x14ac:dyDescent="0.35">
      <c r="A2158" s="4" t="s">
        <v>6178</v>
      </c>
      <c r="B2158" s="7" t="s">
        <v>2927</v>
      </c>
      <c r="C2158" s="7" t="s">
        <v>3980</v>
      </c>
      <c r="D2158" s="5">
        <v>7</v>
      </c>
      <c r="E2158" s="7" t="str">
        <f>_xlfn.XLOOKUP(B2158,Customers!A2158:A3157,Customers!B2158:B3157,"Customer Not Found",0)</f>
        <v>Customer Not Found</v>
      </c>
      <c r="F2158" s="7" t="str">
        <f>_xlfn.XLOOKUP(Orders!B2158,Customers!A2158:A3157,Customers!C2158:C3157,"Country not Found",0)</f>
        <v>Country not Found</v>
      </c>
      <c r="G2158" s="7" t="str">
        <f>_xlfn.XLOOKUP(C2158,Products!A2158:A2657,Products!B2158:B2657,"Product Missing",0)</f>
        <v>Product Missing</v>
      </c>
      <c r="H2158" s="7" t="str">
        <f>_xlfn.XLOOKUP(C2158,Products!A2158:A2657,Products!C2158:C2657,"Category Missing",0)</f>
        <v>Category Missing</v>
      </c>
      <c r="I2158" s="11" t="str">
        <f>_xlfn.XLOOKUP(Orders!C2158,Products!A2158:A2657,Products!D2158:D2657,"Price Missing",0)</f>
        <v>Price Missing</v>
      </c>
      <c r="J2158" s="19">
        <f t="shared" si="33"/>
        <v>0</v>
      </c>
    </row>
    <row r="2159" spans="1:10" x14ac:dyDescent="0.35">
      <c r="A2159" s="4" t="s">
        <v>6179</v>
      </c>
      <c r="B2159" s="7" t="s">
        <v>404</v>
      </c>
      <c r="C2159" s="7" t="s">
        <v>3142</v>
      </c>
      <c r="D2159" s="5">
        <v>6</v>
      </c>
      <c r="E2159" s="7" t="str">
        <f>_xlfn.XLOOKUP(B2159,Customers!A2159:A3158,Customers!B2159:B3158,"Customer Not Found",0)</f>
        <v>Customer Not Found</v>
      </c>
      <c r="F2159" s="7" t="str">
        <f>_xlfn.XLOOKUP(Orders!B2159,Customers!A2159:A3158,Customers!C2159:C3158,"Country not Found",0)</f>
        <v>Country not Found</v>
      </c>
      <c r="G2159" s="7" t="str">
        <f>_xlfn.XLOOKUP(C2159,Products!A2159:A2658,Products!B2159:B2658,"Product Missing",0)</f>
        <v>Product Missing</v>
      </c>
      <c r="H2159" s="7" t="str">
        <f>_xlfn.XLOOKUP(C2159,Products!A2159:A2658,Products!C2159:C2658,"Category Missing",0)</f>
        <v>Category Missing</v>
      </c>
      <c r="I2159" s="11" t="str">
        <f>_xlfn.XLOOKUP(Orders!C2159,Products!A2159:A2658,Products!D2159:D2658,"Price Missing",0)</f>
        <v>Price Missing</v>
      </c>
      <c r="J2159" s="19">
        <f t="shared" si="33"/>
        <v>0</v>
      </c>
    </row>
    <row r="2160" spans="1:10" x14ac:dyDescent="0.35">
      <c r="A2160" s="4" t="s">
        <v>6180</v>
      </c>
      <c r="B2160" s="7" t="s">
        <v>383</v>
      </c>
      <c r="C2160" s="7" t="s">
        <v>3492</v>
      </c>
      <c r="D2160" s="5">
        <v>3</v>
      </c>
      <c r="E2160" s="7" t="str">
        <f>_xlfn.XLOOKUP(B2160,Customers!A2160:A3159,Customers!B2160:B3159,"Customer Not Found",0)</f>
        <v>Customer Not Found</v>
      </c>
      <c r="F2160" s="7" t="str">
        <f>_xlfn.XLOOKUP(Orders!B2160,Customers!A2160:A3159,Customers!C2160:C3159,"Country not Found",0)</f>
        <v>Country not Found</v>
      </c>
      <c r="G2160" s="7" t="str">
        <f>_xlfn.XLOOKUP(C2160,Products!A2160:A2659,Products!B2160:B2659,"Product Missing",0)</f>
        <v>Product Missing</v>
      </c>
      <c r="H2160" s="7" t="str">
        <f>_xlfn.XLOOKUP(C2160,Products!A2160:A2659,Products!C2160:C2659,"Category Missing",0)</f>
        <v>Category Missing</v>
      </c>
      <c r="I2160" s="11" t="str">
        <f>_xlfn.XLOOKUP(Orders!C2160,Products!A2160:A2659,Products!D2160:D2659,"Price Missing",0)</f>
        <v>Price Missing</v>
      </c>
      <c r="J2160" s="19">
        <f t="shared" si="33"/>
        <v>0</v>
      </c>
    </row>
    <row r="2161" spans="1:10" x14ac:dyDescent="0.35">
      <c r="A2161" s="4" t="s">
        <v>6181</v>
      </c>
      <c r="B2161" s="7" t="s">
        <v>608</v>
      </c>
      <c r="C2161" s="7" t="s">
        <v>3844</v>
      </c>
      <c r="D2161" s="5">
        <v>8</v>
      </c>
      <c r="E2161" s="7" t="str">
        <f>_xlfn.XLOOKUP(B2161,Customers!A2161:A3160,Customers!B2161:B3160,"Customer Not Found",0)</f>
        <v>Customer Not Found</v>
      </c>
      <c r="F2161" s="7" t="str">
        <f>_xlfn.XLOOKUP(Orders!B2161,Customers!A2161:A3160,Customers!C2161:C3160,"Country not Found",0)</f>
        <v>Country not Found</v>
      </c>
      <c r="G2161" s="7" t="str">
        <f>_xlfn.XLOOKUP(C2161,Products!A2161:A2660,Products!B2161:B2660,"Product Missing",0)</f>
        <v>Product Missing</v>
      </c>
      <c r="H2161" s="7" t="str">
        <f>_xlfn.XLOOKUP(C2161,Products!A2161:A2660,Products!C2161:C2660,"Category Missing",0)</f>
        <v>Category Missing</v>
      </c>
      <c r="I2161" s="11" t="str">
        <f>_xlfn.XLOOKUP(Orders!C2161,Products!A2161:A2660,Products!D2161:D2660,"Price Missing",0)</f>
        <v>Price Missing</v>
      </c>
      <c r="J2161" s="19">
        <f t="shared" si="33"/>
        <v>0</v>
      </c>
    </row>
    <row r="2162" spans="1:10" x14ac:dyDescent="0.35">
      <c r="A2162" s="4" t="s">
        <v>6182</v>
      </c>
      <c r="B2162" s="7" t="s">
        <v>1094</v>
      </c>
      <c r="C2162" s="7" t="s">
        <v>3740</v>
      </c>
      <c r="D2162" s="5">
        <v>9</v>
      </c>
      <c r="E2162" s="7" t="str">
        <f>_xlfn.XLOOKUP(B2162,Customers!A2162:A3161,Customers!B2162:B3161,"Customer Not Found",0)</f>
        <v>Customer Not Found</v>
      </c>
      <c r="F2162" s="7" t="str">
        <f>_xlfn.XLOOKUP(Orders!B2162,Customers!A2162:A3161,Customers!C2162:C3161,"Country not Found",0)</f>
        <v>Country not Found</v>
      </c>
      <c r="G2162" s="7" t="str">
        <f>_xlfn.XLOOKUP(C2162,Products!A2162:A2661,Products!B2162:B2661,"Product Missing",0)</f>
        <v>Product Missing</v>
      </c>
      <c r="H2162" s="7" t="str">
        <f>_xlfn.XLOOKUP(C2162,Products!A2162:A2661,Products!C2162:C2661,"Category Missing",0)</f>
        <v>Category Missing</v>
      </c>
      <c r="I2162" s="11" t="str">
        <f>_xlfn.XLOOKUP(Orders!C2162,Products!A2162:A2661,Products!D2162:D2661,"Price Missing",0)</f>
        <v>Price Missing</v>
      </c>
      <c r="J2162" s="19">
        <f t="shared" si="33"/>
        <v>0</v>
      </c>
    </row>
    <row r="2163" spans="1:10" x14ac:dyDescent="0.35">
      <c r="A2163" s="4" t="s">
        <v>6183</v>
      </c>
      <c r="B2163" s="7" t="s">
        <v>2489</v>
      </c>
      <c r="C2163" s="7" t="s">
        <v>3418</v>
      </c>
      <c r="D2163" s="5">
        <v>7</v>
      </c>
      <c r="E2163" s="7" t="str">
        <f>_xlfn.XLOOKUP(B2163,Customers!A2163:A3162,Customers!B2163:B3162,"Customer Not Found",0)</f>
        <v>Customer Not Found</v>
      </c>
      <c r="F2163" s="7" t="str">
        <f>_xlfn.XLOOKUP(Orders!B2163,Customers!A2163:A3162,Customers!C2163:C3162,"Country not Found",0)</f>
        <v>Country not Found</v>
      </c>
      <c r="G2163" s="7" t="str">
        <f>_xlfn.XLOOKUP(C2163,Products!A2163:A2662,Products!B2163:B2662,"Product Missing",0)</f>
        <v>Product Missing</v>
      </c>
      <c r="H2163" s="7" t="str">
        <f>_xlfn.XLOOKUP(C2163,Products!A2163:A2662,Products!C2163:C2662,"Category Missing",0)</f>
        <v>Category Missing</v>
      </c>
      <c r="I2163" s="11" t="str">
        <f>_xlfn.XLOOKUP(Orders!C2163,Products!A2163:A2662,Products!D2163:D2662,"Price Missing",0)</f>
        <v>Price Missing</v>
      </c>
      <c r="J2163" s="19">
        <f t="shared" si="33"/>
        <v>0</v>
      </c>
    </row>
    <row r="2164" spans="1:10" x14ac:dyDescent="0.35">
      <c r="A2164" s="4" t="s">
        <v>6184</v>
      </c>
      <c r="B2164" s="7" t="s">
        <v>2324</v>
      </c>
      <c r="C2164" s="7" t="s">
        <v>3294</v>
      </c>
      <c r="D2164" s="5">
        <v>10</v>
      </c>
      <c r="E2164" s="7" t="str">
        <f>_xlfn.XLOOKUP(B2164,Customers!A2164:A3163,Customers!B2164:B3163,"Customer Not Found",0)</f>
        <v>Customer Not Found</v>
      </c>
      <c r="F2164" s="7" t="str">
        <f>_xlfn.XLOOKUP(Orders!B2164,Customers!A2164:A3163,Customers!C2164:C3163,"Country not Found",0)</f>
        <v>Country not Found</v>
      </c>
      <c r="G2164" s="7" t="str">
        <f>_xlfn.XLOOKUP(C2164,Products!A2164:A2663,Products!B2164:B2663,"Product Missing",0)</f>
        <v>Product Missing</v>
      </c>
      <c r="H2164" s="7" t="str">
        <f>_xlfn.XLOOKUP(C2164,Products!A2164:A2663,Products!C2164:C2663,"Category Missing",0)</f>
        <v>Category Missing</v>
      </c>
      <c r="I2164" s="11" t="str">
        <f>_xlfn.XLOOKUP(Orders!C2164,Products!A2164:A2663,Products!D2164:D2663,"Price Missing",0)</f>
        <v>Price Missing</v>
      </c>
      <c r="J2164" s="19">
        <f t="shared" si="33"/>
        <v>0</v>
      </c>
    </row>
    <row r="2165" spans="1:10" x14ac:dyDescent="0.35">
      <c r="A2165" s="4" t="s">
        <v>6185</v>
      </c>
      <c r="B2165" s="7" t="s">
        <v>188</v>
      </c>
      <c r="C2165" s="7" t="s">
        <v>3656</v>
      </c>
      <c r="D2165" s="5">
        <v>2</v>
      </c>
      <c r="E2165" s="7" t="str">
        <f>_xlfn.XLOOKUP(B2165,Customers!A2165:A3164,Customers!B2165:B3164,"Customer Not Found",0)</f>
        <v>Customer Not Found</v>
      </c>
      <c r="F2165" s="7" t="str">
        <f>_xlfn.XLOOKUP(Orders!B2165,Customers!A2165:A3164,Customers!C2165:C3164,"Country not Found",0)</f>
        <v>Country not Found</v>
      </c>
      <c r="G2165" s="7" t="str">
        <f>_xlfn.XLOOKUP(C2165,Products!A2165:A2664,Products!B2165:B2664,"Product Missing",0)</f>
        <v>Product Missing</v>
      </c>
      <c r="H2165" s="7" t="str">
        <f>_xlfn.XLOOKUP(C2165,Products!A2165:A2664,Products!C2165:C2664,"Category Missing",0)</f>
        <v>Category Missing</v>
      </c>
      <c r="I2165" s="11" t="str">
        <f>_xlfn.XLOOKUP(Orders!C2165,Products!A2165:A2664,Products!D2165:D2664,"Price Missing",0)</f>
        <v>Price Missing</v>
      </c>
      <c r="J2165" s="19">
        <f t="shared" si="33"/>
        <v>0</v>
      </c>
    </row>
    <row r="2166" spans="1:10" x14ac:dyDescent="0.35">
      <c r="A2166" s="4" t="s">
        <v>6186</v>
      </c>
      <c r="B2166" s="7" t="s">
        <v>980</v>
      </c>
      <c r="C2166" s="7" t="s">
        <v>3638</v>
      </c>
      <c r="D2166" s="5">
        <v>6</v>
      </c>
      <c r="E2166" s="7" t="str">
        <f>_xlfn.XLOOKUP(B2166,Customers!A2166:A3165,Customers!B2166:B3165,"Customer Not Found",0)</f>
        <v>Customer Not Found</v>
      </c>
      <c r="F2166" s="7" t="str">
        <f>_xlfn.XLOOKUP(Orders!B2166,Customers!A2166:A3165,Customers!C2166:C3165,"Country not Found",0)</f>
        <v>Country not Found</v>
      </c>
      <c r="G2166" s="7" t="str">
        <f>_xlfn.XLOOKUP(C2166,Products!A2166:A2665,Products!B2166:B2665,"Product Missing",0)</f>
        <v>Product Missing</v>
      </c>
      <c r="H2166" s="7" t="str">
        <f>_xlfn.XLOOKUP(C2166,Products!A2166:A2665,Products!C2166:C2665,"Category Missing",0)</f>
        <v>Category Missing</v>
      </c>
      <c r="I2166" s="11" t="str">
        <f>_xlfn.XLOOKUP(Orders!C2166,Products!A2166:A2665,Products!D2166:D2665,"Price Missing",0)</f>
        <v>Price Missing</v>
      </c>
      <c r="J2166" s="19">
        <f t="shared" si="33"/>
        <v>0</v>
      </c>
    </row>
    <row r="2167" spans="1:10" x14ac:dyDescent="0.35">
      <c r="A2167" s="4" t="s">
        <v>6187</v>
      </c>
      <c r="B2167" s="7" t="s">
        <v>2927</v>
      </c>
      <c r="C2167" s="7" t="s">
        <v>3518</v>
      </c>
      <c r="D2167" s="5">
        <v>7</v>
      </c>
      <c r="E2167" s="7" t="str">
        <f>_xlfn.XLOOKUP(B2167,Customers!A2167:A3166,Customers!B2167:B3166,"Customer Not Found",0)</f>
        <v>Customer Not Found</v>
      </c>
      <c r="F2167" s="7" t="str">
        <f>_xlfn.XLOOKUP(Orders!B2167,Customers!A2167:A3166,Customers!C2167:C3166,"Country not Found",0)</f>
        <v>Country not Found</v>
      </c>
      <c r="G2167" s="7" t="str">
        <f>_xlfn.XLOOKUP(C2167,Products!A2167:A2666,Products!B2167:B2666,"Product Missing",0)</f>
        <v>Product Missing</v>
      </c>
      <c r="H2167" s="7" t="str">
        <f>_xlfn.XLOOKUP(C2167,Products!A2167:A2666,Products!C2167:C2666,"Category Missing",0)</f>
        <v>Category Missing</v>
      </c>
      <c r="I2167" s="11" t="str">
        <f>_xlfn.XLOOKUP(Orders!C2167,Products!A2167:A2666,Products!D2167:D2666,"Price Missing",0)</f>
        <v>Price Missing</v>
      </c>
      <c r="J2167" s="19">
        <f t="shared" si="33"/>
        <v>0</v>
      </c>
    </row>
    <row r="2168" spans="1:10" x14ac:dyDescent="0.35">
      <c r="A2168" s="4" t="s">
        <v>6188</v>
      </c>
      <c r="B2168" s="7" t="s">
        <v>809</v>
      </c>
      <c r="C2168" s="7" t="s">
        <v>3282</v>
      </c>
      <c r="D2168" s="5">
        <v>8</v>
      </c>
      <c r="E2168" s="7" t="str">
        <f>_xlfn.XLOOKUP(B2168,Customers!A2168:A3167,Customers!B2168:B3167,"Customer Not Found",0)</f>
        <v>Customer Not Found</v>
      </c>
      <c r="F2168" s="7" t="str">
        <f>_xlfn.XLOOKUP(Orders!B2168,Customers!A2168:A3167,Customers!C2168:C3167,"Country not Found",0)</f>
        <v>Country not Found</v>
      </c>
      <c r="G2168" s="7" t="str">
        <f>_xlfn.XLOOKUP(C2168,Products!A2168:A2667,Products!B2168:B2667,"Product Missing",0)</f>
        <v>Product Missing</v>
      </c>
      <c r="H2168" s="7" t="str">
        <f>_xlfn.XLOOKUP(C2168,Products!A2168:A2667,Products!C2168:C2667,"Category Missing",0)</f>
        <v>Category Missing</v>
      </c>
      <c r="I2168" s="11" t="str">
        <f>_xlfn.XLOOKUP(Orders!C2168,Products!A2168:A2667,Products!D2168:D2667,"Price Missing",0)</f>
        <v>Price Missing</v>
      </c>
      <c r="J2168" s="19">
        <f t="shared" si="33"/>
        <v>0</v>
      </c>
    </row>
    <row r="2169" spans="1:10" x14ac:dyDescent="0.35">
      <c r="A2169" s="4" t="s">
        <v>6189</v>
      </c>
      <c r="B2169" s="7" t="s">
        <v>2528</v>
      </c>
      <c r="C2169" s="7" t="s">
        <v>4012</v>
      </c>
      <c r="D2169" s="5">
        <v>10</v>
      </c>
      <c r="E2169" s="7" t="str">
        <f>_xlfn.XLOOKUP(B2169,Customers!A2169:A3168,Customers!B2169:B3168,"Customer Not Found",0)</f>
        <v>Customer Not Found</v>
      </c>
      <c r="F2169" s="7" t="str">
        <f>_xlfn.XLOOKUP(Orders!B2169,Customers!A2169:A3168,Customers!C2169:C3168,"Country not Found",0)</f>
        <v>Country not Found</v>
      </c>
      <c r="G2169" s="7" t="str">
        <f>_xlfn.XLOOKUP(C2169,Products!A2169:A2668,Products!B2169:B2668,"Product Missing",0)</f>
        <v>Product Missing</v>
      </c>
      <c r="H2169" s="7" t="str">
        <f>_xlfn.XLOOKUP(C2169,Products!A2169:A2668,Products!C2169:C2668,"Category Missing",0)</f>
        <v>Category Missing</v>
      </c>
      <c r="I2169" s="11" t="str">
        <f>_xlfn.XLOOKUP(Orders!C2169,Products!A2169:A2668,Products!D2169:D2668,"Price Missing",0)</f>
        <v>Price Missing</v>
      </c>
      <c r="J2169" s="19">
        <f t="shared" si="33"/>
        <v>0</v>
      </c>
    </row>
    <row r="2170" spans="1:10" x14ac:dyDescent="0.35">
      <c r="A2170" s="4" t="s">
        <v>6190</v>
      </c>
      <c r="B2170" s="7" t="s">
        <v>2585</v>
      </c>
      <c r="C2170" s="7" t="s">
        <v>3082</v>
      </c>
      <c r="D2170" s="5">
        <v>8</v>
      </c>
      <c r="E2170" s="7" t="str">
        <f>_xlfn.XLOOKUP(B2170,Customers!A2170:A3169,Customers!B2170:B3169,"Customer Not Found",0)</f>
        <v>Customer Not Found</v>
      </c>
      <c r="F2170" s="7" t="str">
        <f>_xlfn.XLOOKUP(Orders!B2170,Customers!A2170:A3169,Customers!C2170:C3169,"Country not Found",0)</f>
        <v>Country not Found</v>
      </c>
      <c r="G2170" s="7" t="str">
        <f>_xlfn.XLOOKUP(C2170,Products!A2170:A2669,Products!B2170:B2669,"Product Missing",0)</f>
        <v>Product Missing</v>
      </c>
      <c r="H2170" s="7" t="str">
        <f>_xlfn.XLOOKUP(C2170,Products!A2170:A2669,Products!C2170:C2669,"Category Missing",0)</f>
        <v>Category Missing</v>
      </c>
      <c r="I2170" s="11" t="str">
        <f>_xlfn.XLOOKUP(Orders!C2170,Products!A2170:A2669,Products!D2170:D2669,"Price Missing",0)</f>
        <v>Price Missing</v>
      </c>
      <c r="J2170" s="19">
        <f t="shared" si="33"/>
        <v>0</v>
      </c>
    </row>
    <row r="2171" spans="1:10" x14ac:dyDescent="0.35">
      <c r="A2171" s="4" t="s">
        <v>6191</v>
      </c>
      <c r="B2171" s="7" t="s">
        <v>2816</v>
      </c>
      <c r="C2171" s="7" t="s">
        <v>3994</v>
      </c>
      <c r="D2171" s="5">
        <v>8</v>
      </c>
      <c r="E2171" s="7" t="str">
        <f>_xlfn.XLOOKUP(B2171,Customers!A2171:A3170,Customers!B2171:B3170,"Customer Not Found",0)</f>
        <v>Customer Not Found</v>
      </c>
      <c r="F2171" s="7" t="str">
        <f>_xlfn.XLOOKUP(Orders!B2171,Customers!A2171:A3170,Customers!C2171:C3170,"Country not Found",0)</f>
        <v>Country not Found</v>
      </c>
      <c r="G2171" s="7" t="str">
        <f>_xlfn.XLOOKUP(C2171,Products!A2171:A2670,Products!B2171:B2670,"Product Missing",0)</f>
        <v>Product Missing</v>
      </c>
      <c r="H2171" s="7" t="str">
        <f>_xlfn.XLOOKUP(C2171,Products!A2171:A2670,Products!C2171:C2670,"Category Missing",0)</f>
        <v>Category Missing</v>
      </c>
      <c r="I2171" s="11" t="str">
        <f>_xlfn.XLOOKUP(Orders!C2171,Products!A2171:A2670,Products!D2171:D2670,"Price Missing",0)</f>
        <v>Price Missing</v>
      </c>
      <c r="J2171" s="19">
        <f t="shared" si="33"/>
        <v>0</v>
      </c>
    </row>
    <row r="2172" spans="1:10" x14ac:dyDescent="0.35">
      <c r="A2172" s="4" t="s">
        <v>6192</v>
      </c>
      <c r="B2172" s="7" t="s">
        <v>1610</v>
      </c>
      <c r="C2172" s="7" t="s">
        <v>3630</v>
      </c>
      <c r="D2172" s="5">
        <v>5</v>
      </c>
      <c r="E2172" s="7" t="str">
        <f>_xlfn.XLOOKUP(B2172,Customers!A2172:A3171,Customers!B2172:B3171,"Customer Not Found",0)</f>
        <v>Customer Not Found</v>
      </c>
      <c r="F2172" s="7" t="str">
        <f>_xlfn.XLOOKUP(Orders!B2172,Customers!A2172:A3171,Customers!C2172:C3171,"Country not Found",0)</f>
        <v>Country not Found</v>
      </c>
      <c r="G2172" s="7" t="str">
        <f>_xlfn.XLOOKUP(C2172,Products!A2172:A2671,Products!B2172:B2671,"Product Missing",0)</f>
        <v>Product Missing</v>
      </c>
      <c r="H2172" s="7" t="str">
        <f>_xlfn.XLOOKUP(C2172,Products!A2172:A2671,Products!C2172:C2671,"Category Missing",0)</f>
        <v>Category Missing</v>
      </c>
      <c r="I2172" s="11" t="str">
        <f>_xlfn.XLOOKUP(Orders!C2172,Products!A2172:A2671,Products!D2172:D2671,"Price Missing",0)</f>
        <v>Price Missing</v>
      </c>
      <c r="J2172" s="19">
        <f t="shared" si="33"/>
        <v>0</v>
      </c>
    </row>
    <row r="2173" spans="1:10" x14ac:dyDescent="0.35">
      <c r="A2173" s="4" t="s">
        <v>6193</v>
      </c>
      <c r="B2173" s="7" t="s">
        <v>722</v>
      </c>
      <c r="C2173" s="7" t="s">
        <v>3148</v>
      </c>
      <c r="D2173" s="5">
        <v>3</v>
      </c>
      <c r="E2173" s="7" t="str">
        <f>_xlfn.XLOOKUP(B2173,Customers!A2173:A3172,Customers!B2173:B3172,"Customer Not Found",0)</f>
        <v>Customer Not Found</v>
      </c>
      <c r="F2173" s="7" t="str">
        <f>_xlfn.XLOOKUP(Orders!B2173,Customers!A2173:A3172,Customers!C2173:C3172,"Country not Found",0)</f>
        <v>Country not Found</v>
      </c>
      <c r="G2173" s="7" t="str">
        <f>_xlfn.XLOOKUP(C2173,Products!A2173:A2672,Products!B2173:B2672,"Product Missing",0)</f>
        <v>Product Missing</v>
      </c>
      <c r="H2173" s="7" t="str">
        <f>_xlfn.XLOOKUP(C2173,Products!A2173:A2672,Products!C2173:C2672,"Category Missing",0)</f>
        <v>Category Missing</v>
      </c>
      <c r="I2173" s="11" t="str">
        <f>_xlfn.XLOOKUP(Orders!C2173,Products!A2173:A2672,Products!D2173:D2672,"Price Missing",0)</f>
        <v>Price Missing</v>
      </c>
      <c r="J2173" s="19">
        <f t="shared" si="33"/>
        <v>0</v>
      </c>
    </row>
    <row r="2174" spans="1:10" x14ac:dyDescent="0.35">
      <c r="A2174" s="4" t="s">
        <v>6194</v>
      </c>
      <c r="B2174" s="7" t="s">
        <v>164</v>
      </c>
      <c r="C2174" s="7" t="s">
        <v>3884</v>
      </c>
      <c r="D2174" s="5">
        <v>3</v>
      </c>
      <c r="E2174" s="7" t="str">
        <f>_xlfn.XLOOKUP(B2174,Customers!A2174:A3173,Customers!B2174:B3173,"Customer Not Found",0)</f>
        <v>Customer Not Found</v>
      </c>
      <c r="F2174" s="7" t="str">
        <f>_xlfn.XLOOKUP(Orders!B2174,Customers!A2174:A3173,Customers!C2174:C3173,"Country not Found",0)</f>
        <v>Country not Found</v>
      </c>
      <c r="G2174" s="7" t="str">
        <f>_xlfn.XLOOKUP(C2174,Products!A2174:A2673,Products!B2174:B2673,"Product Missing",0)</f>
        <v>Product Missing</v>
      </c>
      <c r="H2174" s="7" t="str">
        <f>_xlfn.XLOOKUP(C2174,Products!A2174:A2673,Products!C2174:C2673,"Category Missing",0)</f>
        <v>Category Missing</v>
      </c>
      <c r="I2174" s="11" t="str">
        <f>_xlfn.XLOOKUP(Orders!C2174,Products!A2174:A2673,Products!D2174:D2673,"Price Missing",0)</f>
        <v>Price Missing</v>
      </c>
      <c r="J2174" s="19">
        <f t="shared" si="33"/>
        <v>0</v>
      </c>
    </row>
    <row r="2175" spans="1:10" x14ac:dyDescent="0.35">
      <c r="A2175" s="4" t="s">
        <v>6195</v>
      </c>
      <c r="B2175" s="7" t="s">
        <v>272</v>
      </c>
      <c r="C2175" s="7" t="s">
        <v>3242</v>
      </c>
      <c r="D2175" s="5">
        <v>9</v>
      </c>
      <c r="E2175" s="7" t="str">
        <f>_xlfn.XLOOKUP(B2175,Customers!A2175:A3174,Customers!B2175:B3174,"Customer Not Found",0)</f>
        <v>Customer Not Found</v>
      </c>
      <c r="F2175" s="7" t="str">
        <f>_xlfn.XLOOKUP(Orders!B2175,Customers!A2175:A3174,Customers!C2175:C3174,"Country not Found",0)</f>
        <v>Country not Found</v>
      </c>
      <c r="G2175" s="7" t="str">
        <f>_xlfn.XLOOKUP(C2175,Products!A2175:A2674,Products!B2175:B2674,"Product Missing",0)</f>
        <v>Product Missing</v>
      </c>
      <c r="H2175" s="7" t="str">
        <f>_xlfn.XLOOKUP(C2175,Products!A2175:A2674,Products!C2175:C2674,"Category Missing",0)</f>
        <v>Category Missing</v>
      </c>
      <c r="I2175" s="11" t="str">
        <f>_xlfn.XLOOKUP(Orders!C2175,Products!A2175:A2674,Products!D2175:D2674,"Price Missing",0)</f>
        <v>Price Missing</v>
      </c>
      <c r="J2175" s="19">
        <f t="shared" si="33"/>
        <v>0</v>
      </c>
    </row>
    <row r="2176" spans="1:10" x14ac:dyDescent="0.35">
      <c r="A2176" s="4" t="s">
        <v>6196</v>
      </c>
      <c r="B2176" s="7" t="s">
        <v>116</v>
      </c>
      <c r="C2176" s="7" t="s">
        <v>3140</v>
      </c>
      <c r="D2176" s="5">
        <v>9</v>
      </c>
      <c r="E2176" s="7" t="str">
        <f>_xlfn.XLOOKUP(B2176,Customers!A2176:A3175,Customers!B2176:B3175,"Customer Not Found",0)</f>
        <v>Customer Not Found</v>
      </c>
      <c r="F2176" s="7" t="str">
        <f>_xlfn.XLOOKUP(Orders!B2176,Customers!A2176:A3175,Customers!C2176:C3175,"Country not Found",0)</f>
        <v>Country not Found</v>
      </c>
      <c r="G2176" s="7" t="str">
        <f>_xlfn.XLOOKUP(C2176,Products!A2176:A2675,Products!B2176:B2675,"Product Missing",0)</f>
        <v>Product Missing</v>
      </c>
      <c r="H2176" s="7" t="str">
        <f>_xlfn.XLOOKUP(C2176,Products!A2176:A2675,Products!C2176:C2675,"Category Missing",0)</f>
        <v>Category Missing</v>
      </c>
      <c r="I2176" s="11" t="str">
        <f>_xlfn.XLOOKUP(Orders!C2176,Products!A2176:A2675,Products!D2176:D2675,"Price Missing",0)</f>
        <v>Price Missing</v>
      </c>
      <c r="J2176" s="19">
        <f t="shared" si="33"/>
        <v>0</v>
      </c>
    </row>
    <row r="2177" spans="1:10" x14ac:dyDescent="0.35">
      <c r="A2177" s="4" t="s">
        <v>6197</v>
      </c>
      <c r="B2177" s="7" t="s">
        <v>2612</v>
      </c>
      <c r="C2177" s="7" t="s">
        <v>3332</v>
      </c>
      <c r="D2177" s="5">
        <v>2</v>
      </c>
      <c r="E2177" s="7" t="str">
        <f>_xlfn.XLOOKUP(B2177,Customers!A2177:A3176,Customers!B2177:B3176,"Customer Not Found",0)</f>
        <v>Customer Not Found</v>
      </c>
      <c r="F2177" s="7" t="str">
        <f>_xlfn.XLOOKUP(Orders!B2177,Customers!A2177:A3176,Customers!C2177:C3176,"Country not Found",0)</f>
        <v>Country not Found</v>
      </c>
      <c r="G2177" s="7" t="str">
        <f>_xlfn.XLOOKUP(C2177,Products!A2177:A2676,Products!B2177:B2676,"Product Missing",0)</f>
        <v>Product Missing</v>
      </c>
      <c r="H2177" s="7" t="str">
        <f>_xlfn.XLOOKUP(C2177,Products!A2177:A2676,Products!C2177:C2676,"Category Missing",0)</f>
        <v>Category Missing</v>
      </c>
      <c r="I2177" s="11" t="str">
        <f>_xlfn.XLOOKUP(Orders!C2177,Products!A2177:A2676,Products!D2177:D2676,"Price Missing",0)</f>
        <v>Price Missing</v>
      </c>
      <c r="J2177" s="19">
        <f t="shared" si="33"/>
        <v>0</v>
      </c>
    </row>
    <row r="2178" spans="1:10" x14ac:dyDescent="0.35">
      <c r="A2178" s="4" t="s">
        <v>6198</v>
      </c>
      <c r="B2178" s="7" t="s">
        <v>1940</v>
      </c>
      <c r="C2178" s="7" t="s">
        <v>3510</v>
      </c>
      <c r="D2178" s="5">
        <v>10</v>
      </c>
      <c r="E2178" s="7" t="str">
        <f>_xlfn.XLOOKUP(B2178,Customers!A2178:A3177,Customers!B2178:B3177,"Customer Not Found",0)</f>
        <v>Customer Not Found</v>
      </c>
      <c r="F2178" s="7" t="str">
        <f>_xlfn.XLOOKUP(Orders!B2178,Customers!A2178:A3177,Customers!C2178:C3177,"Country not Found",0)</f>
        <v>Country not Found</v>
      </c>
      <c r="G2178" s="7" t="str">
        <f>_xlfn.XLOOKUP(C2178,Products!A2178:A2677,Products!B2178:B2677,"Product Missing",0)</f>
        <v>Product Missing</v>
      </c>
      <c r="H2178" s="7" t="str">
        <f>_xlfn.XLOOKUP(C2178,Products!A2178:A2677,Products!C2178:C2677,"Category Missing",0)</f>
        <v>Category Missing</v>
      </c>
      <c r="I2178" s="11" t="str">
        <f>_xlfn.XLOOKUP(Orders!C2178,Products!A2178:A2677,Products!D2178:D2677,"Price Missing",0)</f>
        <v>Price Missing</v>
      </c>
      <c r="J2178" s="19">
        <f t="shared" si="33"/>
        <v>0</v>
      </c>
    </row>
    <row r="2179" spans="1:10" x14ac:dyDescent="0.35">
      <c r="A2179" s="4" t="s">
        <v>6199</v>
      </c>
      <c r="B2179" s="7" t="s">
        <v>599</v>
      </c>
      <c r="C2179" s="7" t="s">
        <v>3436</v>
      </c>
      <c r="D2179" s="5">
        <v>6</v>
      </c>
      <c r="E2179" s="7" t="str">
        <f>_xlfn.XLOOKUP(B2179,Customers!A2179:A3178,Customers!B2179:B3178,"Customer Not Found",0)</f>
        <v>Customer Not Found</v>
      </c>
      <c r="F2179" s="7" t="str">
        <f>_xlfn.XLOOKUP(Orders!B2179,Customers!A2179:A3178,Customers!C2179:C3178,"Country not Found",0)</f>
        <v>Country not Found</v>
      </c>
      <c r="G2179" s="7" t="str">
        <f>_xlfn.XLOOKUP(C2179,Products!A2179:A2678,Products!B2179:B2678,"Product Missing",0)</f>
        <v>Product Missing</v>
      </c>
      <c r="H2179" s="7" t="str">
        <f>_xlfn.XLOOKUP(C2179,Products!A2179:A2678,Products!C2179:C2678,"Category Missing",0)</f>
        <v>Category Missing</v>
      </c>
      <c r="I2179" s="11" t="str">
        <f>_xlfn.XLOOKUP(Orders!C2179,Products!A2179:A2678,Products!D2179:D2678,"Price Missing",0)</f>
        <v>Price Missing</v>
      </c>
      <c r="J2179" s="19">
        <f t="shared" ref="J2179:J2242" si="34">IFERROR(I2179*D2179,0)</f>
        <v>0</v>
      </c>
    </row>
    <row r="2180" spans="1:10" x14ac:dyDescent="0.35">
      <c r="A2180" s="4" t="s">
        <v>6200</v>
      </c>
      <c r="B2180" s="7" t="s">
        <v>161</v>
      </c>
      <c r="C2180" s="7" t="s">
        <v>3494</v>
      </c>
      <c r="D2180" s="5">
        <v>9</v>
      </c>
      <c r="E2180" s="7" t="str">
        <f>_xlfn.XLOOKUP(B2180,Customers!A2180:A3179,Customers!B2180:B3179,"Customer Not Found",0)</f>
        <v>Customer Not Found</v>
      </c>
      <c r="F2180" s="7" t="str">
        <f>_xlfn.XLOOKUP(Orders!B2180,Customers!A2180:A3179,Customers!C2180:C3179,"Country not Found",0)</f>
        <v>Country not Found</v>
      </c>
      <c r="G2180" s="7" t="str">
        <f>_xlfn.XLOOKUP(C2180,Products!A2180:A2679,Products!B2180:B2679,"Product Missing",0)</f>
        <v>Product Missing</v>
      </c>
      <c r="H2180" s="7" t="str">
        <f>_xlfn.XLOOKUP(C2180,Products!A2180:A2679,Products!C2180:C2679,"Category Missing",0)</f>
        <v>Category Missing</v>
      </c>
      <c r="I2180" s="11" t="str">
        <f>_xlfn.XLOOKUP(Orders!C2180,Products!A2180:A2679,Products!D2180:D2679,"Price Missing",0)</f>
        <v>Price Missing</v>
      </c>
      <c r="J2180" s="19">
        <f t="shared" si="34"/>
        <v>0</v>
      </c>
    </row>
    <row r="2181" spans="1:10" x14ac:dyDescent="0.35">
      <c r="A2181" s="4" t="s">
        <v>6201</v>
      </c>
      <c r="B2181" s="7" t="s">
        <v>530</v>
      </c>
      <c r="C2181" s="7" t="s">
        <v>3168</v>
      </c>
      <c r="D2181" s="5">
        <v>7</v>
      </c>
      <c r="E2181" s="7" t="str">
        <f>_xlfn.XLOOKUP(B2181,Customers!A2181:A3180,Customers!B2181:B3180,"Customer Not Found",0)</f>
        <v>Customer Not Found</v>
      </c>
      <c r="F2181" s="7" t="str">
        <f>_xlfn.XLOOKUP(Orders!B2181,Customers!A2181:A3180,Customers!C2181:C3180,"Country not Found",0)</f>
        <v>Country not Found</v>
      </c>
      <c r="G2181" s="7" t="str">
        <f>_xlfn.XLOOKUP(C2181,Products!A2181:A2680,Products!B2181:B2680,"Product Missing",0)</f>
        <v>Product Missing</v>
      </c>
      <c r="H2181" s="7" t="str">
        <f>_xlfn.XLOOKUP(C2181,Products!A2181:A2680,Products!C2181:C2680,"Category Missing",0)</f>
        <v>Category Missing</v>
      </c>
      <c r="I2181" s="11" t="str">
        <f>_xlfn.XLOOKUP(Orders!C2181,Products!A2181:A2680,Products!D2181:D2680,"Price Missing",0)</f>
        <v>Price Missing</v>
      </c>
      <c r="J2181" s="19">
        <f t="shared" si="34"/>
        <v>0</v>
      </c>
    </row>
    <row r="2182" spans="1:10" x14ac:dyDescent="0.35">
      <c r="A2182" s="4" t="s">
        <v>6202</v>
      </c>
      <c r="B2182" s="7" t="s">
        <v>878</v>
      </c>
      <c r="C2182" s="7" t="s">
        <v>3376</v>
      </c>
      <c r="D2182" s="5">
        <v>3</v>
      </c>
      <c r="E2182" s="7" t="str">
        <f>_xlfn.XLOOKUP(B2182,Customers!A2182:A3181,Customers!B2182:B3181,"Customer Not Found",0)</f>
        <v>Customer Not Found</v>
      </c>
      <c r="F2182" s="7" t="str">
        <f>_xlfn.XLOOKUP(Orders!B2182,Customers!A2182:A3181,Customers!C2182:C3181,"Country not Found",0)</f>
        <v>Country not Found</v>
      </c>
      <c r="G2182" s="7" t="str">
        <f>_xlfn.XLOOKUP(C2182,Products!A2182:A2681,Products!B2182:B2681,"Product Missing",0)</f>
        <v>Product Missing</v>
      </c>
      <c r="H2182" s="7" t="str">
        <f>_xlfn.XLOOKUP(C2182,Products!A2182:A2681,Products!C2182:C2681,"Category Missing",0)</f>
        <v>Category Missing</v>
      </c>
      <c r="I2182" s="11" t="str">
        <f>_xlfn.XLOOKUP(Orders!C2182,Products!A2182:A2681,Products!D2182:D2681,"Price Missing",0)</f>
        <v>Price Missing</v>
      </c>
      <c r="J2182" s="19">
        <f t="shared" si="34"/>
        <v>0</v>
      </c>
    </row>
    <row r="2183" spans="1:10" x14ac:dyDescent="0.35">
      <c r="A2183" s="4" t="s">
        <v>6203</v>
      </c>
      <c r="B2183" s="7" t="s">
        <v>425</v>
      </c>
      <c r="C2183" s="7" t="s">
        <v>3198</v>
      </c>
      <c r="D2183" s="5">
        <v>5</v>
      </c>
      <c r="E2183" s="7" t="str">
        <f>_xlfn.XLOOKUP(B2183,Customers!A2183:A3182,Customers!B2183:B3182,"Customer Not Found",0)</f>
        <v>Customer Not Found</v>
      </c>
      <c r="F2183" s="7" t="str">
        <f>_xlfn.XLOOKUP(Orders!B2183,Customers!A2183:A3182,Customers!C2183:C3182,"Country not Found",0)</f>
        <v>Country not Found</v>
      </c>
      <c r="G2183" s="7" t="str">
        <f>_xlfn.XLOOKUP(C2183,Products!A2183:A2682,Products!B2183:B2682,"Product Missing",0)</f>
        <v>Product Missing</v>
      </c>
      <c r="H2183" s="7" t="str">
        <f>_xlfn.XLOOKUP(C2183,Products!A2183:A2682,Products!C2183:C2682,"Category Missing",0)</f>
        <v>Category Missing</v>
      </c>
      <c r="I2183" s="11" t="str">
        <f>_xlfn.XLOOKUP(Orders!C2183,Products!A2183:A2682,Products!D2183:D2682,"Price Missing",0)</f>
        <v>Price Missing</v>
      </c>
      <c r="J2183" s="19">
        <f t="shared" si="34"/>
        <v>0</v>
      </c>
    </row>
    <row r="2184" spans="1:10" x14ac:dyDescent="0.35">
      <c r="A2184" s="4" t="s">
        <v>6204</v>
      </c>
      <c r="B2184" s="7" t="s">
        <v>356</v>
      </c>
      <c r="C2184" s="7" t="s">
        <v>3580</v>
      </c>
      <c r="D2184" s="5">
        <v>4</v>
      </c>
      <c r="E2184" s="7" t="str">
        <f>_xlfn.XLOOKUP(B2184,Customers!A2184:A3183,Customers!B2184:B3183,"Customer Not Found",0)</f>
        <v>Customer Not Found</v>
      </c>
      <c r="F2184" s="7" t="str">
        <f>_xlfn.XLOOKUP(Orders!B2184,Customers!A2184:A3183,Customers!C2184:C3183,"Country not Found",0)</f>
        <v>Country not Found</v>
      </c>
      <c r="G2184" s="7" t="str">
        <f>_xlfn.XLOOKUP(C2184,Products!A2184:A2683,Products!B2184:B2683,"Product Missing",0)</f>
        <v>Product Missing</v>
      </c>
      <c r="H2184" s="7" t="str">
        <f>_xlfn.XLOOKUP(C2184,Products!A2184:A2683,Products!C2184:C2683,"Category Missing",0)</f>
        <v>Category Missing</v>
      </c>
      <c r="I2184" s="11" t="str">
        <f>_xlfn.XLOOKUP(Orders!C2184,Products!A2184:A2683,Products!D2184:D2683,"Price Missing",0)</f>
        <v>Price Missing</v>
      </c>
      <c r="J2184" s="19">
        <f t="shared" si="34"/>
        <v>0</v>
      </c>
    </row>
    <row r="2185" spans="1:10" x14ac:dyDescent="0.35">
      <c r="A2185" s="4" t="s">
        <v>6205</v>
      </c>
      <c r="B2185" s="7" t="s">
        <v>830</v>
      </c>
      <c r="C2185" s="7" t="s">
        <v>3836</v>
      </c>
      <c r="D2185" s="5">
        <v>3</v>
      </c>
      <c r="E2185" s="7" t="str">
        <f>_xlfn.XLOOKUP(B2185,Customers!A2185:A3184,Customers!B2185:B3184,"Customer Not Found",0)</f>
        <v>Customer Not Found</v>
      </c>
      <c r="F2185" s="7" t="str">
        <f>_xlfn.XLOOKUP(Orders!B2185,Customers!A2185:A3184,Customers!C2185:C3184,"Country not Found",0)</f>
        <v>Country not Found</v>
      </c>
      <c r="G2185" s="7" t="str">
        <f>_xlfn.XLOOKUP(C2185,Products!A2185:A2684,Products!B2185:B2684,"Product Missing",0)</f>
        <v>Product Missing</v>
      </c>
      <c r="H2185" s="7" t="str">
        <f>_xlfn.XLOOKUP(C2185,Products!A2185:A2684,Products!C2185:C2684,"Category Missing",0)</f>
        <v>Category Missing</v>
      </c>
      <c r="I2185" s="11" t="str">
        <f>_xlfn.XLOOKUP(Orders!C2185,Products!A2185:A2684,Products!D2185:D2684,"Price Missing",0)</f>
        <v>Price Missing</v>
      </c>
      <c r="J2185" s="19">
        <f t="shared" si="34"/>
        <v>0</v>
      </c>
    </row>
    <row r="2186" spans="1:10" x14ac:dyDescent="0.35">
      <c r="A2186" s="4" t="s">
        <v>6206</v>
      </c>
      <c r="B2186" s="7" t="s">
        <v>590</v>
      </c>
      <c r="C2186" s="7" t="s">
        <v>3240</v>
      </c>
      <c r="D2186" s="5">
        <v>9</v>
      </c>
      <c r="E2186" s="7" t="str">
        <f>_xlfn.XLOOKUP(B2186,Customers!A2186:A3185,Customers!B2186:B3185,"Customer Not Found",0)</f>
        <v>Customer Not Found</v>
      </c>
      <c r="F2186" s="7" t="str">
        <f>_xlfn.XLOOKUP(Orders!B2186,Customers!A2186:A3185,Customers!C2186:C3185,"Country not Found",0)</f>
        <v>Country not Found</v>
      </c>
      <c r="G2186" s="7" t="str">
        <f>_xlfn.XLOOKUP(C2186,Products!A2186:A2685,Products!B2186:B2685,"Product Missing",0)</f>
        <v>Product Missing</v>
      </c>
      <c r="H2186" s="7" t="str">
        <f>_xlfn.XLOOKUP(C2186,Products!A2186:A2685,Products!C2186:C2685,"Category Missing",0)</f>
        <v>Category Missing</v>
      </c>
      <c r="I2186" s="11" t="str">
        <f>_xlfn.XLOOKUP(Orders!C2186,Products!A2186:A2685,Products!D2186:D2685,"Price Missing",0)</f>
        <v>Price Missing</v>
      </c>
      <c r="J2186" s="19">
        <f t="shared" si="34"/>
        <v>0</v>
      </c>
    </row>
    <row r="2187" spans="1:10" x14ac:dyDescent="0.35">
      <c r="A2187" s="4" t="s">
        <v>6207</v>
      </c>
      <c r="B2187" s="7" t="s">
        <v>1931</v>
      </c>
      <c r="C2187" s="7" t="s">
        <v>3240</v>
      </c>
      <c r="D2187" s="5">
        <v>8</v>
      </c>
      <c r="E2187" s="7" t="str">
        <f>_xlfn.XLOOKUP(B2187,Customers!A2187:A3186,Customers!B2187:B3186,"Customer Not Found",0)</f>
        <v>Customer Not Found</v>
      </c>
      <c r="F2187" s="7" t="str">
        <f>_xlfn.XLOOKUP(Orders!B2187,Customers!A2187:A3186,Customers!C2187:C3186,"Country not Found",0)</f>
        <v>Country not Found</v>
      </c>
      <c r="G2187" s="7" t="str">
        <f>_xlfn.XLOOKUP(C2187,Products!A2187:A2686,Products!B2187:B2686,"Product Missing",0)</f>
        <v>Product Missing</v>
      </c>
      <c r="H2187" s="7" t="str">
        <f>_xlfn.XLOOKUP(C2187,Products!A2187:A2686,Products!C2187:C2686,"Category Missing",0)</f>
        <v>Category Missing</v>
      </c>
      <c r="I2187" s="11" t="str">
        <f>_xlfn.XLOOKUP(Orders!C2187,Products!A2187:A2686,Products!D2187:D2686,"Price Missing",0)</f>
        <v>Price Missing</v>
      </c>
      <c r="J2187" s="19">
        <f t="shared" si="34"/>
        <v>0</v>
      </c>
    </row>
    <row r="2188" spans="1:10" x14ac:dyDescent="0.35">
      <c r="A2188" s="4" t="s">
        <v>6208</v>
      </c>
      <c r="B2188" s="7" t="s">
        <v>281</v>
      </c>
      <c r="C2188" s="7" t="s">
        <v>3990</v>
      </c>
      <c r="D2188" s="5">
        <v>3</v>
      </c>
      <c r="E2188" s="7" t="str">
        <f>_xlfn.XLOOKUP(B2188,Customers!A2188:A3187,Customers!B2188:B3187,"Customer Not Found",0)</f>
        <v>Customer Not Found</v>
      </c>
      <c r="F2188" s="7" t="str">
        <f>_xlfn.XLOOKUP(Orders!B2188,Customers!A2188:A3187,Customers!C2188:C3187,"Country not Found",0)</f>
        <v>Country not Found</v>
      </c>
      <c r="G2188" s="7" t="str">
        <f>_xlfn.XLOOKUP(C2188,Products!A2188:A2687,Products!B2188:B2687,"Product Missing",0)</f>
        <v>Product Missing</v>
      </c>
      <c r="H2188" s="7" t="str">
        <f>_xlfn.XLOOKUP(C2188,Products!A2188:A2687,Products!C2188:C2687,"Category Missing",0)</f>
        <v>Category Missing</v>
      </c>
      <c r="I2188" s="11" t="str">
        <f>_xlfn.XLOOKUP(Orders!C2188,Products!A2188:A2687,Products!D2188:D2687,"Price Missing",0)</f>
        <v>Price Missing</v>
      </c>
      <c r="J2188" s="19">
        <f t="shared" si="34"/>
        <v>0</v>
      </c>
    </row>
    <row r="2189" spans="1:10" x14ac:dyDescent="0.35">
      <c r="A2189" s="4" t="s">
        <v>6209</v>
      </c>
      <c r="B2189" s="7" t="s">
        <v>899</v>
      </c>
      <c r="C2189" s="7" t="s">
        <v>3272</v>
      </c>
      <c r="D2189" s="5">
        <v>3</v>
      </c>
      <c r="E2189" s="7" t="str">
        <f>_xlfn.XLOOKUP(B2189,Customers!A2189:A3188,Customers!B2189:B3188,"Customer Not Found",0)</f>
        <v>Customer Not Found</v>
      </c>
      <c r="F2189" s="7" t="str">
        <f>_xlfn.XLOOKUP(Orders!B2189,Customers!A2189:A3188,Customers!C2189:C3188,"Country not Found",0)</f>
        <v>Country not Found</v>
      </c>
      <c r="G2189" s="7" t="str">
        <f>_xlfn.XLOOKUP(C2189,Products!A2189:A2688,Products!B2189:B2688,"Product Missing",0)</f>
        <v>Product Missing</v>
      </c>
      <c r="H2189" s="7" t="str">
        <f>_xlfn.XLOOKUP(C2189,Products!A2189:A2688,Products!C2189:C2688,"Category Missing",0)</f>
        <v>Category Missing</v>
      </c>
      <c r="I2189" s="11" t="str">
        <f>_xlfn.XLOOKUP(Orders!C2189,Products!A2189:A2688,Products!D2189:D2688,"Price Missing",0)</f>
        <v>Price Missing</v>
      </c>
      <c r="J2189" s="19">
        <f t="shared" si="34"/>
        <v>0</v>
      </c>
    </row>
    <row r="2190" spans="1:10" x14ac:dyDescent="0.35">
      <c r="A2190" s="4" t="s">
        <v>6210</v>
      </c>
      <c r="B2190" s="7" t="s">
        <v>1214</v>
      </c>
      <c r="C2190" s="7" t="s">
        <v>3206</v>
      </c>
      <c r="D2190" s="5">
        <v>5</v>
      </c>
      <c r="E2190" s="7" t="str">
        <f>_xlfn.XLOOKUP(B2190,Customers!A2190:A3189,Customers!B2190:B3189,"Customer Not Found",0)</f>
        <v>Customer Not Found</v>
      </c>
      <c r="F2190" s="7" t="str">
        <f>_xlfn.XLOOKUP(Orders!B2190,Customers!A2190:A3189,Customers!C2190:C3189,"Country not Found",0)</f>
        <v>Country not Found</v>
      </c>
      <c r="G2190" s="7" t="str">
        <f>_xlfn.XLOOKUP(C2190,Products!A2190:A2689,Products!B2190:B2689,"Product Missing",0)</f>
        <v>Product Missing</v>
      </c>
      <c r="H2190" s="7" t="str">
        <f>_xlfn.XLOOKUP(C2190,Products!A2190:A2689,Products!C2190:C2689,"Category Missing",0)</f>
        <v>Category Missing</v>
      </c>
      <c r="I2190" s="11" t="str">
        <f>_xlfn.XLOOKUP(Orders!C2190,Products!A2190:A2689,Products!D2190:D2689,"Price Missing",0)</f>
        <v>Price Missing</v>
      </c>
      <c r="J2190" s="19">
        <f t="shared" si="34"/>
        <v>0</v>
      </c>
    </row>
    <row r="2191" spans="1:10" x14ac:dyDescent="0.35">
      <c r="A2191" s="4" t="s">
        <v>6211</v>
      </c>
      <c r="B2191" s="7" t="s">
        <v>2765</v>
      </c>
      <c r="C2191" s="7" t="s">
        <v>3148</v>
      </c>
      <c r="D2191" s="5">
        <v>10</v>
      </c>
      <c r="E2191" s="7" t="str">
        <f>_xlfn.XLOOKUP(B2191,Customers!A2191:A3190,Customers!B2191:B3190,"Customer Not Found",0)</f>
        <v>Customer Not Found</v>
      </c>
      <c r="F2191" s="7" t="str">
        <f>_xlfn.XLOOKUP(Orders!B2191,Customers!A2191:A3190,Customers!C2191:C3190,"Country not Found",0)</f>
        <v>Country not Found</v>
      </c>
      <c r="G2191" s="7" t="str">
        <f>_xlfn.XLOOKUP(C2191,Products!A2191:A2690,Products!B2191:B2690,"Product Missing",0)</f>
        <v>Product Missing</v>
      </c>
      <c r="H2191" s="7" t="str">
        <f>_xlfn.XLOOKUP(C2191,Products!A2191:A2690,Products!C2191:C2690,"Category Missing",0)</f>
        <v>Category Missing</v>
      </c>
      <c r="I2191" s="11" t="str">
        <f>_xlfn.XLOOKUP(Orders!C2191,Products!A2191:A2690,Products!D2191:D2690,"Price Missing",0)</f>
        <v>Price Missing</v>
      </c>
      <c r="J2191" s="19">
        <f t="shared" si="34"/>
        <v>0</v>
      </c>
    </row>
    <row r="2192" spans="1:10" x14ac:dyDescent="0.35">
      <c r="A2192" s="4" t="s">
        <v>6212</v>
      </c>
      <c r="B2192" s="7" t="s">
        <v>1463</v>
      </c>
      <c r="C2192" s="7" t="s">
        <v>3228</v>
      </c>
      <c r="D2192" s="5">
        <v>1</v>
      </c>
      <c r="E2192" s="7" t="str">
        <f>_xlfn.XLOOKUP(B2192,Customers!A2192:A3191,Customers!B2192:B3191,"Customer Not Found",0)</f>
        <v>Customer Not Found</v>
      </c>
      <c r="F2192" s="7" t="str">
        <f>_xlfn.XLOOKUP(Orders!B2192,Customers!A2192:A3191,Customers!C2192:C3191,"Country not Found",0)</f>
        <v>Country not Found</v>
      </c>
      <c r="G2192" s="7" t="str">
        <f>_xlfn.XLOOKUP(C2192,Products!A2192:A2691,Products!B2192:B2691,"Product Missing",0)</f>
        <v>Product Missing</v>
      </c>
      <c r="H2192" s="7" t="str">
        <f>_xlfn.XLOOKUP(C2192,Products!A2192:A2691,Products!C2192:C2691,"Category Missing",0)</f>
        <v>Category Missing</v>
      </c>
      <c r="I2192" s="11" t="str">
        <f>_xlfn.XLOOKUP(Orders!C2192,Products!A2192:A2691,Products!D2192:D2691,"Price Missing",0)</f>
        <v>Price Missing</v>
      </c>
      <c r="J2192" s="19">
        <f t="shared" si="34"/>
        <v>0</v>
      </c>
    </row>
    <row r="2193" spans="1:10" x14ac:dyDescent="0.35">
      <c r="A2193" s="4" t="s">
        <v>6213</v>
      </c>
      <c r="B2193" s="7" t="s">
        <v>800</v>
      </c>
      <c r="C2193" s="7" t="s">
        <v>3974</v>
      </c>
      <c r="D2193" s="5">
        <v>1</v>
      </c>
      <c r="E2193" s="7" t="str">
        <f>_xlfn.XLOOKUP(B2193,Customers!A2193:A3192,Customers!B2193:B3192,"Customer Not Found",0)</f>
        <v>Customer Not Found</v>
      </c>
      <c r="F2193" s="7" t="str">
        <f>_xlfn.XLOOKUP(Orders!B2193,Customers!A2193:A3192,Customers!C2193:C3192,"Country not Found",0)</f>
        <v>Country not Found</v>
      </c>
      <c r="G2193" s="7" t="str">
        <f>_xlfn.XLOOKUP(C2193,Products!A2193:A2692,Products!B2193:B2692,"Product Missing",0)</f>
        <v>Product Missing</v>
      </c>
      <c r="H2193" s="7" t="str">
        <f>_xlfn.XLOOKUP(C2193,Products!A2193:A2692,Products!C2193:C2692,"Category Missing",0)</f>
        <v>Category Missing</v>
      </c>
      <c r="I2193" s="11" t="str">
        <f>_xlfn.XLOOKUP(Orders!C2193,Products!A2193:A2692,Products!D2193:D2692,"Price Missing",0)</f>
        <v>Price Missing</v>
      </c>
      <c r="J2193" s="19">
        <f t="shared" si="34"/>
        <v>0</v>
      </c>
    </row>
    <row r="2194" spans="1:10" x14ac:dyDescent="0.35">
      <c r="A2194" s="4" t="s">
        <v>6214</v>
      </c>
      <c r="B2194" s="7" t="s">
        <v>2891</v>
      </c>
      <c r="C2194" s="7" t="s">
        <v>3788</v>
      </c>
      <c r="D2194" s="5">
        <v>10</v>
      </c>
      <c r="E2194" s="7" t="str">
        <f>_xlfn.XLOOKUP(B2194,Customers!A2194:A3193,Customers!B2194:B3193,"Customer Not Found",0)</f>
        <v>Customer Not Found</v>
      </c>
      <c r="F2194" s="7" t="str">
        <f>_xlfn.XLOOKUP(Orders!B2194,Customers!A2194:A3193,Customers!C2194:C3193,"Country not Found",0)</f>
        <v>Country not Found</v>
      </c>
      <c r="G2194" s="7" t="str">
        <f>_xlfn.XLOOKUP(C2194,Products!A2194:A2693,Products!B2194:B2693,"Product Missing",0)</f>
        <v>Product Missing</v>
      </c>
      <c r="H2194" s="7" t="str">
        <f>_xlfn.XLOOKUP(C2194,Products!A2194:A2693,Products!C2194:C2693,"Category Missing",0)</f>
        <v>Category Missing</v>
      </c>
      <c r="I2194" s="11" t="str">
        <f>_xlfn.XLOOKUP(Orders!C2194,Products!A2194:A2693,Products!D2194:D2693,"Price Missing",0)</f>
        <v>Price Missing</v>
      </c>
      <c r="J2194" s="19">
        <f t="shared" si="34"/>
        <v>0</v>
      </c>
    </row>
    <row r="2195" spans="1:10" x14ac:dyDescent="0.35">
      <c r="A2195" s="4" t="s">
        <v>6215</v>
      </c>
      <c r="B2195" s="7" t="s">
        <v>1313</v>
      </c>
      <c r="C2195" s="7" t="s">
        <v>3096</v>
      </c>
      <c r="D2195" s="5">
        <v>7</v>
      </c>
      <c r="E2195" s="7" t="str">
        <f>_xlfn.XLOOKUP(B2195,Customers!A2195:A3194,Customers!B2195:B3194,"Customer Not Found",0)</f>
        <v>Customer Not Found</v>
      </c>
      <c r="F2195" s="7" t="str">
        <f>_xlfn.XLOOKUP(Orders!B2195,Customers!A2195:A3194,Customers!C2195:C3194,"Country not Found",0)</f>
        <v>Country not Found</v>
      </c>
      <c r="G2195" s="7" t="str">
        <f>_xlfn.XLOOKUP(C2195,Products!A2195:A2694,Products!B2195:B2694,"Product Missing",0)</f>
        <v>Product Missing</v>
      </c>
      <c r="H2195" s="7" t="str">
        <f>_xlfn.XLOOKUP(C2195,Products!A2195:A2694,Products!C2195:C2694,"Category Missing",0)</f>
        <v>Category Missing</v>
      </c>
      <c r="I2195" s="11" t="str">
        <f>_xlfn.XLOOKUP(Orders!C2195,Products!A2195:A2694,Products!D2195:D2694,"Price Missing",0)</f>
        <v>Price Missing</v>
      </c>
      <c r="J2195" s="19">
        <f t="shared" si="34"/>
        <v>0</v>
      </c>
    </row>
    <row r="2196" spans="1:10" x14ac:dyDescent="0.35">
      <c r="A2196" s="4" t="s">
        <v>6216</v>
      </c>
      <c r="B2196" s="7" t="s">
        <v>2705</v>
      </c>
      <c r="C2196" s="7" t="s">
        <v>4002</v>
      </c>
      <c r="D2196" s="5">
        <v>1</v>
      </c>
      <c r="E2196" s="7" t="str">
        <f>_xlfn.XLOOKUP(B2196,Customers!A2196:A3195,Customers!B2196:B3195,"Customer Not Found",0)</f>
        <v>Customer Not Found</v>
      </c>
      <c r="F2196" s="7" t="str">
        <f>_xlfn.XLOOKUP(Orders!B2196,Customers!A2196:A3195,Customers!C2196:C3195,"Country not Found",0)</f>
        <v>Country not Found</v>
      </c>
      <c r="G2196" s="7" t="str">
        <f>_xlfn.XLOOKUP(C2196,Products!A2196:A2695,Products!B2196:B2695,"Product Missing",0)</f>
        <v>Product Missing</v>
      </c>
      <c r="H2196" s="7" t="str">
        <f>_xlfn.XLOOKUP(C2196,Products!A2196:A2695,Products!C2196:C2695,"Category Missing",0)</f>
        <v>Category Missing</v>
      </c>
      <c r="I2196" s="11" t="str">
        <f>_xlfn.XLOOKUP(Orders!C2196,Products!A2196:A2695,Products!D2196:D2695,"Price Missing",0)</f>
        <v>Price Missing</v>
      </c>
      <c r="J2196" s="19">
        <f t="shared" si="34"/>
        <v>0</v>
      </c>
    </row>
    <row r="2197" spans="1:10" x14ac:dyDescent="0.35">
      <c r="A2197" s="4" t="s">
        <v>6217</v>
      </c>
      <c r="B2197" s="7" t="s">
        <v>1307</v>
      </c>
      <c r="C2197" s="7" t="s">
        <v>3344</v>
      </c>
      <c r="D2197" s="5">
        <v>5</v>
      </c>
      <c r="E2197" s="7" t="str">
        <f>_xlfn.XLOOKUP(B2197,Customers!A2197:A3196,Customers!B2197:B3196,"Customer Not Found",0)</f>
        <v>Customer Not Found</v>
      </c>
      <c r="F2197" s="7" t="str">
        <f>_xlfn.XLOOKUP(Orders!B2197,Customers!A2197:A3196,Customers!C2197:C3196,"Country not Found",0)</f>
        <v>Country not Found</v>
      </c>
      <c r="G2197" s="7" t="str">
        <f>_xlfn.XLOOKUP(C2197,Products!A2197:A2696,Products!B2197:B2696,"Product Missing",0)</f>
        <v>Product Missing</v>
      </c>
      <c r="H2197" s="7" t="str">
        <f>_xlfn.XLOOKUP(C2197,Products!A2197:A2696,Products!C2197:C2696,"Category Missing",0)</f>
        <v>Category Missing</v>
      </c>
      <c r="I2197" s="11" t="str">
        <f>_xlfn.XLOOKUP(Orders!C2197,Products!A2197:A2696,Products!D2197:D2696,"Price Missing",0)</f>
        <v>Price Missing</v>
      </c>
      <c r="J2197" s="19">
        <f t="shared" si="34"/>
        <v>0</v>
      </c>
    </row>
    <row r="2198" spans="1:10" x14ac:dyDescent="0.35">
      <c r="A2198" s="4" t="s">
        <v>6218</v>
      </c>
      <c r="B2198" s="7" t="s">
        <v>1931</v>
      </c>
      <c r="C2198" s="7" t="s">
        <v>3752</v>
      </c>
      <c r="D2198" s="5">
        <v>8</v>
      </c>
      <c r="E2198" s="7" t="str">
        <f>_xlfn.XLOOKUP(B2198,Customers!A2198:A3197,Customers!B2198:B3197,"Customer Not Found",0)</f>
        <v>Customer Not Found</v>
      </c>
      <c r="F2198" s="7" t="str">
        <f>_xlfn.XLOOKUP(Orders!B2198,Customers!A2198:A3197,Customers!C2198:C3197,"Country not Found",0)</f>
        <v>Country not Found</v>
      </c>
      <c r="G2198" s="7" t="str">
        <f>_xlfn.XLOOKUP(C2198,Products!A2198:A2697,Products!B2198:B2697,"Product Missing",0)</f>
        <v>Product Missing</v>
      </c>
      <c r="H2198" s="7" t="str">
        <f>_xlfn.XLOOKUP(C2198,Products!A2198:A2697,Products!C2198:C2697,"Category Missing",0)</f>
        <v>Category Missing</v>
      </c>
      <c r="I2198" s="11" t="str">
        <f>_xlfn.XLOOKUP(Orders!C2198,Products!A2198:A2697,Products!D2198:D2697,"Price Missing",0)</f>
        <v>Price Missing</v>
      </c>
      <c r="J2198" s="19">
        <f t="shared" si="34"/>
        <v>0</v>
      </c>
    </row>
    <row r="2199" spans="1:10" x14ac:dyDescent="0.35">
      <c r="A2199" s="4" t="s">
        <v>6219</v>
      </c>
      <c r="B2199" s="7" t="s">
        <v>2381</v>
      </c>
      <c r="C2199" s="7" t="s">
        <v>3788</v>
      </c>
      <c r="D2199" s="5">
        <v>1</v>
      </c>
      <c r="E2199" s="7" t="str">
        <f>_xlfn.XLOOKUP(B2199,Customers!A2199:A3198,Customers!B2199:B3198,"Customer Not Found",0)</f>
        <v>Customer Not Found</v>
      </c>
      <c r="F2199" s="7" t="str">
        <f>_xlfn.XLOOKUP(Orders!B2199,Customers!A2199:A3198,Customers!C2199:C3198,"Country not Found",0)</f>
        <v>Country not Found</v>
      </c>
      <c r="G2199" s="7" t="str">
        <f>_xlfn.XLOOKUP(C2199,Products!A2199:A2698,Products!B2199:B2698,"Product Missing",0)</f>
        <v>Product Missing</v>
      </c>
      <c r="H2199" s="7" t="str">
        <f>_xlfn.XLOOKUP(C2199,Products!A2199:A2698,Products!C2199:C2698,"Category Missing",0)</f>
        <v>Category Missing</v>
      </c>
      <c r="I2199" s="11" t="str">
        <f>_xlfn.XLOOKUP(Orders!C2199,Products!A2199:A2698,Products!D2199:D2698,"Price Missing",0)</f>
        <v>Price Missing</v>
      </c>
      <c r="J2199" s="19">
        <f t="shared" si="34"/>
        <v>0</v>
      </c>
    </row>
    <row r="2200" spans="1:10" x14ac:dyDescent="0.35">
      <c r="A2200" s="4" t="s">
        <v>6220</v>
      </c>
      <c r="B2200" s="7" t="s">
        <v>1697</v>
      </c>
      <c r="C2200" s="7" t="s">
        <v>3800</v>
      </c>
      <c r="D2200" s="5">
        <v>6</v>
      </c>
      <c r="E2200" s="7" t="str">
        <f>_xlfn.XLOOKUP(B2200,Customers!A2200:A3199,Customers!B2200:B3199,"Customer Not Found",0)</f>
        <v>Customer Not Found</v>
      </c>
      <c r="F2200" s="7" t="str">
        <f>_xlfn.XLOOKUP(Orders!B2200,Customers!A2200:A3199,Customers!C2200:C3199,"Country not Found",0)</f>
        <v>Country not Found</v>
      </c>
      <c r="G2200" s="7" t="str">
        <f>_xlfn.XLOOKUP(C2200,Products!A2200:A2699,Products!B2200:B2699,"Product Missing",0)</f>
        <v>Product Missing</v>
      </c>
      <c r="H2200" s="7" t="str">
        <f>_xlfn.XLOOKUP(C2200,Products!A2200:A2699,Products!C2200:C2699,"Category Missing",0)</f>
        <v>Category Missing</v>
      </c>
      <c r="I2200" s="11" t="str">
        <f>_xlfn.XLOOKUP(Orders!C2200,Products!A2200:A2699,Products!D2200:D2699,"Price Missing",0)</f>
        <v>Price Missing</v>
      </c>
      <c r="J2200" s="19">
        <f t="shared" si="34"/>
        <v>0</v>
      </c>
    </row>
    <row r="2201" spans="1:10" x14ac:dyDescent="0.35">
      <c r="A2201" s="4" t="s">
        <v>6221</v>
      </c>
      <c r="B2201" s="7" t="s">
        <v>2333</v>
      </c>
      <c r="C2201" s="7" t="s">
        <v>3512</v>
      </c>
      <c r="D2201" s="5">
        <v>7</v>
      </c>
      <c r="E2201" s="7" t="str">
        <f>_xlfn.XLOOKUP(B2201,Customers!A2201:A3200,Customers!B2201:B3200,"Customer Not Found",0)</f>
        <v>Customer Not Found</v>
      </c>
      <c r="F2201" s="7" t="str">
        <f>_xlfn.XLOOKUP(Orders!B2201,Customers!A2201:A3200,Customers!C2201:C3200,"Country not Found",0)</f>
        <v>Country not Found</v>
      </c>
      <c r="G2201" s="7" t="str">
        <f>_xlfn.XLOOKUP(C2201,Products!A2201:A2700,Products!B2201:B2700,"Product Missing",0)</f>
        <v>Product Missing</v>
      </c>
      <c r="H2201" s="7" t="str">
        <f>_xlfn.XLOOKUP(C2201,Products!A2201:A2700,Products!C2201:C2700,"Category Missing",0)</f>
        <v>Category Missing</v>
      </c>
      <c r="I2201" s="11" t="str">
        <f>_xlfn.XLOOKUP(Orders!C2201,Products!A2201:A2700,Products!D2201:D2700,"Price Missing",0)</f>
        <v>Price Missing</v>
      </c>
      <c r="J2201" s="19">
        <f t="shared" si="34"/>
        <v>0</v>
      </c>
    </row>
    <row r="2202" spans="1:10" x14ac:dyDescent="0.35">
      <c r="A2202" s="4" t="s">
        <v>6222</v>
      </c>
      <c r="B2202" s="7" t="s">
        <v>1376</v>
      </c>
      <c r="C2202" s="7" t="s">
        <v>3152</v>
      </c>
      <c r="D2202" s="5">
        <v>2</v>
      </c>
      <c r="E2202" s="7" t="str">
        <f>_xlfn.XLOOKUP(B2202,Customers!A2202:A3201,Customers!B2202:B3201,"Customer Not Found",0)</f>
        <v>Customer Not Found</v>
      </c>
      <c r="F2202" s="7" t="str">
        <f>_xlfn.XLOOKUP(Orders!B2202,Customers!A2202:A3201,Customers!C2202:C3201,"Country not Found",0)</f>
        <v>Country not Found</v>
      </c>
      <c r="G2202" s="7" t="str">
        <f>_xlfn.XLOOKUP(C2202,Products!A2202:A2701,Products!B2202:B2701,"Product Missing",0)</f>
        <v>Product Missing</v>
      </c>
      <c r="H2202" s="7" t="str">
        <f>_xlfn.XLOOKUP(C2202,Products!A2202:A2701,Products!C2202:C2701,"Category Missing",0)</f>
        <v>Category Missing</v>
      </c>
      <c r="I2202" s="11" t="str">
        <f>_xlfn.XLOOKUP(Orders!C2202,Products!A2202:A2701,Products!D2202:D2701,"Price Missing",0)</f>
        <v>Price Missing</v>
      </c>
      <c r="J2202" s="19">
        <f t="shared" si="34"/>
        <v>0</v>
      </c>
    </row>
    <row r="2203" spans="1:10" x14ac:dyDescent="0.35">
      <c r="A2203" s="4" t="s">
        <v>6223</v>
      </c>
      <c r="B2203" s="7" t="s">
        <v>812</v>
      </c>
      <c r="C2203" s="7" t="s">
        <v>3592</v>
      </c>
      <c r="D2203" s="5">
        <v>5</v>
      </c>
      <c r="E2203" s="7" t="str">
        <f>_xlfn.XLOOKUP(B2203,Customers!A2203:A3202,Customers!B2203:B3202,"Customer Not Found",0)</f>
        <v>Customer Not Found</v>
      </c>
      <c r="F2203" s="7" t="str">
        <f>_xlfn.XLOOKUP(Orders!B2203,Customers!A2203:A3202,Customers!C2203:C3202,"Country not Found",0)</f>
        <v>Country not Found</v>
      </c>
      <c r="G2203" s="7" t="str">
        <f>_xlfn.XLOOKUP(C2203,Products!A2203:A2702,Products!B2203:B2702,"Product Missing",0)</f>
        <v>Product Missing</v>
      </c>
      <c r="H2203" s="7" t="str">
        <f>_xlfn.XLOOKUP(C2203,Products!A2203:A2702,Products!C2203:C2702,"Category Missing",0)</f>
        <v>Category Missing</v>
      </c>
      <c r="I2203" s="11" t="str">
        <f>_xlfn.XLOOKUP(Orders!C2203,Products!A2203:A2702,Products!D2203:D2702,"Price Missing",0)</f>
        <v>Price Missing</v>
      </c>
      <c r="J2203" s="19">
        <f t="shared" si="34"/>
        <v>0</v>
      </c>
    </row>
    <row r="2204" spans="1:10" x14ac:dyDescent="0.35">
      <c r="A2204" s="4" t="s">
        <v>6224</v>
      </c>
      <c r="B2204" s="7" t="s">
        <v>2654</v>
      </c>
      <c r="C2204" s="7" t="s">
        <v>3478</v>
      </c>
      <c r="D2204" s="5">
        <v>5</v>
      </c>
      <c r="E2204" s="7" t="str">
        <f>_xlfn.XLOOKUP(B2204,Customers!A2204:A3203,Customers!B2204:B3203,"Customer Not Found",0)</f>
        <v>Customer Not Found</v>
      </c>
      <c r="F2204" s="7" t="str">
        <f>_xlfn.XLOOKUP(Orders!B2204,Customers!A2204:A3203,Customers!C2204:C3203,"Country not Found",0)</f>
        <v>Country not Found</v>
      </c>
      <c r="G2204" s="7" t="str">
        <f>_xlfn.XLOOKUP(C2204,Products!A2204:A2703,Products!B2204:B2703,"Product Missing",0)</f>
        <v>Product Missing</v>
      </c>
      <c r="H2204" s="7" t="str">
        <f>_xlfn.XLOOKUP(C2204,Products!A2204:A2703,Products!C2204:C2703,"Category Missing",0)</f>
        <v>Category Missing</v>
      </c>
      <c r="I2204" s="11" t="str">
        <f>_xlfn.XLOOKUP(Orders!C2204,Products!A2204:A2703,Products!D2204:D2703,"Price Missing",0)</f>
        <v>Price Missing</v>
      </c>
      <c r="J2204" s="19">
        <f t="shared" si="34"/>
        <v>0</v>
      </c>
    </row>
    <row r="2205" spans="1:10" x14ac:dyDescent="0.35">
      <c r="A2205" s="4" t="s">
        <v>6225</v>
      </c>
      <c r="B2205" s="7" t="s">
        <v>2033</v>
      </c>
      <c r="C2205" s="7" t="s">
        <v>3880</v>
      </c>
      <c r="D2205" s="5">
        <v>7</v>
      </c>
      <c r="E2205" s="7" t="str">
        <f>_xlfn.XLOOKUP(B2205,Customers!A2205:A3204,Customers!B2205:B3204,"Customer Not Found",0)</f>
        <v>Customer Not Found</v>
      </c>
      <c r="F2205" s="7" t="str">
        <f>_xlfn.XLOOKUP(Orders!B2205,Customers!A2205:A3204,Customers!C2205:C3204,"Country not Found",0)</f>
        <v>Country not Found</v>
      </c>
      <c r="G2205" s="7" t="str">
        <f>_xlfn.XLOOKUP(C2205,Products!A2205:A2704,Products!B2205:B2704,"Product Missing",0)</f>
        <v>Product Missing</v>
      </c>
      <c r="H2205" s="7" t="str">
        <f>_xlfn.XLOOKUP(C2205,Products!A2205:A2704,Products!C2205:C2704,"Category Missing",0)</f>
        <v>Category Missing</v>
      </c>
      <c r="I2205" s="11" t="str">
        <f>_xlfn.XLOOKUP(Orders!C2205,Products!A2205:A2704,Products!D2205:D2704,"Price Missing",0)</f>
        <v>Price Missing</v>
      </c>
      <c r="J2205" s="19">
        <f t="shared" si="34"/>
        <v>0</v>
      </c>
    </row>
    <row r="2206" spans="1:10" x14ac:dyDescent="0.35">
      <c r="A2206" s="4" t="s">
        <v>6226</v>
      </c>
      <c r="B2206" s="7" t="s">
        <v>2135</v>
      </c>
      <c r="C2206" s="7" t="s">
        <v>3404</v>
      </c>
      <c r="D2206" s="5">
        <v>1</v>
      </c>
      <c r="E2206" s="7" t="str">
        <f>_xlfn.XLOOKUP(B2206,Customers!A2206:A3205,Customers!B2206:B3205,"Customer Not Found",0)</f>
        <v>Customer Not Found</v>
      </c>
      <c r="F2206" s="7" t="str">
        <f>_xlfn.XLOOKUP(Orders!B2206,Customers!A2206:A3205,Customers!C2206:C3205,"Country not Found",0)</f>
        <v>Country not Found</v>
      </c>
      <c r="G2206" s="7" t="str">
        <f>_xlfn.XLOOKUP(C2206,Products!A2206:A2705,Products!B2206:B2705,"Product Missing",0)</f>
        <v>Product Missing</v>
      </c>
      <c r="H2206" s="7" t="str">
        <f>_xlfn.XLOOKUP(C2206,Products!A2206:A2705,Products!C2206:C2705,"Category Missing",0)</f>
        <v>Category Missing</v>
      </c>
      <c r="I2206" s="11" t="str">
        <f>_xlfn.XLOOKUP(Orders!C2206,Products!A2206:A2705,Products!D2206:D2705,"Price Missing",0)</f>
        <v>Price Missing</v>
      </c>
      <c r="J2206" s="19">
        <f t="shared" si="34"/>
        <v>0</v>
      </c>
    </row>
    <row r="2207" spans="1:10" x14ac:dyDescent="0.35">
      <c r="A2207" s="4" t="s">
        <v>6227</v>
      </c>
      <c r="B2207" s="7" t="s">
        <v>2228</v>
      </c>
      <c r="C2207" s="7" t="s">
        <v>3638</v>
      </c>
      <c r="D2207" s="5">
        <v>10</v>
      </c>
      <c r="E2207" s="7" t="str">
        <f>_xlfn.XLOOKUP(B2207,Customers!A2207:A3206,Customers!B2207:B3206,"Customer Not Found",0)</f>
        <v>Customer Not Found</v>
      </c>
      <c r="F2207" s="7" t="str">
        <f>_xlfn.XLOOKUP(Orders!B2207,Customers!A2207:A3206,Customers!C2207:C3206,"Country not Found",0)</f>
        <v>Country not Found</v>
      </c>
      <c r="G2207" s="7" t="str">
        <f>_xlfn.XLOOKUP(C2207,Products!A2207:A2706,Products!B2207:B2706,"Product Missing",0)</f>
        <v>Product Missing</v>
      </c>
      <c r="H2207" s="7" t="str">
        <f>_xlfn.XLOOKUP(C2207,Products!A2207:A2706,Products!C2207:C2706,"Category Missing",0)</f>
        <v>Category Missing</v>
      </c>
      <c r="I2207" s="11" t="str">
        <f>_xlfn.XLOOKUP(Orders!C2207,Products!A2207:A2706,Products!D2207:D2706,"Price Missing",0)</f>
        <v>Price Missing</v>
      </c>
      <c r="J2207" s="19">
        <f t="shared" si="34"/>
        <v>0</v>
      </c>
    </row>
    <row r="2208" spans="1:10" x14ac:dyDescent="0.35">
      <c r="A2208" s="4" t="s">
        <v>6228</v>
      </c>
      <c r="B2208" s="7" t="s">
        <v>2414</v>
      </c>
      <c r="C2208" s="7" t="s">
        <v>3390</v>
      </c>
      <c r="D2208" s="5">
        <v>10</v>
      </c>
      <c r="E2208" s="7" t="str">
        <f>_xlfn.XLOOKUP(B2208,Customers!A2208:A3207,Customers!B2208:B3207,"Customer Not Found",0)</f>
        <v>Customer Not Found</v>
      </c>
      <c r="F2208" s="7" t="str">
        <f>_xlfn.XLOOKUP(Orders!B2208,Customers!A2208:A3207,Customers!C2208:C3207,"Country not Found",0)</f>
        <v>Country not Found</v>
      </c>
      <c r="G2208" s="7" t="str">
        <f>_xlfn.XLOOKUP(C2208,Products!A2208:A2707,Products!B2208:B2707,"Product Missing",0)</f>
        <v>Product Missing</v>
      </c>
      <c r="H2208" s="7" t="str">
        <f>_xlfn.XLOOKUP(C2208,Products!A2208:A2707,Products!C2208:C2707,"Category Missing",0)</f>
        <v>Category Missing</v>
      </c>
      <c r="I2208" s="11" t="str">
        <f>_xlfn.XLOOKUP(Orders!C2208,Products!A2208:A2707,Products!D2208:D2707,"Price Missing",0)</f>
        <v>Price Missing</v>
      </c>
      <c r="J2208" s="19">
        <f t="shared" si="34"/>
        <v>0</v>
      </c>
    </row>
    <row r="2209" spans="1:10" x14ac:dyDescent="0.35">
      <c r="A2209" s="4" t="s">
        <v>6229</v>
      </c>
      <c r="B2209" s="7" t="s">
        <v>1466</v>
      </c>
      <c r="C2209" s="7" t="s">
        <v>3864</v>
      </c>
      <c r="D2209" s="5">
        <v>9</v>
      </c>
      <c r="E2209" s="7" t="str">
        <f>_xlfn.XLOOKUP(B2209,Customers!A2209:A3208,Customers!B2209:B3208,"Customer Not Found",0)</f>
        <v>Customer Not Found</v>
      </c>
      <c r="F2209" s="7" t="str">
        <f>_xlfn.XLOOKUP(Orders!B2209,Customers!A2209:A3208,Customers!C2209:C3208,"Country not Found",0)</f>
        <v>Country not Found</v>
      </c>
      <c r="G2209" s="7" t="str">
        <f>_xlfn.XLOOKUP(C2209,Products!A2209:A2708,Products!B2209:B2708,"Product Missing",0)</f>
        <v>Product Missing</v>
      </c>
      <c r="H2209" s="7" t="str">
        <f>_xlfn.XLOOKUP(C2209,Products!A2209:A2708,Products!C2209:C2708,"Category Missing",0)</f>
        <v>Category Missing</v>
      </c>
      <c r="I2209" s="11" t="str">
        <f>_xlfn.XLOOKUP(Orders!C2209,Products!A2209:A2708,Products!D2209:D2708,"Price Missing",0)</f>
        <v>Price Missing</v>
      </c>
      <c r="J2209" s="19">
        <f t="shared" si="34"/>
        <v>0</v>
      </c>
    </row>
    <row r="2210" spans="1:10" x14ac:dyDescent="0.35">
      <c r="A2210" s="4" t="s">
        <v>6230</v>
      </c>
      <c r="B2210" s="7" t="s">
        <v>815</v>
      </c>
      <c r="C2210" s="7" t="s">
        <v>3782</v>
      </c>
      <c r="D2210" s="5">
        <v>2</v>
      </c>
      <c r="E2210" s="7" t="str">
        <f>_xlfn.XLOOKUP(B2210,Customers!A2210:A3209,Customers!B2210:B3209,"Customer Not Found",0)</f>
        <v>Customer Not Found</v>
      </c>
      <c r="F2210" s="7" t="str">
        <f>_xlfn.XLOOKUP(Orders!B2210,Customers!A2210:A3209,Customers!C2210:C3209,"Country not Found",0)</f>
        <v>Country not Found</v>
      </c>
      <c r="G2210" s="7" t="str">
        <f>_xlfn.XLOOKUP(C2210,Products!A2210:A2709,Products!B2210:B2709,"Product Missing",0)</f>
        <v>Product Missing</v>
      </c>
      <c r="H2210" s="7" t="str">
        <f>_xlfn.XLOOKUP(C2210,Products!A2210:A2709,Products!C2210:C2709,"Category Missing",0)</f>
        <v>Category Missing</v>
      </c>
      <c r="I2210" s="11" t="str">
        <f>_xlfn.XLOOKUP(Orders!C2210,Products!A2210:A2709,Products!D2210:D2709,"Price Missing",0)</f>
        <v>Price Missing</v>
      </c>
      <c r="J2210" s="19">
        <f t="shared" si="34"/>
        <v>0</v>
      </c>
    </row>
    <row r="2211" spans="1:10" x14ac:dyDescent="0.35">
      <c r="A2211" s="4" t="s">
        <v>6231</v>
      </c>
      <c r="B2211" s="7" t="s">
        <v>536</v>
      </c>
      <c r="C2211" s="7" t="s">
        <v>3990</v>
      </c>
      <c r="D2211" s="5">
        <v>3</v>
      </c>
      <c r="E2211" s="7" t="str">
        <f>_xlfn.XLOOKUP(B2211,Customers!A2211:A3210,Customers!B2211:B3210,"Customer Not Found",0)</f>
        <v>Customer Not Found</v>
      </c>
      <c r="F2211" s="7" t="str">
        <f>_xlfn.XLOOKUP(Orders!B2211,Customers!A2211:A3210,Customers!C2211:C3210,"Country not Found",0)</f>
        <v>Country not Found</v>
      </c>
      <c r="G2211" s="7" t="str">
        <f>_xlfn.XLOOKUP(C2211,Products!A2211:A2710,Products!B2211:B2710,"Product Missing",0)</f>
        <v>Product Missing</v>
      </c>
      <c r="H2211" s="7" t="str">
        <f>_xlfn.XLOOKUP(C2211,Products!A2211:A2710,Products!C2211:C2710,"Category Missing",0)</f>
        <v>Category Missing</v>
      </c>
      <c r="I2211" s="11" t="str">
        <f>_xlfn.XLOOKUP(Orders!C2211,Products!A2211:A2710,Products!D2211:D2710,"Price Missing",0)</f>
        <v>Price Missing</v>
      </c>
      <c r="J2211" s="19">
        <f t="shared" si="34"/>
        <v>0</v>
      </c>
    </row>
    <row r="2212" spans="1:10" x14ac:dyDescent="0.35">
      <c r="A2212" s="4" t="s">
        <v>6232</v>
      </c>
      <c r="B2212" s="7" t="s">
        <v>1043</v>
      </c>
      <c r="C2212" s="7" t="s">
        <v>3704</v>
      </c>
      <c r="D2212" s="5">
        <v>3</v>
      </c>
      <c r="E2212" s="7" t="str">
        <f>_xlfn.XLOOKUP(B2212,Customers!A2212:A3211,Customers!B2212:B3211,"Customer Not Found",0)</f>
        <v>Customer Not Found</v>
      </c>
      <c r="F2212" s="7" t="str">
        <f>_xlfn.XLOOKUP(Orders!B2212,Customers!A2212:A3211,Customers!C2212:C3211,"Country not Found",0)</f>
        <v>Country not Found</v>
      </c>
      <c r="G2212" s="7" t="str">
        <f>_xlfn.XLOOKUP(C2212,Products!A2212:A2711,Products!B2212:B2711,"Product Missing",0)</f>
        <v>Product Missing</v>
      </c>
      <c r="H2212" s="7" t="str">
        <f>_xlfn.XLOOKUP(C2212,Products!A2212:A2711,Products!C2212:C2711,"Category Missing",0)</f>
        <v>Category Missing</v>
      </c>
      <c r="I2212" s="11" t="str">
        <f>_xlfn.XLOOKUP(Orders!C2212,Products!A2212:A2711,Products!D2212:D2711,"Price Missing",0)</f>
        <v>Price Missing</v>
      </c>
      <c r="J2212" s="19">
        <f t="shared" si="34"/>
        <v>0</v>
      </c>
    </row>
    <row r="2213" spans="1:10" x14ac:dyDescent="0.35">
      <c r="A2213" s="4" t="s">
        <v>6233</v>
      </c>
      <c r="B2213" s="7" t="s">
        <v>2663</v>
      </c>
      <c r="C2213" s="7" t="s">
        <v>3502</v>
      </c>
      <c r="D2213" s="5">
        <v>2</v>
      </c>
      <c r="E2213" s="7" t="str">
        <f>_xlfn.XLOOKUP(B2213,Customers!A2213:A3212,Customers!B2213:B3212,"Customer Not Found",0)</f>
        <v>Customer Not Found</v>
      </c>
      <c r="F2213" s="7" t="str">
        <f>_xlfn.XLOOKUP(Orders!B2213,Customers!A2213:A3212,Customers!C2213:C3212,"Country not Found",0)</f>
        <v>Country not Found</v>
      </c>
      <c r="G2213" s="7" t="str">
        <f>_xlfn.XLOOKUP(C2213,Products!A2213:A2712,Products!B2213:B2712,"Product Missing",0)</f>
        <v>Product Missing</v>
      </c>
      <c r="H2213" s="7" t="str">
        <f>_xlfn.XLOOKUP(C2213,Products!A2213:A2712,Products!C2213:C2712,"Category Missing",0)</f>
        <v>Category Missing</v>
      </c>
      <c r="I2213" s="11" t="str">
        <f>_xlfn.XLOOKUP(Orders!C2213,Products!A2213:A2712,Products!D2213:D2712,"Price Missing",0)</f>
        <v>Price Missing</v>
      </c>
      <c r="J2213" s="19">
        <f t="shared" si="34"/>
        <v>0</v>
      </c>
    </row>
    <row r="2214" spans="1:10" x14ac:dyDescent="0.35">
      <c r="A2214" s="4" t="s">
        <v>6234</v>
      </c>
      <c r="B2214" s="7" t="s">
        <v>248</v>
      </c>
      <c r="C2214" s="7" t="s">
        <v>3784</v>
      </c>
      <c r="D2214" s="5">
        <v>2</v>
      </c>
      <c r="E2214" s="7" t="str">
        <f>_xlfn.XLOOKUP(B2214,Customers!A2214:A3213,Customers!B2214:B3213,"Customer Not Found",0)</f>
        <v>Customer Not Found</v>
      </c>
      <c r="F2214" s="7" t="str">
        <f>_xlfn.XLOOKUP(Orders!B2214,Customers!A2214:A3213,Customers!C2214:C3213,"Country not Found",0)</f>
        <v>Country not Found</v>
      </c>
      <c r="G2214" s="7" t="str">
        <f>_xlfn.XLOOKUP(C2214,Products!A2214:A2713,Products!B2214:B2713,"Product Missing",0)</f>
        <v>Product Missing</v>
      </c>
      <c r="H2214" s="7" t="str">
        <f>_xlfn.XLOOKUP(C2214,Products!A2214:A2713,Products!C2214:C2713,"Category Missing",0)</f>
        <v>Category Missing</v>
      </c>
      <c r="I2214" s="11" t="str">
        <f>_xlfn.XLOOKUP(Orders!C2214,Products!A2214:A2713,Products!D2214:D2713,"Price Missing",0)</f>
        <v>Price Missing</v>
      </c>
      <c r="J2214" s="19">
        <f t="shared" si="34"/>
        <v>0</v>
      </c>
    </row>
    <row r="2215" spans="1:10" x14ac:dyDescent="0.35">
      <c r="A2215" s="4" t="s">
        <v>6235</v>
      </c>
      <c r="B2215" s="7" t="s">
        <v>1214</v>
      </c>
      <c r="C2215" s="7" t="s">
        <v>3796</v>
      </c>
      <c r="D2215" s="5">
        <v>10</v>
      </c>
      <c r="E2215" s="7" t="str">
        <f>_xlfn.XLOOKUP(B2215,Customers!A2215:A3214,Customers!B2215:B3214,"Customer Not Found",0)</f>
        <v>Customer Not Found</v>
      </c>
      <c r="F2215" s="7" t="str">
        <f>_xlfn.XLOOKUP(Orders!B2215,Customers!A2215:A3214,Customers!C2215:C3214,"Country not Found",0)</f>
        <v>Country not Found</v>
      </c>
      <c r="G2215" s="7" t="str">
        <f>_xlfn.XLOOKUP(C2215,Products!A2215:A2714,Products!B2215:B2714,"Product Missing",0)</f>
        <v>Product Missing</v>
      </c>
      <c r="H2215" s="7" t="str">
        <f>_xlfn.XLOOKUP(C2215,Products!A2215:A2714,Products!C2215:C2714,"Category Missing",0)</f>
        <v>Category Missing</v>
      </c>
      <c r="I2215" s="11" t="str">
        <f>_xlfn.XLOOKUP(Orders!C2215,Products!A2215:A2714,Products!D2215:D2714,"Price Missing",0)</f>
        <v>Price Missing</v>
      </c>
      <c r="J2215" s="19">
        <f t="shared" si="34"/>
        <v>0</v>
      </c>
    </row>
    <row r="2216" spans="1:10" x14ac:dyDescent="0.35">
      <c r="A2216" s="4" t="s">
        <v>6236</v>
      </c>
      <c r="B2216" s="7" t="s">
        <v>881</v>
      </c>
      <c r="C2216" s="7" t="s">
        <v>3212</v>
      </c>
      <c r="D2216" s="5">
        <v>2</v>
      </c>
      <c r="E2216" s="7" t="str">
        <f>_xlfn.XLOOKUP(B2216,Customers!A2216:A3215,Customers!B2216:B3215,"Customer Not Found",0)</f>
        <v>Customer Not Found</v>
      </c>
      <c r="F2216" s="7" t="str">
        <f>_xlfn.XLOOKUP(Orders!B2216,Customers!A2216:A3215,Customers!C2216:C3215,"Country not Found",0)</f>
        <v>Country not Found</v>
      </c>
      <c r="G2216" s="7" t="str">
        <f>_xlfn.XLOOKUP(C2216,Products!A2216:A2715,Products!B2216:B2715,"Product Missing",0)</f>
        <v>Product Missing</v>
      </c>
      <c r="H2216" s="7" t="str">
        <f>_xlfn.XLOOKUP(C2216,Products!A2216:A2715,Products!C2216:C2715,"Category Missing",0)</f>
        <v>Category Missing</v>
      </c>
      <c r="I2216" s="11" t="str">
        <f>_xlfn.XLOOKUP(Orders!C2216,Products!A2216:A2715,Products!D2216:D2715,"Price Missing",0)</f>
        <v>Price Missing</v>
      </c>
      <c r="J2216" s="19">
        <f t="shared" si="34"/>
        <v>0</v>
      </c>
    </row>
    <row r="2217" spans="1:10" x14ac:dyDescent="0.35">
      <c r="A2217" s="4" t="s">
        <v>6237</v>
      </c>
      <c r="B2217" s="7" t="s">
        <v>2813</v>
      </c>
      <c r="C2217" s="7" t="s">
        <v>3456</v>
      </c>
      <c r="D2217" s="5">
        <v>6</v>
      </c>
      <c r="E2217" s="7" t="str">
        <f>_xlfn.XLOOKUP(B2217,Customers!A2217:A3216,Customers!B2217:B3216,"Customer Not Found",0)</f>
        <v>Customer Not Found</v>
      </c>
      <c r="F2217" s="7" t="str">
        <f>_xlfn.XLOOKUP(Orders!B2217,Customers!A2217:A3216,Customers!C2217:C3216,"Country not Found",0)</f>
        <v>Country not Found</v>
      </c>
      <c r="G2217" s="7" t="str">
        <f>_xlfn.XLOOKUP(C2217,Products!A2217:A2716,Products!B2217:B2716,"Product Missing",0)</f>
        <v>Product Missing</v>
      </c>
      <c r="H2217" s="7" t="str">
        <f>_xlfn.XLOOKUP(C2217,Products!A2217:A2716,Products!C2217:C2716,"Category Missing",0)</f>
        <v>Category Missing</v>
      </c>
      <c r="I2217" s="11" t="str">
        <f>_xlfn.XLOOKUP(Orders!C2217,Products!A2217:A2716,Products!D2217:D2716,"Price Missing",0)</f>
        <v>Price Missing</v>
      </c>
      <c r="J2217" s="19">
        <f t="shared" si="34"/>
        <v>0</v>
      </c>
    </row>
    <row r="2218" spans="1:10" x14ac:dyDescent="0.35">
      <c r="A2218" s="4" t="s">
        <v>6238</v>
      </c>
      <c r="B2218" s="7" t="s">
        <v>2873</v>
      </c>
      <c r="C2218" s="7" t="s">
        <v>3976</v>
      </c>
      <c r="D2218" s="5">
        <v>8</v>
      </c>
      <c r="E2218" s="7" t="str">
        <f>_xlfn.XLOOKUP(B2218,Customers!A2218:A3217,Customers!B2218:B3217,"Customer Not Found",0)</f>
        <v>Customer Not Found</v>
      </c>
      <c r="F2218" s="7" t="str">
        <f>_xlfn.XLOOKUP(Orders!B2218,Customers!A2218:A3217,Customers!C2218:C3217,"Country not Found",0)</f>
        <v>Country not Found</v>
      </c>
      <c r="G2218" s="7" t="str">
        <f>_xlfn.XLOOKUP(C2218,Products!A2218:A2717,Products!B2218:B2717,"Product Missing",0)</f>
        <v>Product Missing</v>
      </c>
      <c r="H2218" s="7" t="str">
        <f>_xlfn.XLOOKUP(C2218,Products!A2218:A2717,Products!C2218:C2717,"Category Missing",0)</f>
        <v>Category Missing</v>
      </c>
      <c r="I2218" s="11" t="str">
        <f>_xlfn.XLOOKUP(Orders!C2218,Products!A2218:A2717,Products!D2218:D2717,"Price Missing",0)</f>
        <v>Price Missing</v>
      </c>
      <c r="J2218" s="19">
        <f t="shared" si="34"/>
        <v>0</v>
      </c>
    </row>
    <row r="2219" spans="1:10" x14ac:dyDescent="0.35">
      <c r="A2219" s="4" t="s">
        <v>6239</v>
      </c>
      <c r="B2219" s="7" t="s">
        <v>1235</v>
      </c>
      <c r="C2219" s="7" t="s">
        <v>3880</v>
      </c>
      <c r="D2219" s="5">
        <v>7</v>
      </c>
      <c r="E2219" s="7" t="str">
        <f>_xlfn.XLOOKUP(B2219,Customers!A2219:A3218,Customers!B2219:B3218,"Customer Not Found",0)</f>
        <v>Customer Not Found</v>
      </c>
      <c r="F2219" s="7" t="str">
        <f>_xlfn.XLOOKUP(Orders!B2219,Customers!A2219:A3218,Customers!C2219:C3218,"Country not Found",0)</f>
        <v>Country not Found</v>
      </c>
      <c r="G2219" s="7" t="str">
        <f>_xlfn.XLOOKUP(C2219,Products!A2219:A2718,Products!B2219:B2718,"Product Missing",0)</f>
        <v>Product Missing</v>
      </c>
      <c r="H2219" s="7" t="str">
        <f>_xlfn.XLOOKUP(C2219,Products!A2219:A2718,Products!C2219:C2718,"Category Missing",0)</f>
        <v>Category Missing</v>
      </c>
      <c r="I2219" s="11" t="str">
        <f>_xlfn.XLOOKUP(Orders!C2219,Products!A2219:A2718,Products!D2219:D2718,"Price Missing",0)</f>
        <v>Price Missing</v>
      </c>
      <c r="J2219" s="19">
        <f t="shared" si="34"/>
        <v>0</v>
      </c>
    </row>
    <row r="2220" spans="1:10" x14ac:dyDescent="0.35">
      <c r="A2220" s="4" t="s">
        <v>6240</v>
      </c>
      <c r="B2220" s="7" t="s">
        <v>1721</v>
      </c>
      <c r="C2220" s="7" t="s">
        <v>4004</v>
      </c>
      <c r="D2220" s="5">
        <v>8</v>
      </c>
      <c r="E2220" s="7" t="str">
        <f>_xlfn.XLOOKUP(B2220,Customers!A2220:A3219,Customers!B2220:B3219,"Customer Not Found",0)</f>
        <v>Customer Not Found</v>
      </c>
      <c r="F2220" s="7" t="str">
        <f>_xlfn.XLOOKUP(Orders!B2220,Customers!A2220:A3219,Customers!C2220:C3219,"Country not Found",0)</f>
        <v>Country not Found</v>
      </c>
      <c r="G2220" s="7" t="str">
        <f>_xlfn.XLOOKUP(C2220,Products!A2220:A2719,Products!B2220:B2719,"Product Missing",0)</f>
        <v>Product Missing</v>
      </c>
      <c r="H2220" s="7" t="str">
        <f>_xlfn.XLOOKUP(C2220,Products!A2220:A2719,Products!C2220:C2719,"Category Missing",0)</f>
        <v>Category Missing</v>
      </c>
      <c r="I2220" s="11" t="str">
        <f>_xlfn.XLOOKUP(Orders!C2220,Products!A2220:A2719,Products!D2220:D2719,"Price Missing",0)</f>
        <v>Price Missing</v>
      </c>
      <c r="J2220" s="19">
        <f t="shared" si="34"/>
        <v>0</v>
      </c>
    </row>
    <row r="2221" spans="1:10" x14ac:dyDescent="0.35">
      <c r="A2221" s="4" t="s">
        <v>6241</v>
      </c>
      <c r="B2221" s="7" t="s">
        <v>2189</v>
      </c>
      <c r="C2221" s="7" t="s">
        <v>3096</v>
      </c>
      <c r="D2221" s="5">
        <v>2</v>
      </c>
      <c r="E2221" s="7" t="str">
        <f>_xlfn.XLOOKUP(B2221,Customers!A2221:A3220,Customers!B2221:B3220,"Customer Not Found",0)</f>
        <v>Customer Not Found</v>
      </c>
      <c r="F2221" s="7" t="str">
        <f>_xlfn.XLOOKUP(Orders!B2221,Customers!A2221:A3220,Customers!C2221:C3220,"Country not Found",0)</f>
        <v>Country not Found</v>
      </c>
      <c r="G2221" s="7" t="str">
        <f>_xlfn.XLOOKUP(C2221,Products!A2221:A2720,Products!B2221:B2720,"Product Missing",0)</f>
        <v>Product Missing</v>
      </c>
      <c r="H2221" s="7" t="str">
        <f>_xlfn.XLOOKUP(C2221,Products!A2221:A2720,Products!C2221:C2720,"Category Missing",0)</f>
        <v>Category Missing</v>
      </c>
      <c r="I2221" s="11" t="str">
        <f>_xlfn.XLOOKUP(Orders!C2221,Products!A2221:A2720,Products!D2221:D2720,"Price Missing",0)</f>
        <v>Price Missing</v>
      </c>
      <c r="J2221" s="19">
        <f t="shared" si="34"/>
        <v>0</v>
      </c>
    </row>
    <row r="2222" spans="1:10" x14ac:dyDescent="0.35">
      <c r="A2222" s="4" t="s">
        <v>6242</v>
      </c>
      <c r="B2222" s="7" t="s">
        <v>2249</v>
      </c>
      <c r="C2222" s="7" t="s">
        <v>3330</v>
      </c>
      <c r="D2222" s="5">
        <v>8</v>
      </c>
      <c r="E2222" s="7" t="str">
        <f>_xlfn.XLOOKUP(B2222,Customers!A2222:A3221,Customers!B2222:B3221,"Customer Not Found",0)</f>
        <v>Customer Not Found</v>
      </c>
      <c r="F2222" s="7" t="str">
        <f>_xlfn.XLOOKUP(Orders!B2222,Customers!A2222:A3221,Customers!C2222:C3221,"Country not Found",0)</f>
        <v>Country not Found</v>
      </c>
      <c r="G2222" s="7" t="str">
        <f>_xlfn.XLOOKUP(C2222,Products!A2222:A2721,Products!B2222:B2721,"Product Missing",0)</f>
        <v>Product Missing</v>
      </c>
      <c r="H2222" s="7" t="str">
        <f>_xlfn.XLOOKUP(C2222,Products!A2222:A2721,Products!C2222:C2721,"Category Missing",0)</f>
        <v>Category Missing</v>
      </c>
      <c r="I2222" s="11" t="str">
        <f>_xlfn.XLOOKUP(Orders!C2222,Products!A2222:A2721,Products!D2222:D2721,"Price Missing",0)</f>
        <v>Price Missing</v>
      </c>
      <c r="J2222" s="19">
        <f t="shared" si="34"/>
        <v>0</v>
      </c>
    </row>
    <row r="2223" spans="1:10" x14ac:dyDescent="0.35">
      <c r="A2223" s="4" t="s">
        <v>6243</v>
      </c>
      <c r="B2223" s="7" t="s">
        <v>926</v>
      </c>
      <c r="C2223" s="7" t="s">
        <v>3296</v>
      </c>
      <c r="D2223" s="5">
        <v>6</v>
      </c>
      <c r="E2223" s="7" t="str">
        <f>_xlfn.XLOOKUP(B2223,Customers!A2223:A3222,Customers!B2223:B3222,"Customer Not Found",0)</f>
        <v>Customer Not Found</v>
      </c>
      <c r="F2223" s="7" t="str">
        <f>_xlfn.XLOOKUP(Orders!B2223,Customers!A2223:A3222,Customers!C2223:C3222,"Country not Found",0)</f>
        <v>Country not Found</v>
      </c>
      <c r="G2223" s="7" t="str">
        <f>_xlfn.XLOOKUP(C2223,Products!A2223:A2722,Products!B2223:B2722,"Product Missing",0)</f>
        <v>Product Missing</v>
      </c>
      <c r="H2223" s="7" t="str">
        <f>_xlfn.XLOOKUP(C2223,Products!A2223:A2722,Products!C2223:C2722,"Category Missing",0)</f>
        <v>Category Missing</v>
      </c>
      <c r="I2223" s="11" t="str">
        <f>_xlfn.XLOOKUP(Orders!C2223,Products!A2223:A2722,Products!D2223:D2722,"Price Missing",0)</f>
        <v>Price Missing</v>
      </c>
      <c r="J2223" s="19">
        <f t="shared" si="34"/>
        <v>0</v>
      </c>
    </row>
    <row r="2224" spans="1:10" x14ac:dyDescent="0.35">
      <c r="A2224" s="4" t="s">
        <v>6244</v>
      </c>
      <c r="B2224" s="7" t="s">
        <v>1463</v>
      </c>
      <c r="C2224" s="7" t="s">
        <v>3284</v>
      </c>
      <c r="D2224" s="5">
        <v>9</v>
      </c>
      <c r="E2224" s="7" t="str">
        <f>_xlfn.XLOOKUP(B2224,Customers!A2224:A3223,Customers!B2224:B3223,"Customer Not Found",0)</f>
        <v>Customer Not Found</v>
      </c>
      <c r="F2224" s="7" t="str">
        <f>_xlfn.XLOOKUP(Orders!B2224,Customers!A2224:A3223,Customers!C2224:C3223,"Country not Found",0)</f>
        <v>Country not Found</v>
      </c>
      <c r="G2224" s="7" t="str">
        <f>_xlfn.XLOOKUP(C2224,Products!A2224:A2723,Products!B2224:B2723,"Product Missing",0)</f>
        <v>Product Missing</v>
      </c>
      <c r="H2224" s="7" t="str">
        <f>_xlfn.XLOOKUP(C2224,Products!A2224:A2723,Products!C2224:C2723,"Category Missing",0)</f>
        <v>Category Missing</v>
      </c>
      <c r="I2224" s="11" t="str">
        <f>_xlfn.XLOOKUP(Orders!C2224,Products!A2224:A2723,Products!D2224:D2723,"Price Missing",0)</f>
        <v>Price Missing</v>
      </c>
      <c r="J2224" s="19">
        <f t="shared" si="34"/>
        <v>0</v>
      </c>
    </row>
    <row r="2225" spans="1:10" x14ac:dyDescent="0.35">
      <c r="A2225" s="4" t="s">
        <v>6245</v>
      </c>
      <c r="B2225" s="7" t="s">
        <v>2480</v>
      </c>
      <c r="C2225" s="7" t="s">
        <v>4012</v>
      </c>
      <c r="D2225" s="5">
        <v>2</v>
      </c>
      <c r="E2225" s="7" t="str">
        <f>_xlfn.XLOOKUP(B2225,Customers!A2225:A3224,Customers!B2225:B3224,"Customer Not Found",0)</f>
        <v>Customer Not Found</v>
      </c>
      <c r="F2225" s="7" t="str">
        <f>_xlfn.XLOOKUP(Orders!B2225,Customers!A2225:A3224,Customers!C2225:C3224,"Country not Found",0)</f>
        <v>Country not Found</v>
      </c>
      <c r="G2225" s="7" t="str">
        <f>_xlfn.XLOOKUP(C2225,Products!A2225:A2724,Products!B2225:B2724,"Product Missing",0)</f>
        <v>Product Missing</v>
      </c>
      <c r="H2225" s="7" t="str">
        <f>_xlfn.XLOOKUP(C2225,Products!A2225:A2724,Products!C2225:C2724,"Category Missing",0)</f>
        <v>Category Missing</v>
      </c>
      <c r="I2225" s="11" t="str">
        <f>_xlfn.XLOOKUP(Orders!C2225,Products!A2225:A2724,Products!D2225:D2724,"Price Missing",0)</f>
        <v>Price Missing</v>
      </c>
      <c r="J2225" s="19">
        <f t="shared" si="34"/>
        <v>0</v>
      </c>
    </row>
    <row r="2226" spans="1:10" x14ac:dyDescent="0.35">
      <c r="A2226" s="4" t="s">
        <v>6246</v>
      </c>
      <c r="B2226" s="7" t="s">
        <v>491</v>
      </c>
      <c r="C2226" s="7" t="s">
        <v>3162</v>
      </c>
      <c r="D2226" s="5">
        <v>6</v>
      </c>
      <c r="E2226" s="7" t="str">
        <f>_xlfn.XLOOKUP(B2226,Customers!A2226:A3225,Customers!B2226:B3225,"Customer Not Found",0)</f>
        <v>Customer Not Found</v>
      </c>
      <c r="F2226" s="7" t="str">
        <f>_xlfn.XLOOKUP(Orders!B2226,Customers!A2226:A3225,Customers!C2226:C3225,"Country not Found",0)</f>
        <v>Country not Found</v>
      </c>
      <c r="G2226" s="7" t="str">
        <f>_xlfn.XLOOKUP(C2226,Products!A2226:A2725,Products!B2226:B2725,"Product Missing",0)</f>
        <v>Product Missing</v>
      </c>
      <c r="H2226" s="7" t="str">
        <f>_xlfn.XLOOKUP(C2226,Products!A2226:A2725,Products!C2226:C2725,"Category Missing",0)</f>
        <v>Category Missing</v>
      </c>
      <c r="I2226" s="11" t="str">
        <f>_xlfn.XLOOKUP(Orders!C2226,Products!A2226:A2725,Products!D2226:D2725,"Price Missing",0)</f>
        <v>Price Missing</v>
      </c>
      <c r="J2226" s="19">
        <f t="shared" si="34"/>
        <v>0</v>
      </c>
    </row>
    <row r="2227" spans="1:10" x14ac:dyDescent="0.35">
      <c r="A2227" s="4" t="s">
        <v>6247</v>
      </c>
      <c r="B2227" s="7" t="s">
        <v>36</v>
      </c>
      <c r="C2227" s="7" t="s">
        <v>3392</v>
      </c>
      <c r="D2227" s="5">
        <v>6</v>
      </c>
      <c r="E2227" s="7" t="str">
        <f>_xlfn.XLOOKUP(B2227,Customers!A2227:A3226,Customers!B2227:B3226,"Customer Not Found",0)</f>
        <v>Customer Not Found</v>
      </c>
      <c r="F2227" s="7" t="str">
        <f>_xlfn.XLOOKUP(Orders!B2227,Customers!A2227:A3226,Customers!C2227:C3226,"Country not Found",0)</f>
        <v>Country not Found</v>
      </c>
      <c r="G2227" s="7" t="str">
        <f>_xlfn.XLOOKUP(C2227,Products!A2227:A2726,Products!B2227:B2726,"Product Missing",0)</f>
        <v>Product Missing</v>
      </c>
      <c r="H2227" s="7" t="str">
        <f>_xlfn.XLOOKUP(C2227,Products!A2227:A2726,Products!C2227:C2726,"Category Missing",0)</f>
        <v>Category Missing</v>
      </c>
      <c r="I2227" s="11" t="str">
        <f>_xlfn.XLOOKUP(Orders!C2227,Products!A2227:A2726,Products!D2227:D2726,"Price Missing",0)</f>
        <v>Price Missing</v>
      </c>
      <c r="J2227" s="19">
        <f t="shared" si="34"/>
        <v>0</v>
      </c>
    </row>
    <row r="2228" spans="1:10" x14ac:dyDescent="0.35">
      <c r="A2228" s="4" t="s">
        <v>6248</v>
      </c>
      <c r="B2228" s="7" t="s">
        <v>1673</v>
      </c>
      <c r="C2228" s="7" t="s">
        <v>3102</v>
      </c>
      <c r="D2228" s="5">
        <v>6</v>
      </c>
      <c r="E2228" s="7" t="str">
        <f>_xlfn.XLOOKUP(B2228,Customers!A2228:A3227,Customers!B2228:B3227,"Customer Not Found",0)</f>
        <v>Customer Not Found</v>
      </c>
      <c r="F2228" s="7" t="str">
        <f>_xlfn.XLOOKUP(Orders!B2228,Customers!A2228:A3227,Customers!C2228:C3227,"Country not Found",0)</f>
        <v>Country not Found</v>
      </c>
      <c r="G2228" s="7" t="str">
        <f>_xlfn.XLOOKUP(C2228,Products!A2228:A2727,Products!B2228:B2727,"Product Missing",0)</f>
        <v>Product Missing</v>
      </c>
      <c r="H2228" s="7" t="str">
        <f>_xlfn.XLOOKUP(C2228,Products!A2228:A2727,Products!C2228:C2727,"Category Missing",0)</f>
        <v>Category Missing</v>
      </c>
      <c r="I2228" s="11" t="str">
        <f>_xlfn.XLOOKUP(Orders!C2228,Products!A2228:A2727,Products!D2228:D2727,"Price Missing",0)</f>
        <v>Price Missing</v>
      </c>
      <c r="J2228" s="19">
        <f t="shared" si="34"/>
        <v>0</v>
      </c>
    </row>
    <row r="2229" spans="1:10" x14ac:dyDescent="0.35">
      <c r="A2229" s="4" t="s">
        <v>6249</v>
      </c>
      <c r="B2229" s="7" t="s">
        <v>2102</v>
      </c>
      <c r="C2229" s="7" t="s">
        <v>3021</v>
      </c>
      <c r="D2229" s="5">
        <v>9</v>
      </c>
      <c r="E2229" s="7" t="str">
        <f>_xlfn.XLOOKUP(B2229,Customers!A2229:A3228,Customers!B2229:B3228,"Customer Not Found",0)</f>
        <v>Customer Not Found</v>
      </c>
      <c r="F2229" s="7" t="str">
        <f>_xlfn.XLOOKUP(Orders!B2229,Customers!A2229:A3228,Customers!C2229:C3228,"Country not Found",0)</f>
        <v>Country not Found</v>
      </c>
      <c r="G2229" s="7" t="str">
        <f>_xlfn.XLOOKUP(C2229,Products!A2229:A2728,Products!B2229:B2728,"Product Missing",0)</f>
        <v>Product Missing</v>
      </c>
      <c r="H2229" s="7" t="str">
        <f>_xlfn.XLOOKUP(C2229,Products!A2229:A2728,Products!C2229:C2728,"Category Missing",0)</f>
        <v>Category Missing</v>
      </c>
      <c r="I2229" s="11" t="str">
        <f>_xlfn.XLOOKUP(Orders!C2229,Products!A2229:A2728,Products!D2229:D2728,"Price Missing",0)</f>
        <v>Price Missing</v>
      </c>
      <c r="J2229" s="19">
        <f t="shared" si="34"/>
        <v>0</v>
      </c>
    </row>
    <row r="2230" spans="1:10" x14ac:dyDescent="0.35">
      <c r="A2230" s="4" t="s">
        <v>6250</v>
      </c>
      <c r="B2230" s="7" t="s">
        <v>125</v>
      </c>
      <c r="C2230" s="7" t="s">
        <v>3938</v>
      </c>
      <c r="D2230" s="5">
        <v>10</v>
      </c>
      <c r="E2230" s="7" t="str">
        <f>_xlfn.XLOOKUP(B2230,Customers!A2230:A3229,Customers!B2230:B3229,"Customer Not Found",0)</f>
        <v>Customer Not Found</v>
      </c>
      <c r="F2230" s="7" t="str">
        <f>_xlfn.XLOOKUP(Orders!B2230,Customers!A2230:A3229,Customers!C2230:C3229,"Country not Found",0)</f>
        <v>Country not Found</v>
      </c>
      <c r="G2230" s="7" t="str">
        <f>_xlfn.XLOOKUP(C2230,Products!A2230:A2729,Products!B2230:B2729,"Product Missing",0)</f>
        <v>Product Missing</v>
      </c>
      <c r="H2230" s="7" t="str">
        <f>_xlfn.XLOOKUP(C2230,Products!A2230:A2729,Products!C2230:C2729,"Category Missing",0)</f>
        <v>Category Missing</v>
      </c>
      <c r="I2230" s="11" t="str">
        <f>_xlfn.XLOOKUP(Orders!C2230,Products!A2230:A2729,Products!D2230:D2729,"Price Missing",0)</f>
        <v>Price Missing</v>
      </c>
      <c r="J2230" s="19">
        <f t="shared" si="34"/>
        <v>0</v>
      </c>
    </row>
    <row r="2231" spans="1:10" x14ac:dyDescent="0.35">
      <c r="A2231" s="4" t="s">
        <v>6251</v>
      </c>
      <c r="B2231" s="7" t="s">
        <v>428</v>
      </c>
      <c r="C2231" s="7" t="s">
        <v>3450</v>
      </c>
      <c r="D2231" s="5">
        <v>7</v>
      </c>
      <c r="E2231" s="7" t="str">
        <f>_xlfn.XLOOKUP(B2231,Customers!A2231:A3230,Customers!B2231:B3230,"Customer Not Found",0)</f>
        <v>Customer Not Found</v>
      </c>
      <c r="F2231" s="7" t="str">
        <f>_xlfn.XLOOKUP(Orders!B2231,Customers!A2231:A3230,Customers!C2231:C3230,"Country not Found",0)</f>
        <v>Country not Found</v>
      </c>
      <c r="G2231" s="7" t="str">
        <f>_xlfn.XLOOKUP(C2231,Products!A2231:A2730,Products!B2231:B2730,"Product Missing",0)</f>
        <v>Product Missing</v>
      </c>
      <c r="H2231" s="7" t="str">
        <f>_xlfn.XLOOKUP(C2231,Products!A2231:A2730,Products!C2231:C2730,"Category Missing",0)</f>
        <v>Category Missing</v>
      </c>
      <c r="I2231" s="11" t="str">
        <f>_xlfn.XLOOKUP(Orders!C2231,Products!A2231:A2730,Products!D2231:D2730,"Price Missing",0)</f>
        <v>Price Missing</v>
      </c>
      <c r="J2231" s="19">
        <f t="shared" si="34"/>
        <v>0</v>
      </c>
    </row>
    <row r="2232" spans="1:10" x14ac:dyDescent="0.35">
      <c r="A2232" s="4" t="s">
        <v>6252</v>
      </c>
      <c r="B2232" s="7" t="s">
        <v>1565</v>
      </c>
      <c r="C2232" s="7" t="s">
        <v>3694</v>
      </c>
      <c r="D2232" s="5">
        <v>8</v>
      </c>
      <c r="E2232" s="7" t="str">
        <f>_xlfn.XLOOKUP(B2232,Customers!A2232:A3231,Customers!B2232:B3231,"Customer Not Found",0)</f>
        <v>Customer Not Found</v>
      </c>
      <c r="F2232" s="7" t="str">
        <f>_xlfn.XLOOKUP(Orders!B2232,Customers!A2232:A3231,Customers!C2232:C3231,"Country not Found",0)</f>
        <v>Country not Found</v>
      </c>
      <c r="G2232" s="7" t="str">
        <f>_xlfn.XLOOKUP(C2232,Products!A2232:A2731,Products!B2232:B2731,"Product Missing",0)</f>
        <v>Product Missing</v>
      </c>
      <c r="H2232" s="7" t="str">
        <f>_xlfn.XLOOKUP(C2232,Products!A2232:A2731,Products!C2232:C2731,"Category Missing",0)</f>
        <v>Category Missing</v>
      </c>
      <c r="I2232" s="11" t="str">
        <f>_xlfn.XLOOKUP(Orders!C2232,Products!A2232:A2731,Products!D2232:D2731,"Price Missing",0)</f>
        <v>Price Missing</v>
      </c>
      <c r="J2232" s="19">
        <f t="shared" si="34"/>
        <v>0</v>
      </c>
    </row>
    <row r="2233" spans="1:10" x14ac:dyDescent="0.35">
      <c r="A2233" s="4" t="s">
        <v>6253</v>
      </c>
      <c r="B2233" s="7" t="s">
        <v>512</v>
      </c>
      <c r="C2233" s="7" t="s">
        <v>3728</v>
      </c>
      <c r="D2233" s="5">
        <v>9</v>
      </c>
      <c r="E2233" s="7" t="str">
        <f>_xlfn.XLOOKUP(B2233,Customers!A2233:A3232,Customers!B2233:B3232,"Customer Not Found",0)</f>
        <v>Customer Not Found</v>
      </c>
      <c r="F2233" s="7" t="str">
        <f>_xlfn.XLOOKUP(Orders!B2233,Customers!A2233:A3232,Customers!C2233:C3232,"Country not Found",0)</f>
        <v>Country not Found</v>
      </c>
      <c r="G2233" s="7" t="str">
        <f>_xlfn.XLOOKUP(C2233,Products!A2233:A2732,Products!B2233:B2732,"Product Missing",0)</f>
        <v>Product Missing</v>
      </c>
      <c r="H2233" s="7" t="str">
        <f>_xlfn.XLOOKUP(C2233,Products!A2233:A2732,Products!C2233:C2732,"Category Missing",0)</f>
        <v>Category Missing</v>
      </c>
      <c r="I2233" s="11" t="str">
        <f>_xlfn.XLOOKUP(Orders!C2233,Products!A2233:A2732,Products!D2233:D2732,"Price Missing",0)</f>
        <v>Price Missing</v>
      </c>
      <c r="J2233" s="19">
        <f t="shared" si="34"/>
        <v>0</v>
      </c>
    </row>
    <row r="2234" spans="1:10" x14ac:dyDescent="0.35">
      <c r="A2234" s="4" t="s">
        <v>6254</v>
      </c>
      <c r="B2234" s="7" t="s">
        <v>2006</v>
      </c>
      <c r="C2234" s="7" t="s">
        <v>3646</v>
      </c>
      <c r="D2234" s="5">
        <v>3</v>
      </c>
      <c r="E2234" s="7" t="str">
        <f>_xlfn.XLOOKUP(B2234,Customers!A2234:A3233,Customers!B2234:B3233,"Customer Not Found",0)</f>
        <v>Customer Not Found</v>
      </c>
      <c r="F2234" s="7" t="str">
        <f>_xlfn.XLOOKUP(Orders!B2234,Customers!A2234:A3233,Customers!C2234:C3233,"Country not Found",0)</f>
        <v>Country not Found</v>
      </c>
      <c r="G2234" s="7" t="str">
        <f>_xlfn.XLOOKUP(C2234,Products!A2234:A2733,Products!B2234:B2733,"Product Missing",0)</f>
        <v>Product Missing</v>
      </c>
      <c r="H2234" s="7" t="str">
        <f>_xlfn.XLOOKUP(C2234,Products!A2234:A2733,Products!C2234:C2733,"Category Missing",0)</f>
        <v>Category Missing</v>
      </c>
      <c r="I2234" s="11" t="str">
        <f>_xlfn.XLOOKUP(Orders!C2234,Products!A2234:A2733,Products!D2234:D2733,"Price Missing",0)</f>
        <v>Price Missing</v>
      </c>
      <c r="J2234" s="19">
        <f t="shared" si="34"/>
        <v>0</v>
      </c>
    </row>
    <row r="2235" spans="1:10" x14ac:dyDescent="0.35">
      <c r="A2235" s="4" t="s">
        <v>6255</v>
      </c>
      <c r="B2235" s="7" t="s">
        <v>2177</v>
      </c>
      <c r="C2235" s="7" t="s">
        <v>3588</v>
      </c>
      <c r="D2235" s="5">
        <v>6</v>
      </c>
      <c r="E2235" s="7" t="str">
        <f>_xlfn.XLOOKUP(B2235,Customers!A2235:A3234,Customers!B2235:B3234,"Customer Not Found",0)</f>
        <v>Customer Not Found</v>
      </c>
      <c r="F2235" s="7" t="str">
        <f>_xlfn.XLOOKUP(Orders!B2235,Customers!A2235:A3234,Customers!C2235:C3234,"Country not Found",0)</f>
        <v>Country not Found</v>
      </c>
      <c r="G2235" s="7" t="str">
        <f>_xlfn.XLOOKUP(C2235,Products!A2235:A2734,Products!B2235:B2734,"Product Missing",0)</f>
        <v>Product Missing</v>
      </c>
      <c r="H2235" s="7" t="str">
        <f>_xlfn.XLOOKUP(C2235,Products!A2235:A2734,Products!C2235:C2734,"Category Missing",0)</f>
        <v>Category Missing</v>
      </c>
      <c r="I2235" s="11" t="str">
        <f>_xlfn.XLOOKUP(Orders!C2235,Products!A2235:A2734,Products!D2235:D2734,"Price Missing",0)</f>
        <v>Price Missing</v>
      </c>
      <c r="J2235" s="19">
        <f t="shared" si="34"/>
        <v>0</v>
      </c>
    </row>
    <row r="2236" spans="1:10" x14ac:dyDescent="0.35">
      <c r="A2236" s="4" t="s">
        <v>6256</v>
      </c>
      <c r="B2236" s="7" t="s">
        <v>2630</v>
      </c>
      <c r="C2236" s="7" t="s">
        <v>3794</v>
      </c>
      <c r="D2236" s="5">
        <v>5</v>
      </c>
      <c r="E2236" s="7" t="str">
        <f>_xlfn.XLOOKUP(B2236,Customers!A2236:A3235,Customers!B2236:B3235,"Customer Not Found",0)</f>
        <v>Customer Not Found</v>
      </c>
      <c r="F2236" s="7" t="str">
        <f>_xlfn.XLOOKUP(Orders!B2236,Customers!A2236:A3235,Customers!C2236:C3235,"Country not Found",0)</f>
        <v>Country not Found</v>
      </c>
      <c r="G2236" s="7" t="str">
        <f>_xlfn.XLOOKUP(C2236,Products!A2236:A2735,Products!B2236:B2735,"Product Missing",0)</f>
        <v>Product Missing</v>
      </c>
      <c r="H2236" s="7" t="str">
        <f>_xlfn.XLOOKUP(C2236,Products!A2236:A2735,Products!C2236:C2735,"Category Missing",0)</f>
        <v>Category Missing</v>
      </c>
      <c r="I2236" s="11" t="str">
        <f>_xlfn.XLOOKUP(Orders!C2236,Products!A2236:A2735,Products!D2236:D2735,"Price Missing",0)</f>
        <v>Price Missing</v>
      </c>
      <c r="J2236" s="19">
        <f t="shared" si="34"/>
        <v>0</v>
      </c>
    </row>
    <row r="2237" spans="1:10" x14ac:dyDescent="0.35">
      <c r="A2237" s="4" t="s">
        <v>6257</v>
      </c>
      <c r="B2237" s="7" t="s">
        <v>1472</v>
      </c>
      <c r="C2237" s="7" t="s">
        <v>3246</v>
      </c>
      <c r="D2237" s="5">
        <v>2</v>
      </c>
      <c r="E2237" s="7" t="str">
        <f>_xlfn.XLOOKUP(B2237,Customers!A2237:A3236,Customers!B2237:B3236,"Customer Not Found",0)</f>
        <v>Customer Not Found</v>
      </c>
      <c r="F2237" s="7" t="str">
        <f>_xlfn.XLOOKUP(Orders!B2237,Customers!A2237:A3236,Customers!C2237:C3236,"Country not Found",0)</f>
        <v>Country not Found</v>
      </c>
      <c r="G2237" s="7" t="str">
        <f>_xlfn.XLOOKUP(C2237,Products!A2237:A2736,Products!B2237:B2736,"Product Missing",0)</f>
        <v>Product Missing</v>
      </c>
      <c r="H2237" s="7" t="str">
        <f>_xlfn.XLOOKUP(C2237,Products!A2237:A2736,Products!C2237:C2736,"Category Missing",0)</f>
        <v>Category Missing</v>
      </c>
      <c r="I2237" s="11" t="str">
        <f>_xlfn.XLOOKUP(Orders!C2237,Products!A2237:A2736,Products!D2237:D2736,"Price Missing",0)</f>
        <v>Price Missing</v>
      </c>
      <c r="J2237" s="19">
        <f t="shared" si="34"/>
        <v>0</v>
      </c>
    </row>
    <row r="2238" spans="1:10" x14ac:dyDescent="0.35">
      <c r="A2238" s="4" t="s">
        <v>6258</v>
      </c>
      <c r="B2238" s="7" t="s">
        <v>1637</v>
      </c>
      <c r="C2238" s="7" t="s">
        <v>3296</v>
      </c>
      <c r="D2238" s="5">
        <v>10</v>
      </c>
      <c r="E2238" s="7" t="str">
        <f>_xlfn.XLOOKUP(B2238,Customers!A2238:A3237,Customers!B2238:B3237,"Customer Not Found",0)</f>
        <v>Customer Not Found</v>
      </c>
      <c r="F2238" s="7" t="str">
        <f>_xlfn.XLOOKUP(Orders!B2238,Customers!A2238:A3237,Customers!C2238:C3237,"Country not Found",0)</f>
        <v>Country not Found</v>
      </c>
      <c r="G2238" s="7" t="str">
        <f>_xlfn.XLOOKUP(C2238,Products!A2238:A2737,Products!B2238:B2737,"Product Missing",0)</f>
        <v>Product Missing</v>
      </c>
      <c r="H2238" s="7" t="str">
        <f>_xlfn.XLOOKUP(C2238,Products!A2238:A2737,Products!C2238:C2737,"Category Missing",0)</f>
        <v>Category Missing</v>
      </c>
      <c r="I2238" s="11" t="str">
        <f>_xlfn.XLOOKUP(Orders!C2238,Products!A2238:A2737,Products!D2238:D2737,"Price Missing",0)</f>
        <v>Price Missing</v>
      </c>
      <c r="J2238" s="19">
        <f t="shared" si="34"/>
        <v>0</v>
      </c>
    </row>
    <row r="2239" spans="1:10" x14ac:dyDescent="0.35">
      <c r="A2239" s="4" t="s">
        <v>6259</v>
      </c>
      <c r="B2239" s="7" t="s">
        <v>302</v>
      </c>
      <c r="C2239" s="7" t="s">
        <v>3970</v>
      </c>
      <c r="D2239" s="5">
        <v>5</v>
      </c>
      <c r="E2239" s="7" t="str">
        <f>_xlfn.XLOOKUP(B2239,Customers!A2239:A3238,Customers!B2239:B3238,"Customer Not Found",0)</f>
        <v>Customer Not Found</v>
      </c>
      <c r="F2239" s="7" t="str">
        <f>_xlfn.XLOOKUP(Orders!B2239,Customers!A2239:A3238,Customers!C2239:C3238,"Country not Found",0)</f>
        <v>Country not Found</v>
      </c>
      <c r="G2239" s="7" t="str">
        <f>_xlfn.XLOOKUP(C2239,Products!A2239:A2738,Products!B2239:B2738,"Product Missing",0)</f>
        <v>Product Missing</v>
      </c>
      <c r="H2239" s="7" t="str">
        <f>_xlfn.XLOOKUP(C2239,Products!A2239:A2738,Products!C2239:C2738,"Category Missing",0)</f>
        <v>Category Missing</v>
      </c>
      <c r="I2239" s="11" t="str">
        <f>_xlfn.XLOOKUP(Orders!C2239,Products!A2239:A2738,Products!D2239:D2738,"Price Missing",0)</f>
        <v>Price Missing</v>
      </c>
      <c r="J2239" s="19">
        <f t="shared" si="34"/>
        <v>0</v>
      </c>
    </row>
    <row r="2240" spans="1:10" x14ac:dyDescent="0.35">
      <c r="A2240" s="4" t="s">
        <v>6260</v>
      </c>
      <c r="B2240" s="7" t="s">
        <v>530</v>
      </c>
      <c r="C2240" s="7" t="s">
        <v>3844</v>
      </c>
      <c r="D2240" s="5">
        <v>7</v>
      </c>
      <c r="E2240" s="7" t="str">
        <f>_xlfn.XLOOKUP(B2240,Customers!A2240:A3239,Customers!B2240:B3239,"Customer Not Found",0)</f>
        <v>Customer Not Found</v>
      </c>
      <c r="F2240" s="7" t="str">
        <f>_xlfn.XLOOKUP(Orders!B2240,Customers!A2240:A3239,Customers!C2240:C3239,"Country not Found",0)</f>
        <v>Country not Found</v>
      </c>
      <c r="G2240" s="7" t="str">
        <f>_xlfn.XLOOKUP(C2240,Products!A2240:A2739,Products!B2240:B2739,"Product Missing",0)</f>
        <v>Product Missing</v>
      </c>
      <c r="H2240" s="7" t="str">
        <f>_xlfn.XLOOKUP(C2240,Products!A2240:A2739,Products!C2240:C2739,"Category Missing",0)</f>
        <v>Category Missing</v>
      </c>
      <c r="I2240" s="11" t="str">
        <f>_xlfn.XLOOKUP(Orders!C2240,Products!A2240:A2739,Products!D2240:D2739,"Price Missing",0)</f>
        <v>Price Missing</v>
      </c>
      <c r="J2240" s="19">
        <f t="shared" si="34"/>
        <v>0</v>
      </c>
    </row>
    <row r="2241" spans="1:10" x14ac:dyDescent="0.35">
      <c r="A2241" s="4" t="s">
        <v>6261</v>
      </c>
      <c r="B2241" s="7" t="s">
        <v>1673</v>
      </c>
      <c r="C2241" s="7" t="s">
        <v>3604</v>
      </c>
      <c r="D2241" s="5">
        <v>4</v>
      </c>
      <c r="E2241" s="7" t="str">
        <f>_xlfn.XLOOKUP(B2241,Customers!A2241:A3240,Customers!B2241:B3240,"Customer Not Found",0)</f>
        <v>Customer Not Found</v>
      </c>
      <c r="F2241" s="7" t="str">
        <f>_xlfn.XLOOKUP(Orders!B2241,Customers!A2241:A3240,Customers!C2241:C3240,"Country not Found",0)</f>
        <v>Country not Found</v>
      </c>
      <c r="G2241" s="7" t="str">
        <f>_xlfn.XLOOKUP(C2241,Products!A2241:A2740,Products!B2241:B2740,"Product Missing",0)</f>
        <v>Product Missing</v>
      </c>
      <c r="H2241" s="7" t="str">
        <f>_xlfn.XLOOKUP(C2241,Products!A2241:A2740,Products!C2241:C2740,"Category Missing",0)</f>
        <v>Category Missing</v>
      </c>
      <c r="I2241" s="11" t="str">
        <f>_xlfn.XLOOKUP(Orders!C2241,Products!A2241:A2740,Products!D2241:D2740,"Price Missing",0)</f>
        <v>Price Missing</v>
      </c>
      <c r="J2241" s="19">
        <f t="shared" si="34"/>
        <v>0</v>
      </c>
    </row>
    <row r="2242" spans="1:10" x14ac:dyDescent="0.35">
      <c r="A2242" s="4" t="s">
        <v>6262</v>
      </c>
      <c r="B2242" s="7" t="s">
        <v>2060</v>
      </c>
      <c r="C2242" s="7" t="s">
        <v>3102</v>
      </c>
      <c r="D2242" s="5">
        <v>8</v>
      </c>
      <c r="E2242" s="7" t="str">
        <f>_xlfn.XLOOKUP(B2242,Customers!A2242:A3241,Customers!B2242:B3241,"Customer Not Found",0)</f>
        <v>Customer Not Found</v>
      </c>
      <c r="F2242" s="7" t="str">
        <f>_xlfn.XLOOKUP(Orders!B2242,Customers!A2242:A3241,Customers!C2242:C3241,"Country not Found",0)</f>
        <v>Country not Found</v>
      </c>
      <c r="G2242" s="7" t="str">
        <f>_xlfn.XLOOKUP(C2242,Products!A2242:A2741,Products!B2242:B2741,"Product Missing",0)</f>
        <v>Product Missing</v>
      </c>
      <c r="H2242" s="7" t="str">
        <f>_xlfn.XLOOKUP(C2242,Products!A2242:A2741,Products!C2242:C2741,"Category Missing",0)</f>
        <v>Category Missing</v>
      </c>
      <c r="I2242" s="11" t="str">
        <f>_xlfn.XLOOKUP(Orders!C2242,Products!A2242:A2741,Products!D2242:D2741,"Price Missing",0)</f>
        <v>Price Missing</v>
      </c>
      <c r="J2242" s="19">
        <f t="shared" si="34"/>
        <v>0</v>
      </c>
    </row>
    <row r="2243" spans="1:10" x14ac:dyDescent="0.35">
      <c r="A2243" s="4" t="s">
        <v>6263</v>
      </c>
      <c r="B2243" s="7" t="s">
        <v>1229</v>
      </c>
      <c r="C2243" s="7" t="s">
        <v>3116</v>
      </c>
      <c r="D2243" s="5">
        <v>6</v>
      </c>
      <c r="E2243" s="7" t="str">
        <f>_xlfn.XLOOKUP(B2243,Customers!A2243:A3242,Customers!B2243:B3242,"Customer Not Found",0)</f>
        <v>Customer Not Found</v>
      </c>
      <c r="F2243" s="7" t="str">
        <f>_xlfn.XLOOKUP(Orders!B2243,Customers!A2243:A3242,Customers!C2243:C3242,"Country not Found",0)</f>
        <v>Country not Found</v>
      </c>
      <c r="G2243" s="7" t="str">
        <f>_xlfn.XLOOKUP(C2243,Products!A2243:A2742,Products!B2243:B2742,"Product Missing",0)</f>
        <v>Product Missing</v>
      </c>
      <c r="H2243" s="7" t="str">
        <f>_xlfn.XLOOKUP(C2243,Products!A2243:A2742,Products!C2243:C2742,"Category Missing",0)</f>
        <v>Category Missing</v>
      </c>
      <c r="I2243" s="11" t="str">
        <f>_xlfn.XLOOKUP(Orders!C2243,Products!A2243:A2742,Products!D2243:D2742,"Price Missing",0)</f>
        <v>Price Missing</v>
      </c>
      <c r="J2243" s="19">
        <f t="shared" ref="J2243:J2306" si="35">IFERROR(I2243*D2243,0)</f>
        <v>0</v>
      </c>
    </row>
    <row r="2244" spans="1:10" x14ac:dyDescent="0.35">
      <c r="A2244" s="4" t="s">
        <v>6264</v>
      </c>
      <c r="B2244" s="7" t="s">
        <v>1232</v>
      </c>
      <c r="C2244" s="7" t="s">
        <v>3820</v>
      </c>
      <c r="D2244" s="5">
        <v>5</v>
      </c>
      <c r="E2244" s="7" t="str">
        <f>_xlfn.XLOOKUP(B2244,Customers!A2244:A3243,Customers!B2244:B3243,"Customer Not Found",0)</f>
        <v>Customer Not Found</v>
      </c>
      <c r="F2244" s="7" t="str">
        <f>_xlfn.XLOOKUP(Orders!B2244,Customers!A2244:A3243,Customers!C2244:C3243,"Country not Found",0)</f>
        <v>Country not Found</v>
      </c>
      <c r="G2244" s="7" t="str">
        <f>_xlfn.XLOOKUP(C2244,Products!A2244:A2743,Products!B2244:B2743,"Product Missing",0)</f>
        <v>Product Missing</v>
      </c>
      <c r="H2244" s="7" t="str">
        <f>_xlfn.XLOOKUP(C2244,Products!A2244:A2743,Products!C2244:C2743,"Category Missing",0)</f>
        <v>Category Missing</v>
      </c>
      <c r="I2244" s="11" t="str">
        <f>_xlfn.XLOOKUP(Orders!C2244,Products!A2244:A2743,Products!D2244:D2743,"Price Missing",0)</f>
        <v>Price Missing</v>
      </c>
      <c r="J2244" s="19">
        <f t="shared" si="35"/>
        <v>0</v>
      </c>
    </row>
    <row r="2245" spans="1:10" x14ac:dyDescent="0.35">
      <c r="A2245" s="4" t="s">
        <v>6265</v>
      </c>
      <c r="B2245" s="7" t="s">
        <v>2123</v>
      </c>
      <c r="C2245" s="7" t="s">
        <v>3980</v>
      </c>
      <c r="D2245" s="5">
        <v>9</v>
      </c>
      <c r="E2245" s="7" t="str">
        <f>_xlfn.XLOOKUP(B2245,Customers!A2245:A3244,Customers!B2245:B3244,"Customer Not Found",0)</f>
        <v>Customer Not Found</v>
      </c>
      <c r="F2245" s="7" t="str">
        <f>_xlfn.XLOOKUP(Orders!B2245,Customers!A2245:A3244,Customers!C2245:C3244,"Country not Found",0)</f>
        <v>Country not Found</v>
      </c>
      <c r="G2245" s="7" t="str">
        <f>_xlfn.XLOOKUP(C2245,Products!A2245:A2744,Products!B2245:B2744,"Product Missing",0)</f>
        <v>Product Missing</v>
      </c>
      <c r="H2245" s="7" t="str">
        <f>_xlfn.XLOOKUP(C2245,Products!A2245:A2744,Products!C2245:C2744,"Category Missing",0)</f>
        <v>Category Missing</v>
      </c>
      <c r="I2245" s="11" t="str">
        <f>_xlfn.XLOOKUP(Orders!C2245,Products!A2245:A2744,Products!D2245:D2744,"Price Missing",0)</f>
        <v>Price Missing</v>
      </c>
      <c r="J2245" s="19">
        <f t="shared" si="35"/>
        <v>0</v>
      </c>
    </row>
    <row r="2246" spans="1:10" x14ac:dyDescent="0.35">
      <c r="A2246" s="4" t="s">
        <v>6266</v>
      </c>
      <c r="B2246" s="7" t="s">
        <v>923</v>
      </c>
      <c r="C2246" s="7" t="s">
        <v>3496</v>
      </c>
      <c r="D2246" s="5">
        <v>6</v>
      </c>
      <c r="E2246" s="7" t="str">
        <f>_xlfn.XLOOKUP(B2246,Customers!A2246:A3245,Customers!B2246:B3245,"Customer Not Found",0)</f>
        <v>Customer Not Found</v>
      </c>
      <c r="F2246" s="7" t="str">
        <f>_xlfn.XLOOKUP(Orders!B2246,Customers!A2246:A3245,Customers!C2246:C3245,"Country not Found",0)</f>
        <v>Country not Found</v>
      </c>
      <c r="G2246" s="7" t="str">
        <f>_xlfn.XLOOKUP(C2246,Products!A2246:A2745,Products!B2246:B2745,"Product Missing",0)</f>
        <v>Product Missing</v>
      </c>
      <c r="H2246" s="7" t="str">
        <f>_xlfn.XLOOKUP(C2246,Products!A2246:A2745,Products!C2246:C2745,"Category Missing",0)</f>
        <v>Category Missing</v>
      </c>
      <c r="I2246" s="11" t="str">
        <f>_xlfn.XLOOKUP(Orders!C2246,Products!A2246:A2745,Products!D2246:D2745,"Price Missing",0)</f>
        <v>Price Missing</v>
      </c>
      <c r="J2246" s="19">
        <f t="shared" si="35"/>
        <v>0</v>
      </c>
    </row>
    <row r="2247" spans="1:10" x14ac:dyDescent="0.35">
      <c r="A2247" s="4" t="s">
        <v>6267</v>
      </c>
      <c r="B2247" s="7" t="s">
        <v>647</v>
      </c>
      <c r="C2247" s="7" t="s">
        <v>3694</v>
      </c>
      <c r="D2247" s="5">
        <v>5</v>
      </c>
      <c r="E2247" s="7" t="str">
        <f>_xlfn.XLOOKUP(B2247,Customers!A2247:A3246,Customers!B2247:B3246,"Customer Not Found",0)</f>
        <v>Customer Not Found</v>
      </c>
      <c r="F2247" s="7" t="str">
        <f>_xlfn.XLOOKUP(Orders!B2247,Customers!A2247:A3246,Customers!C2247:C3246,"Country not Found",0)</f>
        <v>Country not Found</v>
      </c>
      <c r="G2247" s="7" t="str">
        <f>_xlfn.XLOOKUP(C2247,Products!A2247:A2746,Products!B2247:B2746,"Product Missing",0)</f>
        <v>Product Missing</v>
      </c>
      <c r="H2247" s="7" t="str">
        <f>_xlfn.XLOOKUP(C2247,Products!A2247:A2746,Products!C2247:C2746,"Category Missing",0)</f>
        <v>Category Missing</v>
      </c>
      <c r="I2247" s="11" t="str">
        <f>_xlfn.XLOOKUP(Orders!C2247,Products!A2247:A2746,Products!D2247:D2746,"Price Missing",0)</f>
        <v>Price Missing</v>
      </c>
      <c r="J2247" s="19">
        <f t="shared" si="35"/>
        <v>0</v>
      </c>
    </row>
    <row r="2248" spans="1:10" x14ac:dyDescent="0.35">
      <c r="A2248" s="4" t="s">
        <v>6268</v>
      </c>
      <c r="B2248" s="7" t="s">
        <v>58</v>
      </c>
      <c r="C2248" s="7" t="s">
        <v>3668</v>
      </c>
      <c r="D2248" s="5">
        <v>4</v>
      </c>
      <c r="E2248" s="7" t="str">
        <f>_xlfn.XLOOKUP(B2248,Customers!A2248:A3247,Customers!B2248:B3247,"Customer Not Found",0)</f>
        <v>Customer Not Found</v>
      </c>
      <c r="F2248" s="7" t="str">
        <f>_xlfn.XLOOKUP(Orders!B2248,Customers!A2248:A3247,Customers!C2248:C3247,"Country not Found",0)</f>
        <v>Country not Found</v>
      </c>
      <c r="G2248" s="7" t="str">
        <f>_xlfn.XLOOKUP(C2248,Products!A2248:A2747,Products!B2248:B2747,"Product Missing",0)</f>
        <v>Product Missing</v>
      </c>
      <c r="H2248" s="7" t="str">
        <f>_xlfn.XLOOKUP(C2248,Products!A2248:A2747,Products!C2248:C2747,"Category Missing",0)</f>
        <v>Category Missing</v>
      </c>
      <c r="I2248" s="11" t="str">
        <f>_xlfn.XLOOKUP(Orders!C2248,Products!A2248:A2747,Products!D2248:D2747,"Price Missing",0)</f>
        <v>Price Missing</v>
      </c>
      <c r="J2248" s="19">
        <f t="shared" si="35"/>
        <v>0</v>
      </c>
    </row>
    <row r="2249" spans="1:10" x14ac:dyDescent="0.35">
      <c r="A2249" s="4" t="s">
        <v>6269</v>
      </c>
      <c r="B2249" s="7" t="s">
        <v>152</v>
      </c>
      <c r="C2249" s="7" t="s">
        <v>3854</v>
      </c>
      <c r="D2249" s="5">
        <v>5</v>
      </c>
      <c r="E2249" s="7" t="str">
        <f>_xlfn.XLOOKUP(B2249,Customers!A2249:A3248,Customers!B2249:B3248,"Customer Not Found",0)</f>
        <v>Customer Not Found</v>
      </c>
      <c r="F2249" s="7" t="str">
        <f>_xlfn.XLOOKUP(Orders!B2249,Customers!A2249:A3248,Customers!C2249:C3248,"Country not Found",0)</f>
        <v>Country not Found</v>
      </c>
      <c r="G2249" s="7" t="str">
        <f>_xlfn.XLOOKUP(C2249,Products!A2249:A2748,Products!B2249:B2748,"Product Missing",0)</f>
        <v>Product Missing</v>
      </c>
      <c r="H2249" s="7" t="str">
        <f>_xlfn.XLOOKUP(C2249,Products!A2249:A2748,Products!C2249:C2748,"Category Missing",0)</f>
        <v>Category Missing</v>
      </c>
      <c r="I2249" s="11" t="str">
        <f>_xlfn.XLOOKUP(Orders!C2249,Products!A2249:A2748,Products!D2249:D2748,"Price Missing",0)</f>
        <v>Price Missing</v>
      </c>
      <c r="J2249" s="19">
        <f t="shared" si="35"/>
        <v>0</v>
      </c>
    </row>
    <row r="2250" spans="1:10" x14ac:dyDescent="0.35">
      <c r="A2250" s="4" t="s">
        <v>6270</v>
      </c>
      <c r="B2250" s="7" t="s">
        <v>1433</v>
      </c>
      <c r="C2250" s="7" t="s">
        <v>3710</v>
      </c>
      <c r="D2250" s="5">
        <v>2</v>
      </c>
      <c r="E2250" s="7" t="str">
        <f>_xlfn.XLOOKUP(B2250,Customers!A2250:A3249,Customers!B2250:B3249,"Customer Not Found",0)</f>
        <v>Customer Not Found</v>
      </c>
      <c r="F2250" s="7" t="str">
        <f>_xlfn.XLOOKUP(Orders!B2250,Customers!A2250:A3249,Customers!C2250:C3249,"Country not Found",0)</f>
        <v>Country not Found</v>
      </c>
      <c r="G2250" s="7" t="str">
        <f>_xlfn.XLOOKUP(C2250,Products!A2250:A2749,Products!B2250:B2749,"Product Missing",0)</f>
        <v>Product Missing</v>
      </c>
      <c r="H2250" s="7" t="str">
        <f>_xlfn.XLOOKUP(C2250,Products!A2250:A2749,Products!C2250:C2749,"Category Missing",0)</f>
        <v>Category Missing</v>
      </c>
      <c r="I2250" s="11" t="str">
        <f>_xlfn.XLOOKUP(Orders!C2250,Products!A2250:A2749,Products!D2250:D2749,"Price Missing",0)</f>
        <v>Price Missing</v>
      </c>
      <c r="J2250" s="19">
        <f t="shared" si="35"/>
        <v>0</v>
      </c>
    </row>
    <row r="2251" spans="1:10" x14ac:dyDescent="0.35">
      <c r="A2251" s="4" t="s">
        <v>6271</v>
      </c>
      <c r="B2251" s="7" t="s">
        <v>2456</v>
      </c>
      <c r="C2251" s="7" t="s">
        <v>3238</v>
      </c>
      <c r="D2251" s="5">
        <v>8</v>
      </c>
      <c r="E2251" s="7" t="str">
        <f>_xlfn.XLOOKUP(B2251,Customers!A2251:A3250,Customers!B2251:B3250,"Customer Not Found",0)</f>
        <v>Customer Not Found</v>
      </c>
      <c r="F2251" s="7" t="str">
        <f>_xlfn.XLOOKUP(Orders!B2251,Customers!A2251:A3250,Customers!C2251:C3250,"Country not Found",0)</f>
        <v>Country not Found</v>
      </c>
      <c r="G2251" s="7" t="str">
        <f>_xlfn.XLOOKUP(C2251,Products!A2251:A2750,Products!B2251:B2750,"Product Missing",0)</f>
        <v>Product Missing</v>
      </c>
      <c r="H2251" s="7" t="str">
        <f>_xlfn.XLOOKUP(C2251,Products!A2251:A2750,Products!C2251:C2750,"Category Missing",0)</f>
        <v>Category Missing</v>
      </c>
      <c r="I2251" s="11" t="str">
        <f>_xlfn.XLOOKUP(Orders!C2251,Products!A2251:A2750,Products!D2251:D2750,"Price Missing",0)</f>
        <v>Price Missing</v>
      </c>
      <c r="J2251" s="19">
        <f t="shared" si="35"/>
        <v>0</v>
      </c>
    </row>
    <row r="2252" spans="1:10" x14ac:dyDescent="0.35">
      <c r="A2252" s="4" t="s">
        <v>6272</v>
      </c>
      <c r="B2252" s="7" t="s">
        <v>2354</v>
      </c>
      <c r="C2252" s="7" t="s">
        <v>3502</v>
      </c>
      <c r="D2252" s="5">
        <v>9</v>
      </c>
      <c r="E2252" s="7" t="str">
        <f>_xlfn.XLOOKUP(B2252,Customers!A2252:A3251,Customers!B2252:B3251,"Customer Not Found",0)</f>
        <v>Customer Not Found</v>
      </c>
      <c r="F2252" s="7" t="str">
        <f>_xlfn.XLOOKUP(Orders!B2252,Customers!A2252:A3251,Customers!C2252:C3251,"Country not Found",0)</f>
        <v>Country not Found</v>
      </c>
      <c r="G2252" s="7" t="str">
        <f>_xlfn.XLOOKUP(C2252,Products!A2252:A2751,Products!B2252:B2751,"Product Missing",0)</f>
        <v>Product Missing</v>
      </c>
      <c r="H2252" s="7" t="str">
        <f>_xlfn.XLOOKUP(C2252,Products!A2252:A2751,Products!C2252:C2751,"Category Missing",0)</f>
        <v>Category Missing</v>
      </c>
      <c r="I2252" s="11" t="str">
        <f>_xlfn.XLOOKUP(Orders!C2252,Products!A2252:A2751,Products!D2252:D2751,"Price Missing",0)</f>
        <v>Price Missing</v>
      </c>
      <c r="J2252" s="19">
        <f t="shared" si="35"/>
        <v>0</v>
      </c>
    </row>
    <row r="2253" spans="1:10" x14ac:dyDescent="0.35">
      <c r="A2253" s="4" t="s">
        <v>6273</v>
      </c>
      <c r="B2253" s="7" t="s">
        <v>2996</v>
      </c>
      <c r="C2253" s="7" t="s">
        <v>3884</v>
      </c>
      <c r="D2253" s="5">
        <v>6</v>
      </c>
      <c r="E2253" s="7" t="str">
        <f>_xlfn.XLOOKUP(B2253,Customers!A2253:A3252,Customers!B2253:B3252,"Customer Not Found",0)</f>
        <v>Customer Not Found</v>
      </c>
      <c r="F2253" s="7" t="str">
        <f>_xlfn.XLOOKUP(Orders!B2253,Customers!A2253:A3252,Customers!C2253:C3252,"Country not Found",0)</f>
        <v>Country not Found</v>
      </c>
      <c r="G2253" s="7" t="str">
        <f>_xlfn.XLOOKUP(C2253,Products!A2253:A2752,Products!B2253:B2752,"Product Missing",0)</f>
        <v>Product Missing</v>
      </c>
      <c r="H2253" s="7" t="str">
        <f>_xlfn.XLOOKUP(C2253,Products!A2253:A2752,Products!C2253:C2752,"Category Missing",0)</f>
        <v>Category Missing</v>
      </c>
      <c r="I2253" s="11" t="str">
        <f>_xlfn.XLOOKUP(Orders!C2253,Products!A2253:A2752,Products!D2253:D2752,"Price Missing",0)</f>
        <v>Price Missing</v>
      </c>
      <c r="J2253" s="19">
        <f t="shared" si="35"/>
        <v>0</v>
      </c>
    </row>
    <row r="2254" spans="1:10" x14ac:dyDescent="0.35">
      <c r="A2254" s="4" t="s">
        <v>6274</v>
      </c>
      <c r="B2254" s="7" t="s">
        <v>2666</v>
      </c>
      <c r="C2254" s="7" t="s">
        <v>3348</v>
      </c>
      <c r="D2254" s="5">
        <v>2</v>
      </c>
      <c r="E2254" s="7" t="str">
        <f>_xlfn.XLOOKUP(B2254,Customers!A2254:A3253,Customers!B2254:B3253,"Customer Not Found",0)</f>
        <v>Customer Not Found</v>
      </c>
      <c r="F2254" s="7" t="str">
        <f>_xlfn.XLOOKUP(Orders!B2254,Customers!A2254:A3253,Customers!C2254:C3253,"Country not Found",0)</f>
        <v>Country not Found</v>
      </c>
      <c r="G2254" s="7" t="str">
        <f>_xlfn.XLOOKUP(C2254,Products!A2254:A2753,Products!B2254:B2753,"Product Missing",0)</f>
        <v>Product Missing</v>
      </c>
      <c r="H2254" s="7" t="str">
        <f>_xlfn.XLOOKUP(C2254,Products!A2254:A2753,Products!C2254:C2753,"Category Missing",0)</f>
        <v>Category Missing</v>
      </c>
      <c r="I2254" s="11" t="str">
        <f>_xlfn.XLOOKUP(Orders!C2254,Products!A2254:A2753,Products!D2254:D2753,"Price Missing",0)</f>
        <v>Price Missing</v>
      </c>
      <c r="J2254" s="19">
        <f t="shared" si="35"/>
        <v>0</v>
      </c>
    </row>
    <row r="2255" spans="1:10" x14ac:dyDescent="0.35">
      <c r="A2255" s="4" t="s">
        <v>6275</v>
      </c>
      <c r="B2255" s="7" t="s">
        <v>76</v>
      </c>
      <c r="C2255" s="7" t="s">
        <v>3142</v>
      </c>
      <c r="D2255" s="5">
        <v>4</v>
      </c>
      <c r="E2255" s="7" t="str">
        <f>_xlfn.XLOOKUP(B2255,Customers!A2255:A3254,Customers!B2255:B3254,"Customer Not Found",0)</f>
        <v>Customer Not Found</v>
      </c>
      <c r="F2255" s="7" t="str">
        <f>_xlfn.XLOOKUP(Orders!B2255,Customers!A2255:A3254,Customers!C2255:C3254,"Country not Found",0)</f>
        <v>Country not Found</v>
      </c>
      <c r="G2255" s="7" t="str">
        <f>_xlfn.XLOOKUP(C2255,Products!A2255:A2754,Products!B2255:B2754,"Product Missing",0)</f>
        <v>Product Missing</v>
      </c>
      <c r="H2255" s="7" t="str">
        <f>_xlfn.XLOOKUP(C2255,Products!A2255:A2754,Products!C2255:C2754,"Category Missing",0)</f>
        <v>Category Missing</v>
      </c>
      <c r="I2255" s="11" t="str">
        <f>_xlfn.XLOOKUP(Orders!C2255,Products!A2255:A2754,Products!D2255:D2754,"Price Missing",0)</f>
        <v>Price Missing</v>
      </c>
      <c r="J2255" s="19">
        <f t="shared" si="35"/>
        <v>0</v>
      </c>
    </row>
    <row r="2256" spans="1:10" x14ac:dyDescent="0.35">
      <c r="A2256" s="4" t="s">
        <v>6276</v>
      </c>
      <c r="B2256" s="7" t="s">
        <v>1781</v>
      </c>
      <c r="C2256" s="7" t="s">
        <v>3232</v>
      </c>
      <c r="D2256" s="5">
        <v>9</v>
      </c>
      <c r="E2256" s="7" t="str">
        <f>_xlfn.XLOOKUP(B2256,Customers!A2256:A3255,Customers!B2256:B3255,"Customer Not Found",0)</f>
        <v>Customer Not Found</v>
      </c>
      <c r="F2256" s="7" t="str">
        <f>_xlfn.XLOOKUP(Orders!B2256,Customers!A2256:A3255,Customers!C2256:C3255,"Country not Found",0)</f>
        <v>Country not Found</v>
      </c>
      <c r="G2256" s="7" t="str">
        <f>_xlfn.XLOOKUP(C2256,Products!A2256:A2755,Products!B2256:B2755,"Product Missing",0)</f>
        <v>Product Missing</v>
      </c>
      <c r="H2256" s="7" t="str">
        <f>_xlfn.XLOOKUP(C2256,Products!A2256:A2755,Products!C2256:C2755,"Category Missing",0)</f>
        <v>Category Missing</v>
      </c>
      <c r="I2256" s="11" t="str">
        <f>_xlfn.XLOOKUP(Orders!C2256,Products!A2256:A2755,Products!D2256:D2755,"Price Missing",0)</f>
        <v>Price Missing</v>
      </c>
      <c r="J2256" s="19">
        <f t="shared" si="35"/>
        <v>0</v>
      </c>
    </row>
    <row r="2257" spans="1:10" x14ac:dyDescent="0.35">
      <c r="A2257" s="4" t="s">
        <v>6277</v>
      </c>
      <c r="B2257" s="7" t="s">
        <v>179</v>
      </c>
      <c r="C2257" s="7" t="s">
        <v>3546</v>
      </c>
      <c r="D2257" s="5">
        <v>4</v>
      </c>
      <c r="E2257" s="7" t="str">
        <f>_xlfn.XLOOKUP(B2257,Customers!A2257:A3256,Customers!B2257:B3256,"Customer Not Found",0)</f>
        <v>Customer Not Found</v>
      </c>
      <c r="F2257" s="7" t="str">
        <f>_xlfn.XLOOKUP(Orders!B2257,Customers!A2257:A3256,Customers!C2257:C3256,"Country not Found",0)</f>
        <v>Country not Found</v>
      </c>
      <c r="G2257" s="7" t="str">
        <f>_xlfn.XLOOKUP(C2257,Products!A2257:A2756,Products!B2257:B2756,"Product Missing",0)</f>
        <v>Product Missing</v>
      </c>
      <c r="H2257" s="7" t="str">
        <f>_xlfn.XLOOKUP(C2257,Products!A2257:A2756,Products!C2257:C2756,"Category Missing",0)</f>
        <v>Category Missing</v>
      </c>
      <c r="I2257" s="11" t="str">
        <f>_xlfn.XLOOKUP(Orders!C2257,Products!A2257:A2756,Products!D2257:D2756,"Price Missing",0)</f>
        <v>Price Missing</v>
      </c>
      <c r="J2257" s="19">
        <f t="shared" si="35"/>
        <v>0</v>
      </c>
    </row>
    <row r="2258" spans="1:10" x14ac:dyDescent="0.35">
      <c r="A2258" s="4" t="s">
        <v>6278</v>
      </c>
      <c r="B2258" s="7" t="s">
        <v>380</v>
      </c>
      <c r="C2258" s="7" t="s">
        <v>3376</v>
      </c>
      <c r="D2258" s="5">
        <v>10</v>
      </c>
      <c r="E2258" s="7" t="str">
        <f>_xlfn.XLOOKUP(B2258,Customers!A2258:A3257,Customers!B2258:B3257,"Customer Not Found",0)</f>
        <v>Customer Not Found</v>
      </c>
      <c r="F2258" s="7" t="str">
        <f>_xlfn.XLOOKUP(Orders!B2258,Customers!A2258:A3257,Customers!C2258:C3257,"Country not Found",0)</f>
        <v>Country not Found</v>
      </c>
      <c r="G2258" s="7" t="str">
        <f>_xlfn.XLOOKUP(C2258,Products!A2258:A2757,Products!B2258:B2757,"Product Missing",0)</f>
        <v>Product Missing</v>
      </c>
      <c r="H2258" s="7" t="str">
        <f>_xlfn.XLOOKUP(C2258,Products!A2258:A2757,Products!C2258:C2757,"Category Missing",0)</f>
        <v>Category Missing</v>
      </c>
      <c r="I2258" s="11" t="str">
        <f>_xlfn.XLOOKUP(Orders!C2258,Products!A2258:A2757,Products!D2258:D2757,"Price Missing",0)</f>
        <v>Price Missing</v>
      </c>
      <c r="J2258" s="19">
        <f t="shared" si="35"/>
        <v>0</v>
      </c>
    </row>
    <row r="2259" spans="1:10" x14ac:dyDescent="0.35">
      <c r="A2259" s="4" t="s">
        <v>6279</v>
      </c>
      <c r="B2259" s="7" t="s">
        <v>39</v>
      </c>
      <c r="C2259" s="7" t="s">
        <v>4002</v>
      </c>
      <c r="D2259" s="5">
        <v>10</v>
      </c>
      <c r="E2259" s="7" t="str">
        <f>_xlfn.XLOOKUP(B2259,Customers!A2259:A3258,Customers!B2259:B3258,"Customer Not Found",0)</f>
        <v>Customer Not Found</v>
      </c>
      <c r="F2259" s="7" t="str">
        <f>_xlfn.XLOOKUP(Orders!B2259,Customers!A2259:A3258,Customers!C2259:C3258,"Country not Found",0)</f>
        <v>Country not Found</v>
      </c>
      <c r="G2259" s="7" t="str">
        <f>_xlfn.XLOOKUP(C2259,Products!A2259:A2758,Products!B2259:B2758,"Product Missing",0)</f>
        <v>Product Missing</v>
      </c>
      <c r="H2259" s="7" t="str">
        <f>_xlfn.XLOOKUP(C2259,Products!A2259:A2758,Products!C2259:C2758,"Category Missing",0)</f>
        <v>Category Missing</v>
      </c>
      <c r="I2259" s="11" t="str">
        <f>_xlfn.XLOOKUP(Orders!C2259,Products!A2259:A2758,Products!D2259:D2758,"Price Missing",0)</f>
        <v>Price Missing</v>
      </c>
      <c r="J2259" s="19">
        <f t="shared" si="35"/>
        <v>0</v>
      </c>
    </row>
    <row r="2260" spans="1:10" x14ac:dyDescent="0.35">
      <c r="A2260" s="4" t="s">
        <v>6280</v>
      </c>
      <c r="B2260" s="7" t="s">
        <v>2378</v>
      </c>
      <c r="C2260" s="7" t="s">
        <v>3862</v>
      </c>
      <c r="D2260" s="5">
        <v>6</v>
      </c>
      <c r="E2260" s="7" t="str">
        <f>_xlfn.XLOOKUP(B2260,Customers!A2260:A3259,Customers!B2260:B3259,"Customer Not Found",0)</f>
        <v>Customer Not Found</v>
      </c>
      <c r="F2260" s="7" t="str">
        <f>_xlfn.XLOOKUP(Orders!B2260,Customers!A2260:A3259,Customers!C2260:C3259,"Country not Found",0)</f>
        <v>Country not Found</v>
      </c>
      <c r="G2260" s="7" t="str">
        <f>_xlfn.XLOOKUP(C2260,Products!A2260:A2759,Products!B2260:B2759,"Product Missing",0)</f>
        <v>Product Missing</v>
      </c>
      <c r="H2260" s="7" t="str">
        <f>_xlfn.XLOOKUP(C2260,Products!A2260:A2759,Products!C2260:C2759,"Category Missing",0)</f>
        <v>Category Missing</v>
      </c>
      <c r="I2260" s="11" t="str">
        <f>_xlfn.XLOOKUP(Orders!C2260,Products!A2260:A2759,Products!D2260:D2759,"Price Missing",0)</f>
        <v>Price Missing</v>
      </c>
      <c r="J2260" s="19">
        <f t="shared" si="35"/>
        <v>0</v>
      </c>
    </row>
    <row r="2261" spans="1:10" x14ac:dyDescent="0.35">
      <c r="A2261" s="4" t="s">
        <v>6281</v>
      </c>
      <c r="B2261" s="7" t="s">
        <v>1475</v>
      </c>
      <c r="C2261" s="7" t="s">
        <v>3470</v>
      </c>
      <c r="D2261" s="5">
        <v>4</v>
      </c>
      <c r="E2261" s="7" t="str">
        <f>_xlfn.XLOOKUP(B2261,Customers!A2261:A3260,Customers!B2261:B3260,"Customer Not Found",0)</f>
        <v>Customer Not Found</v>
      </c>
      <c r="F2261" s="7" t="str">
        <f>_xlfn.XLOOKUP(Orders!B2261,Customers!A2261:A3260,Customers!C2261:C3260,"Country not Found",0)</f>
        <v>Country not Found</v>
      </c>
      <c r="G2261" s="7" t="str">
        <f>_xlfn.XLOOKUP(C2261,Products!A2261:A2760,Products!B2261:B2760,"Product Missing",0)</f>
        <v>Product Missing</v>
      </c>
      <c r="H2261" s="7" t="str">
        <f>_xlfn.XLOOKUP(C2261,Products!A2261:A2760,Products!C2261:C2760,"Category Missing",0)</f>
        <v>Category Missing</v>
      </c>
      <c r="I2261" s="11" t="str">
        <f>_xlfn.XLOOKUP(Orders!C2261,Products!A2261:A2760,Products!D2261:D2760,"Price Missing",0)</f>
        <v>Price Missing</v>
      </c>
      <c r="J2261" s="19">
        <f t="shared" si="35"/>
        <v>0</v>
      </c>
    </row>
    <row r="2262" spans="1:10" x14ac:dyDescent="0.35">
      <c r="A2262" s="4" t="s">
        <v>6282</v>
      </c>
      <c r="B2262" s="7" t="s">
        <v>530</v>
      </c>
      <c r="C2262" s="7" t="s">
        <v>3278</v>
      </c>
      <c r="D2262" s="5">
        <v>5</v>
      </c>
      <c r="E2262" s="7" t="str">
        <f>_xlfn.XLOOKUP(B2262,Customers!A2262:A3261,Customers!B2262:B3261,"Customer Not Found",0)</f>
        <v>Customer Not Found</v>
      </c>
      <c r="F2262" s="7" t="str">
        <f>_xlfn.XLOOKUP(Orders!B2262,Customers!A2262:A3261,Customers!C2262:C3261,"Country not Found",0)</f>
        <v>Country not Found</v>
      </c>
      <c r="G2262" s="7" t="str">
        <f>_xlfn.XLOOKUP(C2262,Products!A2262:A2761,Products!B2262:B2761,"Product Missing",0)</f>
        <v>Product Missing</v>
      </c>
      <c r="H2262" s="7" t="str">
        <f>_xlfn.XLOOKUP(C2262,Products!A2262:A2761,Products!C2262:C2761,"Category Missing",0)</f>
        <v>Category Missing</v>
      </c>
      <c r="I2262" s="11" t="str">
        <f>_xlfn.XLOOKUP(Orders!C2262,Products!A2262:A2761,Products!D2262:D2761,"Price Missing",0)</f>
        <v>Price Missing</v>
      </c>
      <c r="J2262" s="19">
        <f t="shared" si="35"/>
        <v>0</v>
      </c>
    </row>
    <row r="2263" spans="1:10" x14ac:dyDescent="0.35">
      <c r="A2263" s="4" t="s">
        <v>6283</v>
      </c>
      <c r="B2263" s="7" t="s">
        <v>1184</v>
      </c>
      <c r="C2263" s="7" t="s">
        <v>3674</v>
      </c>
      <c r="D2263" s="5">
        <v>7</v>
      </c>
      <c r="E2263" s="7" t="str">
        <f>_xlfn.XLOOKUP(B2263,Customers!A2263:A3262,Customers!B2263:B3262,"Customer Not Found",0)</f>
        <v>Customer Not Found</v>
      </c>
      <c r="F2263" s="7" t="str">
        <f>_xlfn.XLOOKUP(Orders!B2263,Customers!A2263:A3262,Customers!C2263:C3262,"Country not Found",0)</f>
        <v>Country not Found</v>
      </c>
      <c r="G2263" s="7" t="str">
        <f>_xlfn.XLOOKUP(C2263,Products!A2263:A2762,Products!B2263:B2762,"Product Missing",0)</f>
        <v>Product Missing</v>
      </c>
      <c r="H2263" s="7" t="str">
        <f>_xlfn.XLOOKUP(C2263,Products!A2263:A2762,Products!C2263:C2762,"Category Missing",0)</f>
        <v>Category Missing</v>
      </c>
      <c r="I2263" s="11" t="str">
        <f>_xlfn.XLOOKUP(Orders!C2263,Products!A2263:A2762,Products!D2263:D2762,"Price Missing",0)</f>
        <v>Price Missing</v>
      </c>
      <c r="J2263" s="19">
        <f t="shared" si="35"/>
        <v>0</v>
      </c>
    </row>
    <row r="2264" spans="1:10" x14ac:dyDescent="0.35">
      <c r="A2264" s="4" t="s">
        <v>6284</v>
      </c>
      <c r="B2264" s="7" t="s">
        <v>194</v>
      </c>
      <c r="C2264" s="7" t="s">
        <v>3826</v>
      </c>
      <c r="D2264" s="5">
        <v>4</v>
      </c>
      <c r="E2264" s="7" t="str">
        <f>_xlfn.XLOOKUP(B2264,Customers!A2264:A3263,Customers!B2264:B3263,"Customer Not Found",0)</f>
        <v>Customer Not Found</v>
      </c>
      <c r="F2264" s="7" t="str">
        <f>_xlfn.XLOOKUP(Orders!B2264,Customers!A2264:A3263,Customers!C2264:C3263,"Country not Found",0)</f>
        <v>Country not Found</v>
      </c>
      <c r="G2264" s="7" t="str">
        <f>_xlfn.XLOOKUP(C2264,Products!A2264:A2763,Products!B2264:B2763,"Product Missing",0)</f>
        <v>Product Missing</v>
      </c>
      <c r="H2264" s="7" t="str">
        <f>_xlfn.XLOOKUP(C2264,Products!A2264:A2763,Products!C2264:C2763,"Category Missing",0)</f>
        <v>Category Missing</v>
      </c>
      <c r="I2264" s="11" t="str">
        <f>_xlfn.XLOOKUP(Orders!C2264,Products!A2264:A2763,Products!D2264:D2763,"Price Missing",0)</f>
        <v>Price Missing</v>
      </c>
      <c r="J2264" s="19">
        <f t="shared" si="35"/>
        <v>0</v>
      </c>
    </row>
    <row r="2265" spans="1:10" x14ac:dyDescent="0.35">
      <c r="A2265" s="4" t="s">
        <v>6285</v>
      </c>
      <c r="B2265" s="7" t="s">
        <v>1649</v>
      </c>
      <c r="C2265" s="7" t="s">
        <v>3102</v>
      </c>
      <c r="D2265" s="5">
        <v>1</v>
      </c>
      <c r="E2265" s="7" t="str">
        <f>_xlfn.XLOOKUP(B2265,Customers!A2265:A3264,Customers!B2265:B3264,"Customer Not Found",0)</f>
        <v>Customer Not Found</v>
      </c>
      <c r="F2265" s="7" t="str">
        <f>_xlfn.XLOOKUP(Orders!B2265,Customers!A2265:A3264,Customers!C2265:C3264,"Country not Found",0)</f>
        <v>Country not Found</v>
      </c>
      <c r="G2265" s="7" t="str">
        <f>_xlfn.XLOOKUP(C2265,Products!A2265:A2764,Products!B2265:B2764,"Product Missing",0)</f>
        <v>Product Missing</v>
      </c>
      <c r="H2265" s="7" t="str">
        <f>_xlfn.XLOOKUP(C2265,Products!A2265:A2764,Products!C2265:C2764,"Category Missing",0)</f>
        <v>Category Missing</v>
      </c>
      <c r="I2265" s="11" t="str">
        <f>_xlfn.XLOOKUP(Orders!C2265,Products!A2265:A2764,Products!D2265:D2764,"Price Missing",0)</f>
        <v>Price Missing</v>
      </c>
      <c r="J2265" s="19">
        <f t="shared" si="35"/>
        <v>0</v>
      </c>
    </row>
    <row r="2266" spans="1:10" x14ac:dyDescent="0.35">
      <c r="A2266" s="4" t="s">
        <v>6286</v>
      </c>
      <c r="B2266" s="7" t="s">
        <v>509</v>
      </c>
      <c r="C2266" s="7" t="s">
        <v>3092</v>
      </c>
      <c r="D2266" s="5">
        <v>5</v>
      </c>
      <c r="E2266" s="7" t="str">
        <f>_xlfn.XLOOKUP(B2266,Customers!A2266:A3265,Customers!B2266:B3265,"Customer Not Found",0)</f>
        <v>Customer Not Found</v>
      </c>
      <c r="F2266" s="7" t="str">
        <f>_xlfn.XLOOKUP(Orders!B2266,Customers!A2266:A3265,Customers!C2266:C3265,"Country not Found",0)</f>
        <v>Country not Found</v>
      </c>
      <c r="G2266" s="7" t="str">
        <f>_xlfn.XLOOKUP(C2266,Products!A2266:A2765,Products!B2266:B2765,"Product Missing",0)</f>
        <v>Product Missing</v>
      </c>
      <c r="H2266" s="7" t="str">
        <f>_xlfn.XLOOKUP(C2266,Products!A2266:A2765,Products!C2266:C2765,"Category Missing",0)</f>
        <v>Category Missing</v>
      </c>
      <c r="I2266" s="11" t="str">
        <f>_xlfn.XLOOKUP(Orders!C2266,Products!A2266:A2765,Products!D2266:D2765,"Price Missing",0)</f>
        <v>Price Missing</v>
      </c>
      <c r="J2266" s="19">
        <f t="shared" si="35"/>
        <v>0</v>
      </c>
    </row>
    <row r="2267" spans="1:10" x14ac:dyDescent="0.35">
      <c r="A2267" s="4" t="s">
        <v>6287</v>
      </c>
      <c r="B2267" s="7" t="s">
        <v>683</v>
      </c>
      <c r="C2267" s="7" t="s">
        <v>3894</v>
      </c>
      <c r="D2267" s="5">
        <v>10</v>
      </c>
      <c r="E2267" s="7" t="str">
        <f>_xlfn.XLOOKUP(B2267,Customers!A2267:A3266,Customers!B2267:B3266,"Customer Not Found",0)</f>
        <v>Customer Not Found</v>
      </c>
      <c r="F2267" s="7" t="str">
        <f>_xlfn.XLOOKUP(Orders!B2267,Customers!A2267:A3266,Customers!C2267:C3266,"Country not Found",0)</f>
        <v>Country not Found</v>
      </c>
      <c r="G2267" s="7" t="str">
        <f>_xlfn.XLOOKUP(C2267,Products!A2267:A2766,Products!B2267:B2766,"Product Missing",0)</f>
        <v>Product Missing</v>
      </c>
      <c r="H2267" s="7" t="str">
        <f>_xlfn.XLOOKUP(C2267,Products!A2267:A2766,Products!C2267:C2766,"Category Missing",0)</f>
        <v>Category Missing</v>
      </c>
      <c r="I2267" s="11" t="str">
        <f>_xlfn.XLOOKUP(Orders!C2267,Products!A2267:A2766,Products!D2267:D2766,"Price Missing",0)</f>
        <v>Price Missing</v>
      </c>
      <c r="J2267" s="19">
        <f t="shared" si="35"/>
        <v>0</v>
      </c>
    </row>
    <row r="2268" spans="1:10" x14ac:dyDescent="0.35">
      <c r="A2268" s="4" t="s">
        <v>6288</v>
      </c>
      <c r="B2268" s="7" t="s">
        <v>2570</v>
      </c>
      <c r="C2268" s="7" t="s">
        <v>3736</v>
      </c>
      <c r="D2268" s="5">
        <v>3</v>
      </c>
      <c r="E2268" s="7" t="str">
        <f>_xlfn.XLOOKUP(B2268,Customers!A2268:A3267,Customers!B2268:B3267,"Customer Not Found",0)</f>
        <v>Customer Not Found</v>
      </c>
      <c r="F2268" s="7" t="str">
        <f>_xlfn.XLOOKUP(Orders!B2268,Customers!A2268:A3267,Customers!C2268:C3267,"Country not Found",0)</f>
        <v>Country not Found</v>
      </c>
      <c r="G2268" s="7" t="str">
        <f>_xlfn.XLOOKUP(C2268,Products!A2268:A2767,Products!B2268:B2767,"Product Missing",0)</f>
        <v>Product Missing</v>
      </c>
      <c r="H2268" s="7" t="str">
        <f>_xlfn.XLOOKUP(C2268,Products!A2268:A2767,Products!C2268:C2767,"Category Missing",0)</f>
        <v>Category Missing</v>
      </c>
      <c r="I2268" s="11" t="str">
        <f>_xlfn.XLOOKUP(Orders!C2268,Products!A2268:A2767,Products!D2268:D2767,"Price Missing",0)</f>
        <v>Price Missing</v>
      </c>
      <c r="J2268" s="19">
        <f t="shared" si="35"/>
        <v>0</v>
      </c>
    </row>
    <row r="2269" spans="1:10" x14ac:dyDescent="0.35">
      <c r="A2269" s="4" t="s">
        <v>6289</v>
      </c>
      <c r="B2269" s="7" t="s">
        <v>467</v>
      </c>
      <c r="C2269" s="7" t="s">
        <v>3244</v>
      </c>
      <c r="D2269" s="5">
        <v>7</v>
      </c>
      <c r="E2269" s="7" t="str">
        <f>_xlfn.XLOOKUP(B2269,Customers!A2269:A3268,Customers!B2269:B3268,"Customer Not Found",0)</f>
        <v>Customer Not Found</v>
      </c>
      <c r="F2269" s="7" t="str">
        <f>_xlfn.XLOOKUP(Orders!B2269,Customers!A2269:A3268,Customers!C2269:C3268,"Country not Found",0)</f>
        <v>Country not Found</v>
      </c>
      <c r="G2269" s="7" t="str">
        <f>_xlfn.XLOOKUP(C2269,Products!A2269:A2768,Products!B2269:B2768,"Product Missing",0)</f>
        <v>Product Missing</v>
      </c>
      <c r="H2269" s="7" t="str">
        <f>_xlfn.XLOOKUP(C2269,Products!A2269:A2768,Products!C2269:C2768,"Category Missing",0)</f>
        <v>Category Missing</v>
      </c>
      <c r="I2269" s="11" t="str">
        <f>_xlfn.XLOOKUP(Orders!C2269,Products!A2269:A2768,Products!D2269:D2768,"Price Missing",0)</f>
        <v>Price Missing</v>
      </c>
      <c r="J2269" s="19">
        <f t="shared" si="35"/>
        <v>0</v>
      </c>
    </row>
    <row r="2270" spans="1:10" x14ac:dyDescent="0.35">
      <c r="A2270" s="4" t="s">
        <v>6290</v>
      </c>
      <c r="B2270" s="7" t="s">
        <v>2765</v>
      </c>
      <c r="C2270" s="7" t="s">
        <v>3832</v>
      </c>
      <c r="D2270" s="5">
        <v>7</v>
      </c>
      <c r="E2270" s="7" t="str">
        <f>_xlfn.XLOOKUP(B2270,Customers!A2270:A3269,Customers!B2270:B3269,"Customer Not Found",0)</f>
        <v>Customer Not Found</v>
      </c>
      <c r="F2270" s="7" t="str">
        <f>_xlfn.XLOOKUP(Orders!B2270,Customers!A2270:A3269,Customers!C2270:C3269,"Country not Found",0)</f>
        <v>Country not Found</v>
      </c>
      <c r="G2270" s="7" t="str">
        <f>_xlfn.XLOOKUP(C2270,Products!A2270:A2769,Products!B2270:B2769,"Product Missing",0)</f>
        <v>Product Missing</v>
      </c>
      <c r="H2270" s="7" t="str">
        <f>_xlfn.XLOOKUP(C2270,Products!A2270:A2769,Products!C2270:C2769,"Category Missing",0)</f>
        <v>Category Missing</v>
      </c>
      <c r="I2270" s="11" t="str">
        <f>_xlfn.XLOOKUP(Orders!C2270,Products!A2270:A2769,Products!D2270:D2769,"Price Missing",0)</f>
        <v>Price Missing</v>
      </c>
      <c r="J2270" s="19">
        <f t="shared" si="35"/>
        <v>0</v>
      </c>
    </row>
    <row r="2271" spans="1:10" x14ac:dyDescent="0.35">
      <c r="A2271" s="4" t="s">
        <v>6291</v>
      </c>
      <c r="B2271" s="7" t="s">
        <v>2672</v>
      </c>
      <c r="C2271" s="7" t="s">
        <v>3198</v>
      </c>
      <c r="D2271" s="5">
        <v>8</v>
      </c>
      <c r="E2271" s="7" t="str">
        <f>_xlfn.XLOOKUP(B2271,Customers!A2271:A3270,Customers!B2271:B3270,"Customer Not Found",0)</f>
        <v>Customer Not Found</v>
      </c>
      <c r="F2271" s="7" t="str">
        <f>_xlfn.XLOOKUP(Orders!B2271,Customers!A2271:A3270,Customers!C2271:C3270,"Country not Found",0)</f>
        <v>Country not Found</v>
      </c>
      <c r="G2271" s="7" t="str">
        <f>_xlfn.XLOOKUP(C2271,Products!A2271:A2770,Products!B2271:B2770,"Product Missing",0)</f>
        <v>Product Missing</v>
      </c>
      <c r="H2271" s="7" t="str">
        <f>_xlfn.XLOOKUP(C2271,Products!A2271:A2770,Products!C2271:C2770,"Category Missing",0)</f>
        <v>Category Missing</v>
      </c>
      <c r="I2271" s="11" t="str">
        <f>_xlfn.XLOOKUP(Orders!C2271,Products!A2271:A2770,Products!D2271:D2770,"Price Missing",0)</f>
        <v>Price Missing</v>
      </c>
      <c r="J2271" s="19">
        <f t="shared" si="35"/>
        <v>0</v>
      </c>
    </row>
    <row r="2272" spans="1:10" x14ac:dyDescent="0.35">
      <c r="A2272" s="4" t="s">
        <v>6292</v>
      </c>
      <c r="B2272" s="7" t="s">
        <v>1481</v>
      </c>
      <c r="C2272" s="7" t="s">
        <v>3396</v>
      </c>
      <c r="D2272" s="5">
        <v>5</v>
      </c>
      <c r="E2272" s="7" t="str">
        <f>_xlfn.XLOOKUP(B2272,Customers!A2272:A3271,Customers!B2272:B3271,"Customer Not Found",0)</f>
        <v>Customer Not Found</v>
      </c>
      <c r="F2272" s="7" t="str">
        <f>_xlfn.XLOOKUP(Orders!B2272,Customers!A2272:A3271,Customers!C2272:C3271,"Country not Found",0)</f>
        <v>Country not Found</v>
      </c>
      <c r="G2272" s="7" t="str">
        <f>_xlfn.XLOOKUP(C2272,Products!A2272:A2771,Products!B2272:B2771,"Product Missing",0)</f>
        <v>Product Missing</v>
      </c>
      <c r="H2272" s="7" t="str">
        <f>_xlfn.XLOOKUP(C2272,Products!A2272:A2771,Products!C2272:C2771,"Category Missing",0)</f>
        <v>Category Missing</v>
      </c>
      <c r="I2272" s="11" t="str">
        <f>_xlfn.XLOOKUP(Orders!C2272,Products!A2272:A2771,Products!D2272:D2771,"Price Missing",0)</f>
        <v>Price Missing</v>
      </c>
      <c r="J2272" s="19">
        <f t="shared" si="35"/>
        <v>0</v>
      </c>
    </row>
    <row r="2273" spans="1:10" x14ac:dyDescent="0.35">
      <c r="A2273" s="4" t="s">
        <v>6293</v>
      </c>
      <c r="B2273" s="7" t="s">
        <v>233</v>
      </c>
      <c r="C2273" s="7" t="s">
        <v>3758</v>
      </c>
      <c r="D2273" s="5">
        <v>6</v>
      </c>
      <c r="E2273" s="7" t="str">
        <f>_xlfn.XLOOKUP(B2273,Customers!A2273:A3272,Customers!B2273:B3272,"Customer Not Found",0)</f>
        <v>Customer Not Found</v>
      </c>
      <c r="F2273" s="7" t="str">
        <f>_xlfn.XLOOKUP(Orders!B2273,Customers!A2273:A3272,Customers!C2273:C3272,"Country not Found",0)</f>
        <v>Country not Found</v>
      </c>
      <c r="G2273" s="7" t="str">
        <f>_xlfn.XLOOKUP(C2273,Products!A2273:A2772,Products!B2273:B2772,"Product Missing",0)</f>
        <v>Product Missing</v>
      </c>
      <c r="H2273" s="7" t="str">
        <f>_xlfn.XLOOKUP(C2273,Products!A2273:A2772,Products!C2273:C2772,"Category Missing",0)</f>
        <v>Category Missing</v>
      </c>
      <c r="I2273" s="11" t="str">
        <f>_xlfn.XLOOKUP(Orders!C2273,Products!A2273:A2772,Products!D2273:D2772,"Price Missing",0)</f>
        <v>Price Missing</v>
      </c>
      <c r="J2273" s="19">
        <f t="shared" si="35"/>
        <v>0</v>
      </c>
    </row>
    <row r="2274" spans="1:10" x14ac:dyDescent="0.35">
      <c r="A2274" s="4" t="s">
        <v>6294</v>
      </c>
      <c r="B2274" s="7" t="s">
        <v>689</v>
      </c>
      <c r="C2274" s="7" t="s">
        <v>3598</v>
      </c>
      <c r="D2274" s="5">
        <v>10</v>
      </c>
      <c r="E2274" s="7" t="str">
        <f>_xlfn.XLOOKUP(B2274,Customers!A2274:A3273,Customers!B2274:B3273,"Customer Not Found",0)</f>
        <v>Customer Not Found</v>
      </c>
      <c r="F2274" s="7" t="str">
        <f>_xlfn.XLOOKUP(Orders!B2274,Customers!A2274:A3273,Customers!C2274:C3273,"Country not Found",0)</f>
        <v>Country not Found</v>
      </c>
      <c r="G2274" s="7" t="str">
        <f>_xlfn.XLOOKUP(C2274,Products!A2274:A2773,Products!B2274:B2773,"Product Missing",0)</f>
        <v>Product Missing</v>
      </c>
      <c r="H2274" s="7" t="str">
        <f>_xlfn.XLOOKUP(C2274,Products!A2274:A2773,Products!C2274:C2773,"Category Missing",0)</f>
        <v>Category Missing</v>
      </c>
      <c r="I2274" s="11" t="str">
        <f>_xlfn.XLOOKUP(Orders!C2274,Products!A2274:A2773,Products!D2274:D2773,"Price Missing",0)</f>
        <v>Price Missing</v>
      </c>
      <c r="J2274" s="19">
        <f t="shared" si="35"/>
        <v>0</v>
      </c>
    </row>
    <row r="2275" spans="1:10" x14ac:dyDescent="0.35">
      <c r="A2275" s="4" t="s">
        <v>6295</v>
      </c>
      <c r="B2275" s="7" t="s">
        <v>1763</v>
      </c>
      <c r="C2275" s="7" t="s">
        <v>3214</v>
      </c>
      <c r="D2275" s="5">
        <v>1</v>
      </c>
      <c r="E2275" s="7" t="str">
        <f>_xlfn.XLOOKUP(B2275,Customers!A2275:A3274,Customers!B2275:B3274,"Customer Not Found",0)</f>
        <v>Customer Not Found</v>
      </c>
      <c r="F2275" s="7" t="str">
        <f>_xlfn.XLOOKUP(Orders!B2275,Customers!A2275:A3274,Customers!C2275:C3274,"Country not Found",0)</f>
        <v>Country not Found</v>
      </c>
      <c r="G2275" s="7" t="str">
        <f>_xlfn.XLOOKUP(C2275,Products!A2275:A2774,Products!B2275:B2774,"Product Missing",0)</f>
        <v>Product Missing</v>
      </c>
      <c r="H2275" s="7" t="str">
        <f>_xlfn.XLOOKUP(C2275,Products!A2275:A2774,Products!C2275:C2774,"Category Missing",0)</f>
        <v>Category Missing</v>
      </c>
      <c r="I2275" s="11" t="str">
        <f>_xlfn.XLOOKUP(Orders!C2275,Products!A2275:A2774,Products!D2275:D2774,"Price Missing",0)</f>
        <v>Price Missing</v>
      </c>
      <c r="J2275" s="19">
        <f t="shared" si="35"/>
        <v>0</v>
      </c>
    </row>
    <row r="2276" spans="1:10" x14ac:dyDescent="0.35">
      <c r="A2276" s="4" t="s">
        <v>6296</v>
      </c>
      <c r="B2276" s="7" t="s">
        <v>3008</v>
      </c>
      <c r="C2276" s="7" t="s">
        <v>3542</v>
      </c>
      <c r="D2276" s="5">
        <v>10</v>
      </c>
      <c r="E2276" s="7" t="str">
        <f>_xlfn.XLOOKUP(B2276,Customers!A2276:A3275,Customers!B2276:B3275,"Customer Not Found",0)</f>
        <v>Customer Not Found</v>
      </c>
      <c r="F2276" s="7" t="str">
        <f>_xlfn.XLOOKUP(Orders!B2276,Customers!A2276:A3275,Customers!C2276:C3275,"Country not Found",0)</f>
        <v>Country not Found</v>
      </c>
      <c r="G2276" s="7" t="str">
        <f>_xlfn.XLOOKUP(C2276,Products!A2276:A2775,Products!B2276:B2775,"Product Missing",0)</f>
        <v>Product Missing</v>
      </c>
      <c r="H2276" s="7" t="str">
        <f>_xlfn.XLOOKUP(C2276,Products!A2276:A2775,Products!C2276:C2775,"Category Missing",0)</f>
        <v>Category Missing</v>
      </c>
      <c r="I2276" s="11" t="str">
        <f>_xlfn.XLOOKUP(Orders!C2276,Products!A2276:A2775,Products!D2276:D2775,"Price Missing",0)</f>
        <v>Price Missing</v>
      </c>
      <c r="J2276" s="19">
        <f t="shared" si="35"/>
        <v>0</v>
      </c>
    </row>
    <row r="2277" spans="1:10" x14ac:dyDescent="0.35">
      <c r="A2277" s="4" t="s">
        <v>6297</v>
      </c>
      <c r="B2277" s="7" t="s">
        <v>173</v>
      </c>
      <c r="C2277" s="7" t="s">
        <v>3644</v>
      </c>
      <c r="D2277" s="5">
        <v>7</v>
      </c>
      <c r="E2277" s="7" t="str">
        <f>_xlfn.XLOOKUP(B2277,Customers!A2277:A3276,Customers!B2277:B3276,"Customer Not Found",0)</f>
        <v>Customer Not Found</v>
      </c>
      <c r="F2277" s="7" t="str">
        <f>_xlfn.XLOOKUP(Orders!B2277,Customers!A2277:A3276,Customers!C2277:C3276,"Country not Found",0)</f>
        <v>Country not Found</v>
      </c>
      <c r="G2277" s="7" t="str">
        <f>_xlfn.XLOOKUP(C2277,Products!A2277:A2776,Products!B2277:B2776,"Product Missing",0)</f>
        <v>Product Missing</v>
      </c>
      <c r="H2277" s="7" t="str">
        <f>_xlfn.XLOOKUP(C2277,Products!A2277:A2776,Products!C2277:C2776,"Category Missing",0)</f>
        <v>Category Missing</v>
      </c>
      <c r="I2277" s="11" t="str">
        <f>_xlfn.XLOOKUP(Orders!C2277,Products!A2277:A2776,Products!D2277:D2776,"Price Missing",0)</f>
        <v>Price Missing</v>
      </c>
      <c r="J2277" s="19">
        <f t="shared" si="35"/>
        <v>0</v>
      </c>
    </row>
    <row r="2278" spans="1:10" x14ac:dyDescent="0.35">
      <c r="A2278" s="4" t="s">
        <v>6298</v>
      </c>
      <c r="B2278" s="7" t="s">
        <v>1352</v>
      </c>
      <c r="C2278" s="7" t="s">
        <v>3598</v>
      </c>
      <c r="D2278" s="5">
        <v>2</v>
      </c>
      <c r="E2278" s="7" t="str">
        <f>_xlfn.XLOOKUP(B2278,Customers!A2278:A3277,Customers!B2278:B3277,"Customer Not Found",0)</f>
        <v>Customer Not Found</v>
      </c>
      <c r="F2278" s="7" t="str">
        <f>_xlfn.XLOOKUP(Orders!B2278,Customers!A2278:A3277,Customers!C2278:C3277,"Country not Found",0)</f>
        <v>Country not Found</v>
      </c>
      <c r="G2278" s="7" t="str">
        <f>_xlfn.XLOOKUP(C2278,Products!A2278:A2777,Products!B2278:B2777,"Product Missing",0)</f>
        <v>Product Missing</v>
      </c>
      <c r="H2278" s="7" t="str">
        <f>_xlfn.XLOOKUP(C2278,Products!A2278:A2777,Products!C2278:C2777,"Category Missing",0)</f>
        <v>Category Missing</v>
      </c>
      <c r="I2278" s="11" t="str">
        <f>_xlfn.XLOOKUP(Orders!C2278,Products!A2278:A2777,Products!D2278:D2777,"Price Missing",0)</f>
        <v>Price Missing</v>
      </c>
      <c r="J2278" s="19">
        <f t="shared" si="35"/>
        <v>0</v>
      </c>
    </row>
    <row r="2279" spans="1:10" x14ac:dyDescent="0.35">
      <c r="A2279" s="4" t="s">
        <v>6299</v>
      </c>
      <c r="B2279" s="7" t="s">
        <v>554</v>
      </c>
      <c r="C2279" s="7" t="s">
        <v>3922</v>
      </c>
      <c r="D2279" s="5">
        <v>6</v>
      </c>
      <c r="E2279" s="7" t="str">
        <f>_xlfn.XLOOKUP(B2279,Customers!A2279:A3278,Customers!B2279:B3278,"Customer Not Found",0)</f>
        <v>Customer Not Found</v>
      </c>
      <c r="F2279" s="7" t="str">
        <f>_xlfn.XLOOKUP(Orders!B2279,Customers!A2279:A3278,Customers!C2279:C3278,"Country not Found",0)</f>
        <v>Country not Found</v>
      </c>
      <c r="G2279" s="7" t="str">
        <f>_xlfn.XLOOKUP(C2279,Products!A2279:A2778,Products!B2279:B2778,"Product Missing",0)</f>
        <v>Product Missing</v>
      </c>
      <c r="H2279" s="7" t="str">
        <f>_xlfn.XLOOKUP(C2279,Products!A2279:A2778,Products!C2279:C2778,"Category Missing",0)</f>
        <v>Category Missing</v>
      </c>
      <c r="I2279" s="11" t="str">
        <f>_xlfn.XLOOKUP(Orders!C2279,Products!A2279:A2778,Products!D2279:D2778,"Price Missing",0)</f>
        <v>Price Missing</v>
      </c>
      <c r="J2279" s="19">
        <f t="shared" si="35"/>
        <v>0</v>
      </c>
    </row>
    <row r="2280" spans="1:10" x14ac:dyDescent="0.35">
      <c r="A2280" s="4" t="s">
        <v>6300</v>
      </c>
      <c r="B2280" s="7" t="s">
        <v>1952</v>
      </c>
      <c r="C2280" s="7" t="s">
        <v>3932</v>
      </c>
      <c r="D2280" s="5">
        <v>6</v>
      </c>
      <c r="E2280" s="7" t="str">
        <f>_xlfn.XLOOKUP(B2280,Customers!A2280:A3279,Customers!B2280:B3279,"Customer Not Found",0)</f>
        <v>Customer Not Found</v>
      </c>
      <c r="F2280" s="7" t="str">
        <f>_xlfn.XLOOKUP(Orders!B2280,Customers!A2280:A3279,Customers!C2280:C3279,"Country not Found",0)</f>
        <v>Country not Found</v>
      </c>
      <c r="G2280" s="7" t="str">
        <f>_xlfn.XLOOKUP(C2280,Products!A2280:A2779,Products!B2280:B2779,"Product Missing",0)</f>
        <v>Product Missing</v>
      </c>
      <c r="H2280" s="7" t="str">
        <f>_xlfn.XLOOKUP(C2280,Products!A2280:A2779,Products!C2280:C2779,"Category Missing",0)</f>
        <v>Category Missing</v>
      </c>
      <c r="I2280" s="11" t="str">
        <f>_xlfn.XLOOKUP(Orders!C2280,Products!A2280:A2779,Products!D2280:D2779,"Price Missing",0)</f>
        <v>Price Missing</v>
      </c>
      <c r="J2280" s="19">
        <f t="shared" si="35"/>
        <v>0</v>
      </c>
    </row>
    <row r="2281" spans="1:10" x14ac:dyDescent="0.35">
      <c r="A2281" s="4" t="s">
        <v>6301</v>
      </c>
      <c r="B2281" s="7" t="s">
        <v>1901</v>
      </c>
      <c r="C2281" s="7" t="s">
        <v>3021</v>
      </c>
      <c r="D2281" s="5">
        <v>7</v>
      </c>
      <c r="E2281" s="7" t="str">
        <f>_xlfn.XLOOKUP(B2281,Customers!A2281:A3280,Customers!B2281:B3280,"Customer Not Found",0)</f>
        <v>Customer Not Found</v>
      </c>
      <c r="F2281" s="7" t="str">
        <f>_xlfn.XLOOKUP(Orders!B2281,Customers!A2281:A3280,Customers!C2281:C3280,"Country not Found",0)</f>
        <v>Country not Found</v>
      </c>
      <c r="G2281" s="7" t="str">
        <f>_xlfn.XLOOKUP(C2281,Products!A2281:A2780,Products!B2281:B2780,"Product Missing",0)</f>
        <v>Product Missing</v>
      </c>
      <c r="H2281" s="7" t="str">
        <f>_xlfn.XLOOKUP(C2281,Products!A2281:A2780,Products!C2281:C2780,"Category Missing",0)</f>
        <v>Category Missing</v>
      </c>
      <c r="I2281" s="11" t="str">
        <f>_xlfn.XLOOKUP(Orders!C2281,Products!A2281:A2780,Products!D2281:D2780,"Price Missing",0)</f>
        <v>Price Missing</v>
      </c>
      <c r="J2281" s="19">
        <f t="shared" si="35"/>
        <v>0</v>
      </c>
    </row>
    <row r="2282" spans="1:10" x14ac:dyDescent="0.35">
      <c r="A2282" s="4" t="s">
        <v>6302</v>
      </c>
      <c r="B2282" s="7" t="s">
        <v>1097</v>
      </c>
      <c r="C2282" s="7" t="s">
        <v>3720</v>
      </c>
      <c r="D2282" s="5">
        <v>8</v>
      </c>
      <c r="E2282" s="7" t="str">
        <f>_xlfn.XLOOKUP(B2282,Customers!A2282:A3281,Customers!B2282:B3281,"Customer Not Found",0)</f>
        <v>Customer Not Found</v>
      </c>
      <c r="F2282" s="7" t="str">
        <f>_xlfn.XLOOKUP(Orders!B2282,Customers!A2282:A3281,Customers!C2282:C3281,"Country not Found",0)</f>
        <v>Country not Found</v>
      </c>
      <c r="G2282" s="7" t="str">
        <f>_xlfn.XLOOKUP(C2282,Products!A2282:A2781,Products!B2282:B2781,"Product Missing",0)</f>
        <v>Product Missing</v>
      </c>
      <c r="H2282" s="7" t="str">
        <f>_xlfn.XLOOKUP(C2282,Products!A2282:A2781,Products!C2282:C2781,"Category Missing",0)</f>
        <v>Category Missing</v>
      </c>
      <c r="I2282" s="11" t="str">
        <f>_xlfn.XLOOKUP(Orders!C2282,Products!A2282:A2781,Products!D2282:D2781,"Price Missing",0)</f>
        <v>Price Missing</v>
      </c>
      <c r="J2282" s="19">
        <f t="shared" si="35"/>
        <v>0</v>
      </c>
    </row>
    <row r="2283" spans="1:10" x14ac:dyDescent="0.35">
      <c r="A2283" s="4" t="s">
        <v>6303</v>
      </c>
      <c r="B2283" s="7" t="s">
        <v>1619</v>
      </c>
      <c r="C2283" s="7" t="s">
        <v>3696</v>
      </c>
      <c r="D2283" s="5">
        <v>4</v>
      </c>
      <c r="E2283" s="7" t="str">
        <f>_xlfn.XLOOKUP(B2283,Customers!A2283:A3282,Customers!B2283:B3282,"Customer Not Found",0)</f>
        <v>Customer Not Found</v>
      </c>
      <c r="F2283" s="7" t="str">
        <f>_xlfn.XLOOKUP(Orders!B2283,Customers!A2283:A3282,Customers!C2283:C3282,"Country not Found",0)</f>
        <v>Country not Found</v>
      </c>
      <c r="G2283" s="7" t="str">
        <f>_xlfn.XLOOKUP(C2283,Products!A2283:A2782,Products!B2283:B2782,"Product Missing",0)</f>
        <v>Product Missing</v>
      </c>
      <c r="H2283" s="7" t="str">
        <f>_xlfn.XLOOKUP(C2283,Products!A2283:A2782,Products!C2283:C2782,"Category Missing",0)</f>
        <v>Category Missing</v>
      </c>
      <c r="I2283" s="11" t="str">
        <f>_xlfn.XLOOKUP(Orders!C2283,Products!A2283:A2782,Products!D2283:D2782,"Price Missing",0)</f>
        <v>Price Missing</v>
      </c>
      <c r="J2283" s="19">
        <f t="shared" si="35"/>
        <v>0</v>
      </c>
    </row>
    <row r="2284" spans="1:10" x14ac:dyDescent="0.35">
      <c r="A2284" s="4" t="s">
        <v>6304</v>
      </c>
      <c r="B2284" s="7" t="s">
        <v>557</v>
      </c>
      <c r="C2284" s="7" t="s">
        <v>3312</v>
      </c>
      <c r="D2284" s="5">
        <v>3</v>
      </c>
      <c r="E2284" s="7" t="str">
        <f>_xlfn.XLOOKUP(B2284,Customers!A2284:A3283,Customers!B2284:B3283,"Customer Not Found",0)</f>
        <v>Customer Not Found</v>
      </c>
      <c r="F2284" s="7" t="str">
        <f>_xlfn.XLOOKUP(Orders!B2284,Customers!A2284:A3283,Customers!C2284:C3283,"Country not Found",0)</f>
        <v>Country not Found</v>
      </c>
      <c r="G2284" s="7" t="str">
        <f>_xlfn.XLOOKUP(C2284,Products!A2284:A2783,Products!B2284:B2783,"Product Missing",0)</f>
        <v>Product Missing</v>
      </c>
      <c r="H2284" s="7" t="str">
        <f>_xlfn.XLOOKUP(C2284,Products!A2284:A2783,Products!C2284:C2783,"Category Missing",0)</f>
        <v>Category Missing</v>
      </c>
      <c r="I2284" s="11" t="str">
        <f>_xlfn.XLOOKUP(Orders!C2284,Products!A2284:A2783,Products!D2284:D2783,"Price Missing",0)</f>
        <v>Price Missing</v>
      </c>
      <c r="J2284" s="19">
        <f t="shared" si="35"/>
        <v>0</v>
      </c>
    </row>
    <row r="2285" spans="1:10" x14ac:dyDescent="0.35">
      <c r="A2285" s="4" t="s">
        <v>6305</v>
      </c>
      <c r="B2285" s="7" t="s">
        <v>992</v>
      </c>
      <c r="C2285" s="7" t="s">
        <v>3774</v>
      </c>
      <c r="D2285" s="5">
        <v>8</v>
      </c>
      <c r="E2285" s="7" t="str">
        <f>_xlfn.XLOOKUP(B2285,Customers!A2285:A3284,Customers!B2285:B3284,"Customer Not Found",0)</f>
        <v>Customer Not Found</v>
      </c>
      <c r="F2285" s="7" t="str">
        <f>_xlfn.XLOOKUP(Orders!B2285,Customers!A2285:A3284,Customers!C2285:C3284,"Country not Found",0)</f>
        <v>Country not Found</v>
      </c>
      <c r="G2285" s="7" t="str">
        <f>_xlfn.XLOOKUP(C2285,Products!A2285:A2784,Products!B2285:B2784,"Product Missing",0)</f>
        <v>Product Missing</v>
      </c>
      <c r="H2285" s="7" t="str">
        <f>_xlfn.XLOOKUP(C2285,Products!A2285:A2784,Products!C2285:C2784,"Category Missing",0)</f>
        <v>Category Missing</v>
      </c>
      <c r="I2285" s="11" t="str">
        <f>_xlfn.XLOOKUP(Orders!C2285,Products!A2285:A2784,Products!D2285:D2784,"Price Missing",0)</f>
        <v>Price Missing</v>
      </c>
      <c r="J2285" s="19">
        <f t="shared" si="35"/>
        <v>0</v>
      </c>
    </row>
    <row r="2286" spans="1:10" x14ac:dyDescent="0.35">
      <c r="A2286" s="4" t="s">
        <v>6306</v>
      </c>
      <c r="B2286" s="7" t="s">
        <v>1583</v>
      </c>
      <c r="C2286" s="7" t="s">
        <v>3078</v>
      </c>
      <c r="D2286" s="5">
        <v>3</v>
      </c>
      <c r="E2286" s="7" t="str">
        <f>_xlfn.XLOOKUP(B2286,Customers!A2286:A3285,Customers!B2286:B3285,"Customer Not Found",0)</f>
        <v>Customer Not Found</v>
      </c>
      <c r="F2286" s="7" t="str">
        <f>_xlfn.XLOOKUP(Orders!B2286,Customers!A2286:A3285,Customers!C2286:C3285,"Country not Found",0)</f>
        <v>Country not Found</v>
      </c>
      <c r="G2286" s="7" t="str">
        <f>_xlfn.XLOOKUP(C2286,Products!A2286:A2785,Products!B2286:B2785,"Product Missing",0)</f>
        <v>Product Missing</v>
      </c>
      <c r="H2286" s="7" t="str">
        <f>_xlfn.XLOOKUP(C2286,Products!A2286:A2785,Products!C2286:C2785,"Category Missing",0)</f>
        <v>Category Missing</v>
      </c>
      <c r="I2286" s="11" t="str">
        <f>_xlfn.XLOOKUP(Orders!C2286,Products!A2286:A2785,Products!D2286:D2785,"Price Missing",0)</f>
        <v>Price Missing</v>
      </c>
      <c r="J2286" s="19">
        <f t="shared" si="35"/>
        <v>0</v>
      </c>
    </row>
    <row r="2287" spans="1:10" x14ac:dyDescent="0.35">
      <c r="A2287" s="4" t="s">
        <v>6307</v>
      </c>
      <c r="B2287" s="7" t="s">
        <v>1304</v>
      </c>
      <c r="C2287" s="7" t="s">
        <v>3658</v>
      </c>
      <c r="D2287" s="5">
        <v>9</v>
      </c>
      <c r="E2287" s="7" t="str">
        <f>_xlfn.XLOOKUP(B2287,Customers!A2287:A3286,Customers!B2287:B3286,"Customer Not Found",0)</f>
        <v>Customer Not Found</v>
      </c>
      <c r="F2287" s="7" t="str">
        <f>_xlfn.XLOOKUP(Orders!B2287,Customers!A2287:A3286,Customers!C2287:C3286,"Country not Found",0)</f>
        <v>Country not Found</v>
      </c>
      <c r="G2287" s="7" t="str">
        <f>_xlfn.XLOOKUP(C2287,Products!A2287:A2786,Products!B2287:B2786,"Product Missing",0)</f>
        <v>Product Missing</v>
      </c>
      <c r="H2287" s="7" t="str">
        <f>_xlfn.XLOOKUP(C2287,Products!A2287:A2786,Products!C2287:C2786,"Category Missing",0)</f>
        <v>Category Missing</v>
      </c>
      <c r="I2287" s="11" t="str">
        <f>_xlfn.XLOOKUP(Orders!C2287,Products!A2287:A2786,Products!D2287:D2786,"Price Missing",0)</f>
        <v>Price Missing</v>
      </c>
      <c r="J2287" s="19">
        <f t="shared" si="35"/>
        <v>0</v>
      </c>
    </row>
    <row r="2288" spans="1:10" x14ac:dyDescent="0.35">
      <c r="A2288" s="4" t="s">
        <v>6308</v>
      </c>
      <c r="B2288" s="7" t="s">
        <v>2756</v>
      </c>
      <c r="C2288" s="7" t="s">
        <v>3822</v>
      </c>
      <c r="D2288" s="5">
        <v>4</v>
      </c>
      <c r="E2288" s="7" t="str">
        <f>_xlfn.XLOOKUP(B2288,Customers!A2288:A3287,Customers!B2288:B3287,"Customer Not Found",0)</f>
        <v>Customer Not Found</v>
      </c>
      <c r="F2288" s="7" t="str">
        <f>_xlfn.XLOOKUP(Orders!B2288,Customers!A2288:A3287,Customers!C2288:C3287,"Country not Found",0)</f>
        <v>Country not Found</v>
      </c>
      <c r="G2288" s="7" t="str">
        <f>_xlfn.XLOOKUP(C2288,Products!A2288:A2787,Products!B2288:B2787,"Product Missing",0)</f>
        <v>Product Missing</v>
      </c>
      <c r="H2288" s="7" t="str">
        <f>_xlfn.XLOOKUP(C2288,Products!A2288:A2787,Products!C2288:C2787,"Category Missing",0)</f>
        <v>Category Missing</v>
      </c>
      <c r="I2288" s="11" t="str">
        <f>_xlfn.XLOOKUP(Orders!C2288,Products!A2288:A2787,Products!D2288:D2787,"Price Missing",0)</f>
        <v>Price Missing</v>
      </c>
      <c r="J2288" s="19">
        <f t="shared" si="35"/>
        <v>0</v>
      </c>
    </row>
    <row r="2289" spans="1:10" x14ac:dyDescent="0.35">
      <c r="A2289" s="4" t="s">
        <v>6309</v>
      </c>
      <c r="B2289" s="7" t="s">
        <v>1727</v>
      </c>
      <c r="C2289" s="7" t="s">
        <v>3790</v>
      </c>
      <c r="D2289" s="5">
        <v>3</v>
      </c>
      <c r="E2289" s="7" t="str">
        <f>_xlfn.XLOOKUP(B2289,Customers!A2289:A3288,Customers!B2289:B3288,"Customer Not Found",0)</f>
        <v>Customer Not Found</v>
      </c>
      <c r="F2289" s="7" t="str">
        <f>_xlfn.XLOOKUP(Orders!B2289,Customers!A2289:A3288,Customers!C2289:C3288,"Country not Found",0)</f>
        <v>Country not Found</v>
      </c>
      <c r="G2289" s="7" t="str">
        <f>_xlfn.XLOOKUP(C2289,Products!A2289:A2788,Products!B2289:B2788,"Product Missing",0)</f>
        <v>Product Missing</v>
      </c>
      <c r="H2289" s="7" t="str">
        <f>_xlfn.XLOOKUP(C2289,Products!A2289:A2788,Products!C2289:C2788,"Category Missing",0)</f>
        <v>Category Missing</v>
      </c>
      <c r="I2289" s="11" t="str">
        <f>_xlfn.XLOOKUP(Orders!C2289,Products!A2289:A2788,Products!D2289:D2788,"Price Missing",0)</f>
        <v>Price Missing</v>
      </c>
      <c r="J2289" s="19">
        <f t="shared" si="35"/>
        <v>0</v>
      </c>
    </row>
    <row r="2290" spans="1:10" x14ac:dyDescent="0.35">
      <c r="A2290" s="4" t="s">
        <v>6310</v>
      </c>
      <c r="B2290" s="7" t="s">
        <v>1364</v>
      </c>
      <c r="C2290" s="7" t="s">
        <v>3148</v>
      </c>
      <c r="D2290" s="5">
        <v>8</v>
      </c>
      <c r="E2290" s="7" t="str">
        <f>_xlfn.XLOOKUP(B2290,Customers!A2290:A3289,Customers!B2290:B3289,"Customer Not Found",0)</f>
        <v>Customer Not Found</v>
      </c>
      <c r="F2290" s="7" t="str">
        <f>_xlfn.XLOOKUP(Orders!B2290,Customers!A2290:A3289,Customers!C2290:C3289,"Country not Found",0)</f>
        <v>Country not Found</v>
      </c>
      <c r="G2290" s="7" t="str">
        <f>_xlfn.XLOOKUP(C2290,Products!A2290:A2789,Products!B2290:B2789,"Product Missing",0)</f>
        <v>Product Missing</v>
      </c>
      <c r="H2290" s="7" t="str">
        <f>_xlfn.XLOOKUP(C2290,Products!A2290:A2789,Products!C2290:C2789,"Category Missing",0)</f>
        <v>Category Missing</v>
      </c>
      <c r="I2290" s="11" t="str">
        <f>_xlfn.XLOOKUP(Orders!C2290,Products!A2290:A2789,Products!D2290:D2789,"Price Missing",0)</f>
        <v>Price Missing</v>
      </c>
      <c r="J2290" s="19">
        <f t="shared" si="35"/>
        <v>0</v>
      </c>
    </row>
    <row r="2291" spans="1:10" x14ac:dyDescent="0.35">
      <c r="A2291" s="4" t="s">
        <v>6311</v>
      </c>
      <c r="B2291" s="7" t="s">
        <v>1127</v>
      </c>
      <c r="C2291" s="7" t="s">
        <v>3252</v>
      </c>
      <c r="D2291" s="5">
        <v>8</v>
      </c>
      <c r="E2291" s="7" t="str">
        <f>_xlfn.XLOOKUP(B2291,Customers!A2291:A3290,Customers!B2291:B3290,"Customer Not Found",0)</f>
        <v>Customer Not Found</v>
      </c>
      <c r="F2291" s="7" t="str">
        <f>_xlfn.XLOOKUP(Orders!B2291,Customers!A2291:A3290,Customers!C2291:C3290,"Country not Found",0)</f>
        <v>Country not Found</v>
      </c>
      <c r="G2291" s="7" t="str">
        <f>_xlfn.XLOOKUP(C2291,Products!A2291:A2790,Products!B2291:B2790,"Product Missing",0)</f>
        <v>Product Missing</v>
      </c>
      <c r="H2291" s="7" t="str">
        <f>_xlfn.XLOOKUP(C2291,Products!A2291:A2790,Products!C2291:C2790,"Category Missing",0)</f>
        <v>Category Missing</v>
      </c>
      <c r="I2291" s="11" t="str">
        <f>_xlfn.XLOOKUP(Orders!C2291,Products!A2291:A2790,Products!D2291:D2790,"Price Missing",0)</f>
        <v>Price Missing</v>
      </c>
      <c r="J2291" s="19">
        <f t="shared" si="35"/>
        <v>0</v>
      </c>
    </row>
    <row r="2292" spans="1:10" x14ac:dyDescent="0.35">
      <c r="A2292" s="4" t="s">
        <v>6312</v>
      </c>
      <c r="B2292" s="7" t="s">
        <v>743</v>
      </c>
      <c r="C2292" s="7" t="s">
        <v>3694</v>
      </c>
      <c r="D2292" s="5">
        <v>5</v>
      </c>
      <c r="E2292" s="7" t="str">
        <f>_xlfn.XLOOKUP(B2292,Customers!A2292:A3291,Customers!B2292:B3291,"Customer Not Found",0)</f>
        <v>Customer Not Found</v>
      </c>
      <c r="F2292" s="7" t="str">
        <f>_xlfn.XLOOKUP(Orders!B2292,Customers!A2292:A3291,Customers!C2292:C3291,"Country not Found",0)</f>
        <v>Country not Found</v>
      </c>
      <c r="G2292" s="7" t="str">
        <f>_xlfn.XLOOKUP(C2292,Products!A2292:A2791,Products!B2292:B2791,"Product Missing",0)</f>
        <v>Product Missing</v>
      </c>
      <c r="H2292" s="7" t="str">
        <f>_xlfn.XLOOKUP(C2292,Products!A2292:A2791,Products!C2292:C2791,"Category Missing",0)</f>
        <v>Category Missing</v>
      </c>
      <c r="I2292" s="11" t="str">
        <f>_xlfn.XLOOKUP(Orders!C2292,Products!A2292:A2791,Products!D2292:D2791,"Price Missing",0)</f>
        <v>Price Missing</v>
      </c>
      <c r="J2292" s="19">
        <f t="shared" si="35"/>
        <v>0</v>
      </c>
    </row>
    <row r="2293" spans="1:10" x14ac:dyDescent="0.35">
      <c r="A2293" s="4" t="s">
        <v>6313</v>
      </c>
      <c r="B2293" s="7" t="s">
        <v>209</v>
      </c>
      <c r="C2293" s="7" t="s">
        <v>3618</v>
      </c>
      <c r="D2293" s="5">
        <v>6</v>
      </c>
      <c r="E2293" s="7" t="str">
        <f>_xlfn.XLOOKUP(B2293,Customers!A2293:A3292,Customers!B2293:B3292,"Customer Not Found",0)</f>
        <v>Customer Not Found</v>
      </c>
      <c r="F2293" s="7" t="str">
        <f>_xlfn.XLOOKUP(Orders!B2293,Customers!A2293:A3292,Customers!C2293:C3292,"Country not Found",0)</f>
        <v>Country not Found</v>
      </c>
      <c r="G2293" s="7" t="str">
        <f>_xlfn.XLOOKUP(C2293,Products!A2293:A2792,Products!B2293:B2792,"Product Missing",0)</f>
        <v>Product Missing</v>
      </c>
      <c r="H2293" s="7" t="str">
        <f>_xlfn.XLOOKUP(C2293,Products!A2293:A2792,Products!C2293:C2792,"Category Missing",0)</f>
        <v>Category Missing</v>
      </c>
      <c r="I2293" s="11" t="str">
        <f>_xlfn.XLOOKUP(Orders!C2293,Products!A2293:A2792,Products!D2293:D2792,"Price Missing",0)</f>
        <v>Price Missing</v>
      </c>
      <c r="J2293" s="19">
        <f t="shared" si="35"/>
        <v>0</v>
      </c>
    </row>
    <row r="2294" spans="1:10" x14ac:dyDescent="0.35">
      <c r="A2294" s="4" t="s">
        <v>6314</v>
      </c>
      <c r="B2294" s="7" t="s">
        <v>1046</v>
      </c>
      <c r="C2294" s="7" t="s">
        <v>3526</v>
      </c>
      <c r="D2294" s="5">
        <v>7</v>
      </c>
      <c r="E2294" s="7" t="str">
        <f>_xlfn.XLOOKUP(B2294,Customers!A2294:A3293,Customers!B2294:B3293,"Customer Not Found",0)</f>
        <v>Customer Not Found</v>
      </c>
      <c r="F2294" s="7" t="str">
        <f>_xlfn.XLOOKUP(Orders!B2294,Customers!A2294:A3293,Customers!C2294:C3293,"Country not Found",0)</f>
        <v>Country not Found</v>
      </c>
      <c r="G2294" s="7" t="str">
        <f>_xlfn.XLOOKUP(C2294,Products!A2294:A2793,Products!B2294:B2793,"Product Missing",0)</f>
        <v>Product Missing</v>
      </c>
      <c r="H2294" s="7" t="str">
        <f>_xlfn.XLOOKUP(C2294,Products!A2294:A2793,Products!C2294:C2793,"Category Missing",0)</f>
        <v>Category Missing</v>
      </c>
      <c r="I2294" s="11" t="str">
        <f>_xlfn.XLOOKUP(Orders!C2294,Products!A2294:A2793,Products!D2294:D2793,"Price Missing",0)</f>
        <v>Price Missing</v>
      </c>
      <c r="J2294" s="19">
        <f t="shared" si="35"/>
        <v>0</v>
      </c>
    </row>
    <row r="2295" spans="1:10" x14ac:dyDescent="0.35">
      <c r="A2295" s="4" t="s">
        <v>6315</v>
      </c>
      <c r="B2295" s="7" t="s">
        <v>1694</v>
      </c>
      <c r="C2295" s="7" t="s">
        <v>3804</v>
      </c>
      <c r="D2295" s="5">
        <v>3</v>
      </c>
      <c r="E2295" s="7" t="str">
        <f>_xlfn.XLOOKUP(B2295,Customers!A2295:A3294,Customers!B2295:B3294,"Customer Not Found",0)</f>
        <v>Customer Not Found</v>
      </c>
      <c r="F2295" s="7" t="str">
        <f>_xlfn.XLOOKUP(Orders!B2295,Customers!A2295:A3294,Customers!C2295:C3294,"Country not Found",0)</f>
        <v>Country not Found</v>
      </c>
      <c r="G2295" s="7" t="str">
        <f>_xlfn.XLOOKUP(C2295,Products!A2295:A2794,Products!B2295:B2794,"Product Missing",0)</f>
        <v>Product Missing</v>
      </c>
      <c r="H2295" s="7" t="str">
        <f>_xlfn.XLOOKUP(C2295,Products!A2295:A2794,Products!C2295:C2794,"Category Missing",0)</f>
        <v>Category Missing</v>
      </c>
      <c r="I2295" s="11" t="str">
        <f>_xlfn.XLOOKUP(Orders!C2295,Products!A2295:A2794,Products!D2295:D2794,"Price Missing",0)</f>
        <v>Price Missing</v>
      </c>
      <c r="J2295" s="19">
        <f t="shared" si="35"/>
        <v>0</v>
      </c>
    </row>
    <row r="2296" spans="1:10" x14ac:dyDescent="0.35">
      <c r="A2296" s="4" t="s">
        <v>6316</v>
      </c>
      <c r="B2296" s="7" t="s">
        <v>1499</v>
      </c>
      <c r="C2296" s="7" t="s">
        <v>3434</v>
      </c>
      <c r="D2296" s="5">
        <v>2</v>
      </c>
      <c r="E2296" s="7" t="str">
        <f>_xlfn.XLOOKUP(B2296,Customers!A2296:A3295,Customers!B2296:B3295,"Customer Not Found",0)</f>
        <v>Customer Not Found</v>
      </c>
      <c r="F2296" s="7" t="str">
        <f>_xlfn.XLOOKUP(Orders!B2296,Customers!A2296:A3295,Customers!C2296:C3295,"Country not Found",0)</f>
        <v>Country not Found</v>
      </c>
      <c r="G2296" s="7" t="str">
        <f>_xlfn.XLOOKUP(C2296,Products!A2296:A2795,Products!B2296:B2795,"Product Missing",0)</f>
        <v>Product Missing</v>
      </c>
      <c r="H2296" s="7" t="str">
        <f>_xlfn.XLOOKUP(C2296,Products!A2296:A2795,Products!C2296:C2795,"Category Missing",0)</f>
        <v>Category Missing</v>
      </c>
      <c r="I2296" s="11" t="str">
        <f>_xlfn.XLOOKUP(Orders!C2296,Products!A2296:A2795,Products!D2296:D2795,"Price Missing",0)</f>
        <v>Price Missing</v>
      </c>
      <c r="J2296" s="19">
        <f t="shared" si="35"/>
        <v>0</v>
      </c>
    </row>
    <row r="2297" spans="1:10" x14ac:dyDescent="0.35">
      <c r="A2297" s="4" t="s">
        <v>6317</v>
      </c>
      <c r="B2297" s="7" t="s">
        <v>122</v>
      </c>
      <c r="C2297" s="7" t="s">
        <v>3910</v>
      </c>
      <c r="D2297" s="5">
        <v>9</v>
      </c>
      <c r="E2297" s="7" t="str">
        <f>_xlfn.XLOOKUP(B2297,Customers!A2297:A3296,Customers!B2297:B3296,"Customer Not Found",0)</f>
        <v>Customer Not Found</v>
      </c>
      <c r="F2297" s="7" t="str">
        <f>_xlfn.XLOOKUP(Orders!B2297,Customers!A2297:A3296,Customers!C2297:C3296,"Country not Found",0)</f>
        <v>Country not Found</v>
      </c>
      <c r="G2297" s="7" t="str">
        <f>_xlfn.XLOOKUP(C2297,Products!A2297:A2796,Products!B2297:B2796,"Product Missing",0)</f>
        <v>Product Missing</v>
      </c>
      <c r="H2297" s="7" t="str">
        <f>_xlfn.XLOOKUP(C2297,Products!A2297:A2796,Products!C2297:C2796,"Category Missing",0)</f>
        <v>Category Missing</v>
      </c>
      <c r="I2297" s="11" t="str">
        <f>_xlfn.XLOOKUP(Orders!C2297,Products!A2297:A2796,Products!D2297:D2796,"Price Missing",0)</f>
        <v>Price Missing</v>
      </c>
      <c r="J2297" s="19">
        <f t="shared" si="35"/>
        <v>0</v>
      </c>
    </row>
    <row r="2298" spans="1:10" x14ac:dyDescent="0.35">
      <c r="A2298" s="4" t="s">
        <v>6318</v>
      </c>
      <c r="B2298" s="7" t="s">
        <v>2318</v>
      </c>
      <c r="C2298" s="7" t="s">
        <v>3037</v>
      </c>
      <c r="D2298" s="5">
        <v>7</v>
      </c>
      <c r="E2298" s="7" t="str">
        <f>_xlfn.XLOOKUP(B2298,Customers!A2298:A3297,Customers!B2298:B3297,"Customer Not Found",0)</f>
        <v>Customer Not Found</v>
      </c>
      <c r="F2298" s="7" t="str">
        <f>_xlfn.XLOOKUP(Orders!B2298,Customers!A2298:A3297,Customers!C2298:C3297,"Country not Found",0)</f>
        <v>Country not Found</v>
      </c>
      <c r="G2298" s="7" t="str">
        <f>_xlfn.XLOOKUP(C2298,Products!A2298:A2797,Products!B2298:B2797,"Product Missing",0)</f>
        <v>Product Missing</v>
      </c>
      <c r="H2298" s="7" t="str">
        <f>_xlfn.XLOOKUP(C2298,Products!A2298:A2797,Products!C2298:C2797,"Category Missing",0)</f>
        <v>Category Missing</v>
      </c>
      <c r="I2298" s="11" t="str">
        <f>_xlfn.XLOOKUP(Orders!C2298,Products!A2298:A2797,Products!D2298:D2797,"Price Missing",0)</f>
        <v>Price Missing</v>
      </c>
      <c r="J2298" s="19">
        <f t="shared" si="35"/>
        <v>0</v>
      </c>
    </row>
    <row r="2299" spans="1:10" x14ac:dyDescent="0.35">
      <c r="A2299" s="4" t="s">
        <v>6319</v>
      </c>
      <c r="B2299" s="7" t="s">
        <v>278</v>
      </c>
      <c r="C2299" s="7" t="s">
        <v>3278</v>
      </c>
      <c r="D2299" s="5">
        <v>7</v>
      </c>
      <c r="E2299" s="7" t="str">
        <f>_xlfn.XLOOKUP(B2299,Customers!A2299:A3298,Customers!B2299:B3298,"Customer Not Found",0)</f>
        <v>Customer Not Found</v>
      </c>
      <c r="F2299" s="7" t="str">
        <f>_xlfn.XLOOKUP(Orders!B2299,Customers!A2299:A3298,Customers!C2299:C3298,"Country not Found",0)</f>
        <v>Country not Found</v>
      </c>
      <c r="G2299" s="7" t="str">
        <f>_xlfn.XLOOKUP(C2299,Products!A2299:A2798,Products!B2299:B2798,"Product Missing",0)</f>
        <v>Product Missing</v>
      </c>
      <c r="H2299" s="7" t="str">
        <f>_xlfn.XLOOKUP(C2299,Products!A2299:A2798,Products!C2299:C2798,"Category Missing",0)</f>
        <v>Category Missing</v>
      </c>
      <c r="I2299" s="11" t="str">
        <f>_xlfn.XLOOKUP(Orders!C2299,Products!A2299:A2798,Products!D2299:D2798,"Price Missing",0)</f>
        <v>Price Missing</v>
      </c>
      <c r="J2299" s="19">
        <f t="shared" si="35"/>
        <v>0</v>
      </c>
    </row>
    <row r="2300" spans="1:10" x14ac:dyDescent="0.35">
      <c r="A2300" s="4" t="s">
        <v>6320</v>
      </c>
      <c r="B2300" s="7" t="s">
        <v>1673</v>
      </c>
      <c r="C2300" s="7" t="s">
        <v>3388</v>
      </c>
      <c r="D2300" s="5">
        <v>5</v>
      </c>
      <c r="E2300" s="7" t="str">
        <f>_xlfn.XLOOKUP(B2300,Customers!A2300:A3299,Customers!B2300:B3299,"Customer Not Found",0)</f>
        <v>Customer Not Found</v>
      </c>
      <c r="F2300" s="7" t="str">
        <f>_xlfn.XLOOKUP(Orders!B2300,Customers!A2300:A3299,Customers!C2300:C3299,"Country not Found",0)</f>
        <v>Country not Found</v>
      </c>
      <c r="G2300" s="7" t="str">
        <f>_xlfn.XLOOKUP(C2300,Products!A2300:A2799,Products!B2300:B2799,"Product Missing",0)</f>
        <v>Product Missing</v>
      </c>
      <c r="H2300" s="7" t="str">
        <f>_xlfn.XLOOKUP(C2300,Products!A2300:A2799,Products!C2300:C2799,"Category Missing",0)</f>
        <v>Category Missing</v>
      </c>
      <c r="I2300" s="11" t="str">
        <f>_xlfn.XLOOKUP(Orders!C2300,Products!A2300:A2799,Products!D2300:D2799,"Price Missing",0)</f>
        <v>Price Missing</v>
      </c>
      <c r="J2300" s="19">
        <f t="shared" si="35"/>
        <v>0</v>
      </c>
    </row>
    <row r="2301" spans="1:10" x14ac:dyDescent="0.35">
      <c r="A2301" s="4" t="s">
        <v>6321</v>
      </c>
      <c r="B2301" s="7" t="s">
        <v>2951</v>
      </c>
      <c r="C2301" s="7" t="s">
        <v>3578</v>
      </c>
      <c r="D2301" s="5">
        <v>8</v>
      </c>
      <c r="E2301" s="7" t="str">
        <f>_xlfn.XLOOKUP(B2301,Customers!A2301:A3300,Customers!B2301:B3300,"Customer Not Found",0)</f>
        <v>Customer Not Found</v>
      </c>
      <c r="F2301" s="7" t="str">
        <f>_xlfn.XLOOKUP(Orders!B2301,Customers!A2301:A3300,Customers!C2301:C3300,"Country not Found",0)</f>
        <v>Country not Found</v>
      </c>
      <c r="G2301" s="7" t="str">
        <f>_xlfn.XLOOKUP(C2301,Products!A2301:A2800,Products!B2301:B2800,"Product Missing",0)</f>
        <v>Product Missing</v>
      </c>
      <c r="H2301" s="7" t="str">
        <f>_xlfn.XLOOKUP(C2301,Products!A2301:A2800,Products!C2301:C2800,"Category Missing",0)</f>
        <v>Category Missing</v>
      </c>
      <c r="I2301" s="11" t="str">
        <f>_xlfn.XLOOKUP(Orders!C2301,Products!A2301:A2800,Products!D2301:D2800,"Price Missing",0)</f>
        <v>Price Missing</v>
      </c>
      <c r="J2301" s="19">
        <f t="shared" si="35"/>
        <v>0</v>
      </c>
    </row>
    <row r="2302" spans="1:10" x14ac:dyDescent="0.35">
      <c r="A2302" s="4" t="s">
        <v>6322</v>
      </c>
      <c r="B2302" s="7" t="s">
        <v>2084</v>
      </c>
      <c r="C2302" s="7" t="s">
        <v>3264</v>
      </c>
      <c r="D2302" s="5">
        <v>9</v>
      </c>
      <c r="E2302" s="7" t="str">
        <f>_xlfn.XLOOKUP(B2302,Customers!A2302:A3301,Customers!B2302:B3301,"Customer Not Found",0)</f>
        <v>Customer Not Found</v>
      </c>
      <c r="F2302" s="7" t="str">
        <f>_xlfn.XLOOKUP(Orders!B2302,Customers!A2302:A3301,Customers!C2302:C3301,"Country not Found",0)</f>
        <v>Country not Found</v>
      </c>
      <c r="G2302" s="7" t="str">
        <f>_xlfn.XLOOKUP(C2302,Products!A2302:A2801,Products!B2302:B2801,"Product Missing",0)</f>
        <v>Product Missing</v>
      </c>
      <c r="H2302" s="7" t="str">
        <f>_xlfn.XLOOKUP(C2302,Products!A2302:A2801,Products!C2302:C2801,"Category Missing",0)</f>
        <v>Category Missing</v>
      </c>
      <c r="I2302" s="11" t="str">
        <f>_xlfn.XLOOKUP(Orders!C2302,Products!A2302:A2801,Products!D2302:D2801,"Price Missing",0)</f>
        <v>Price Missing</v>
      </c>
      <c r="J2302" s="19">
        <f t="shared" si="35"/>
        <v>0</v>
      </c>
    </row>
    <row r="2303" spans="1:10" x14ac:dyDescent="0.35">
      <c r="A2303" s="4" t="s">
        <v>6323</v>
      </c>
      <c r="B2303" s="7" t="s">
        <v>407</v>
      </c>
      <c r="C2303" s="7" t="s">
        <v>3502</v>
      </c>
      <c r="D2303" s="5">
        <v>1</v>
      </c>
      <c r="E2303" s="7" t="str">
        <f>_xlfn.XLOOKUP(B2303,Customers!A2303:A3302,Customers!B2303:B3302,"Customer Not Found",0)</f>
        <v>Customer Not Found</v>
      </c>
      <c r="F2303" s="7" t="str">
        <f>_xlfn.XLOOKUP(Orders!B2303,Customers!A2303:A3302,Customers!C2303:C3302,"Country not Found",0)</f>
        <v>Country not Found</v>
      </c>
      <c r="G2303" s="7" t="str">
        <f>_xlfn.XLOOKUP(C2303,Products!A2303:A2802,Products!B2303:B2802,"Product Missing",0)</f>
        <v>Product Missing</v>
      </c>
      <c r="H2303" s="7" t="str">
        <f>_xlfn.XLOOKUP(C2303,Products!A2303:A2802,Products!C2303:C2802,"Category Missing",0)</f>
        <v>Category Missing</v>
      </c>
      <c r="I2303" s="11" t="str">
        <f>_xlfn.XLOOKUP(Orders!C2303,Products!A2303:A2802,Products!D2303:D2802,"Price Missing",0)</f>
        <v>Price Missing</v>
      </c>
      <c r="J2303" s="19">
        <f t="shared" si="35"/>
        <v>0</v>
      </c>
    </row>
    <row r="2304" spans="1:10" x14ac:dyDescent="0.35">
      <c r="A2304" s="4" t="s">
        <v>6324</v>
      </c>
      <c r="B2304" s="7" t="s">
        <v>1727</v>
      </c>
      <c r="C2304" s="7" t="s">
        <v>3826</v>
      </c>
      <c r="D2304" s="5">
        <v>10</v>
      </c>
      <c r="E2304" s="7" t="str">
        <f>_xlfn.XLOOKUP(B2304,Customers!A2304:A3303,Customers!B2304:B3303,"Customer Not Found",0)</f>
        <v>Customer Not Found</v>
      </c>
      <c r="F2304" s="7" t="str">
        <f>_xlfn.XLOOKUP(Orders!B2304,Customers!A2304:A3303,Customers!C2304:C3303,"Country not Found",0)</f>
        <v>Country not Found</v>
      </c>
      <c r="G2304" s="7" t="str">
        <f>_xlfn.XLOOKUP(C2304,Products!A2304:A2803,Products!B2304:B2803,"Product Missing",0)</f>
        <v>Product Missing</v>
      </c>
      <c r="H2304" s="7" t="str">
        <f>_xlfn.XLOOKUP(C2304,Products!A2304:A2803,Products!C2304:C2803,"Category Missing",0)</f>
        <v>Category Missing</v>
      </c>
      <c r="I2304" s="11" t="str">
        <f>_xlfn.XLOOKUP(Orders!C2304,Products!A2304:A2803,Products!D2304:D2803,"Price Missing",0)</f>
        <v>Price Missing</v>
      </c>
      <c r="J2304" s="19">
        <f t="shared" si="35"/>
        <v>0</v>
      </c>
    </row>
    <row r="2305" spans="1:10" x14ac:dyDescent="0.35">
      <c r="A2305" s="4" t="s">
        <v>6325</v>
      </c>
      <c r="B2305" s="7" t="s">
        <v>2246</v>
      </c>
      <c r="C2305" s="7" t="s">
        <v>3684</v>
      </c>
      <c r="D2305" s="5">
        <v>3</v>
      </c>
      <c r="E2305" s="7" t="str">
        <f>_xlfn.XLOOKUP(B2305,Customers!A2305:A3304,Customers!B2305:B3304,"Customer Not Found",0)</f>
        <v>Customer Not Found</v>
      </c>
      <c r="F2305" s="7" t="str">
        <f>_xlfn.XLOOKUP(Orders!B2305,Customers!A2305:A3304,Customers!C2305:C3304,"Country not Found",0)</f>
        <v>Country not Found</v>
      </c>
      <c r="G2305" s="7" t="str">
        <f>_xlfn.XLOOKUP(C2305,Products!A2305:A2804,Products!B2305:B2804,"Product Missing",0)</f>
        <v>Product Missing</v>
      </c>
      <c r="H2305" s="7" t="str">
        <f>_xlfn.XLOOKUP(C2305,Products!A2305:A2804,Products!C2305:C2804,"Category Missing",0)</f>
        <v>Category Missing</v>
      </c>
      <c r="I2305" s="11" t="str">
        <f>_xlfn.XLOOKUP(Orders!C2305,Products!A2305:A2804,Products!D2305:D2804,"Price Missing",0)</f>
        <v>Price Missing</v>
      </c>
      <c r="J2305" s="19">
        <f t="shared" si="35"/>
        <v>0</v>
      </c>
    </row>
    <row r="2306" spans="1:10" x14ac:dyDescent="0.35">
      <c r="A2306" s="4" t="s">
        <v>6326</v>
      </c>
      <c r="B2306" s="7" t="s">
        <v>2789</v>
      </c>
      <c r="C2306" s="7" t="s">
        <v>3708</v>
      </c>
      <c r="D2306" s="5">
        <v>6</v>
      </c>
      <c r="E2306" s="7" t="str">
        <f>_xlfn.XLOOKUP(B2306,Customers!A2306:A3305,Customers!B2306:B3305,"Customer Not Found",0)</f>
        <v>Customer Not Found</v>
      </c>
      <c r="F2306" s="7" t="str">
        <f>_xlfn.XLOOKUP(Orders!B2306,Customers!A2306:A3305,Customers!C2306:C3305,"Country not Found",0)</f>
        <v>Country not Found</v>
      </c>
      <c r="G2306" s="7" t="str">
        <f>_xlfn.XLOOKUP(C2306,Products!A2306:A2805,Products!B2306:B2805,"Product Missing",0)</f>
        <v>Product Missing</v>
      </c>
      <c r="H2306" s="7" t="str">
        <f>_xlfn.XLOOKUP(C2306,Products!A2306:A2805,Products!C2306:C2805,"Category Missing",0)</f>
        <v>Category Missing</v>
      </c>
      <c r="I2306" s="11" t="str">
        <f>_xlfn.XLOOKUP(Orders!C2306,Products!A2306:A2805,Products!D2306:D2805,"Price Missing",0)</f>
        <v>Price Missing</v>
      </c>
      <c r="J2306" s="19">
        <f t="shared" si="35"/>
        <v>0</v>
      </c>
    </row>
    <row r="2307" spans="1:10" x14ac:dyDescent="0.35">
      <c r="A2307" s="4" t="s">
        <v>6327</v>
      </c>
      <c r="B2307" s="7" t="s">
        <v>2747</v>
      </c>
      <c r="C2307" s="7" t="s">
        <v>3027</v>
      </c>
      <c r="D2307" s="5">
        <v>7</v>
      </c>
      <c r="E2307" s="7" t="str">
        <f>_xlfn.XLOOKUP(B2307,Customers!A2307:A3306,Customers!B2307:B3306,"Customer Not Found",0)</f>
        <v>Customer Not Found</v>
      </c>
      <c r="F2307" s="7" t="str">
        <f>_xlfn.XLOOKUP(Orders!B2307,Customers!A2307:A3306,Customers!C2307:C3306,"Country not Found",0)</f>
        <v>Country not Found</v>
      </c>
      <c r="G2307" s="7" t="str">
        <f>_xlfn.XLOOKUP(C2307,Products!A2307:A2806,Products!B2307:B2806,"Product Missing",0)</f>
        <v>Product Missing</v>
      </c>
      <c r="H2307" s="7" t="str">
        <f>_xlfn.XLOOKUP(C2307,Products!A2307:A2806,Products!C2307:C2806,"Category Missing",0)</f>
        <v>Category Missing</v>
      </c>
      <c r="I2307" s="11" t="str">
        <f>_xlfn.XLOOKUP(Orders!C2307,Products!A2307:A2806,Products!D2307:D2806,"Price Missing",0)</f>
        <v>Price Missing</v>
      </c>
      <c r="J2307" s="19">
        <f t="shared" ref="J2307:J2370" si="36">IFERROR(I2307*D2307,0)</f>
        <v>0</v>
      </c>
    </row>
    <row r="2308" spans="1:10" x14ac:dyDescent="0.35">
      <c r="A2308" s="4" t="s">
        <v>6328</v>
      </c>
      <c r="B2308" s="7" t="s">
        <v>80</v>
      </c>
      <c r="C2308" s="7" t="s">
        <v>3344</v>
      </c>
      <c r="D2308" s="5">
        <v>9</v>
      </c>
      <c r="E2308" s="7" t="str">
        <f>_xlfn.XLOOKUP(B2308,Customers!A2308:A3307,Customers!B2308:B3307,"Customer Not Found",0)</f>
        <v>Customer Not Found</v>
      </c>
      <c r="F2308" s="7" t="str">
        <f>_xlfn.XLOOKUP(Orders!B2308,Customers!A2308:A3307,Customers!C2308:C3307,"Country not Found",0)</f>
        <v>Country not Found</v>
      </c>
      <c r="G2308" s="7" t="str">
        <f>_xlfn.XLOOKUP(C2308,Products!A2308:A2807,Products!B2308:B2807,"Product Missing",0)</f>
        <v>Product Missing</v>
      </c>
      <c r="H2308" s="7" t="str">
        <f>_xlfn.XLOOKUP(C2308,Products!A2308:A2807,Products!C2308:C2807,"Category Missing",0)</f>
        <v>Category Missing</v>
      </c>
      <c r="I2308" s="11" t="str">
        <f>_xlfn.XLOOKUP(Orders!C2308,Products!A2308:A2807,Products!D2308:D2807,"Price Missing",0)</f>
        <v>Price Missing</v>
      </c>
      <c r="J2308" s="19">
        <f t="shared" si="36"/>
        <v>0</v>
      </c>
    </row>
    <row r="2309" spans="1:10" x14ac:dyDescent="0.35">
      <c r="A2309" s="4" t="s">
        <v>6329</v>
      </c>
      <c r="B2309" s="7" t="s">
        <v>1706</v>
      </c>
      <c r="C2309" s="7" t="s">
        <v>3544</v>
      </c>
      <c r="D2309" s="5">
        <v>6</v>
      </c>
      <c r="E2309" s="7" t="str">
        <f>_xlfn.XLOOKUP(B2309,Customers!A2309:A3308,Customers!B2309:B3308,"Customer Not Found",0)</f>
        <v>Customer Not Found</v>
      </c>
      <c r="F2309" s="7" t="str">
        <f>_xlfn.XLOOKUP(Orders!B2309,Customers!A2309:A3308,Customers!C2309:C3308,"Country not Found",0)</f>
        <v>Country not Found</v>
      </c>
      <c r="G2309" s="7" t="str">
        <f>_xlfn.XLOOKUP(C2309,Products!A2309:A2808,Products!B2309:B2808,"Product Missing",0)</f>
        <v>Product Missing</v>
      </c>
      <c r="H2309" s="7" t="str">
        <f>_xlfn.XLOOKUP(C2309,Products!A2309:A2808,Products!C2309:C2808,"Category Missing",0)</f>
        <v>Category Missing</v>
      </c>
      <c r="I2309" s="11" t="str">
        <f>_xlfn.XLOOKUP(Orders!C2309,Products!A2309:A2808,Products!D2309:D2808,"Price Missing",0)</f>
        <v>Price Missing</v>
      </c>
      <c r="J2309" s="19">
        <f t="shared" si="36"/>
        <v>0</v>
      </c>
    </row>
    <row r="2310" spans="1:10" x14ac:dyDescent="0.35">
      <c r="A2310" s="4" t="s">
        <v>6330</v>
      </c>
      <c r="B2310" s="7" t="s">
        <v>1235</v>
      </c>
      <c r="C2310" s="7" t="s">
        <v>3838</v>
      </c>
      <c r="D2310" s="5">
        <v>2</v>
      </c>
      <c r="E2310" s="7" t="str">
        <f>_xlfn.XLOOKUP(B2310,Customers!A2310:A3309,Customers!B2310:B3309,"Customer Not Found",0)</f>
        <v>Customer Not Found</v>
      </c>
      <c r="F2310" s="7" t="str">
        <f>_xlfn.XLOOKUP(Orders!B2310,Customers!A2310:A3309,Customers!C2310:C3309,"Country not Found",0)</f>
        <v>Country not Found</v>
      </c>
      <c r="G2310" s="7" t="str">
        <f>_xlfn.XLOOKUP(C2310,Products!A2310:A2809,Products!B2310:B2809,"Product Missing",0)</f>
        <v>Product Missing</v>
      </c>
      <c r="H2310" s="7" t="str">
        <f>_xlfn.XLOOKUP(C2310,Products!A2310:A2809,Products!C2310:C2809,"Category Missing",0)</f>
        <v>Category Missing</v>
      </c>
      <c r="I2310" s="11" t="str">
        <f>_xlfn.XLOOKUP(Orders!C2310,Products!A2310:A2809,Products!D2310:D2809,"Price Missing",0)</f>
        <v>Price Missing</v>
      </c>
      <c r="J2310" s="19">
        <f t="shared" si="36"/>
        <v>0</v>
      </c>
    </row>
    <row r="2311" spans="1:10" x14ac:dyDescent="0.35">
      <c r="A2311" s="4" t="s">
        <v>6331</v>
      </c>
      <c r="B2311" s="7" t="s">
        <v>1529</v>
      </c>
      <c r="C2311" s="7" t="s">
        <v>3830</v>
      </c>
      <c r="D2311" s="5">
        <v>3</v>
      </c>
      <c r="E2311" s="7" t="str">
        <f>_xlfn.XLOOKUP(B2311,Customers!A2311:A3310,Customers!B2311:B3310,"Customer Not Found",0)</f>
        <v>Customer Not Found</v>
      </c>
      <c r="F2311" s="7" t="str">
        <f>_xlfn.XLOOKUP(Orders!B2311,Customers!A2311:A3310,Customers!C2311:C3310,"Country not Found",0)</f>
        <v>Country not Found</v>
      </c>
      <c r="G2311" s="7" t="str">
        <f>_xlfn.XLOOKUP(C2311,Products!A2311:A2810,Products!B2311:B2810,"Product Missing",0)</f>
        <v>Product Missing</v>
      </c>
      <c r="H2311" s="7" t="str">
        <f>_xlfn.XLOOKUP(C2311,Products!A2311:A2810,Products!C2311:C2810,"Category Missing",0)</f>
        <v>Category Missing</v>
      </c>
      <c r="I2311" s="11" t="str">
        <f>_xlfn.XLOOKUP(Orders!C2311,Products!A2311:A2810,Products!D2311:D2810,"Price Missing",0)</f>
        <v>Price Missing</v>
      </c>
      <c r="J2311" s="19">
        <f t="shared" si="36"/>
        <v>0</v>
      </c>
    </row>
    <row r="2312" spans="1:10" x14ac:dyDescent="0.35">
      <c r="A2312" s="4" t="s">
        <v>6332</v>
      </c>
      <c r="B2312" s="7" t="s">
        <v>1130</v>
      </c>
      <c r="C2312" s="7" t="s">
        <v>3150</v>
      </c>
      <c r="D2312" s="5">
        <v>8</v>
      </c>
      <c r="E2312" s="7" t="str">
        <f>_xlfn.XLOOKUP(B2312,Customers!A2312:A3311,Customers!B2312:B3311,"Customer Not Found",0)</f>
        <v>Customer Not Found</v>
      </c>
      <c r="F2312" s="7" t="str">
        <f>_xlfn.XLOOKUP(Orders!B2312,Customers!A2312:A3311,Customers!C2312:C3311,"Country not Found",0)</f>
        <v>Country not Found</v>
      </c>
      <c r="G2312" s="7" t="str">
        <f>_xlfn.XLOOKUP(C2312,Products!A2312:A2811,Products!B2312:B2811,"Product Missing",0)</f>
        <v>Product Missing</v>
      </c>
      <c r="H2312" s="7" t="str">
        <f>_xlfn.XLOOKUP(C2312,Products!A2312:A2811,Products!C2312:C2811,"Category Missing",0)</f>
        <v>Category Missing</v>
      </c>
      <c r="I2312" s="11" t="str">
        <f>_xlfn.XLOOKUP(Orders!C2312,Products!A2312:A2811,Products!D2312:D2811,"Price Missing",0)</f>
        <v>Price Missing</v>
      </c>
      <c r="J2312" s="19">
        <f t="shared" si="36"/>
        <v>0</v>
      </c>
    </row>
    <row r="2313" spans="1:10" x14ac:dyDescent="0.35">
      <c r="A2313" s="4" t="s">
        <v>6333</v>
      </c>
      <c r="B2313" s="7" t="s">
        <v>2285</v>
      </c>
      <c r="C2313" s="7" t="s">
        <v>3726</v>
      </c>
      <c r="D2313" s="5">
        <v>2</v>
      </c>
      <c r="E2313" s="7" t="str">
        <f>_xlfn.XLOOKUP(B2313,Customers!A2313:A3312,Customers!B2313:B3312,"Customer Not Found",0)</f>
        <v>Customer Not Found</v>
      </c>
      <c r="F2313" s="7" t="str">
        <f>_xlfn.XLOOKUP(Orders!B2313,Customers!A2313:A3312,Customers!C2313:C3312,"Country not Found",0)</f>
        <v>Country not Found</v>
      </c>
      <c r="G2313" s="7" t="str">
        <f>_xlfn.XLOOKUP(C2313,Products!A2313:A2812,Products!B2313:B2812,"Product Missing",0)</f>
        <v>Product Missing</v>
      </c>
      <c r="H2313" s="7" t="str">
        <f>_xlfn.XLOOKUP(C2313,Products!A2313:A2812,Products!C2313:C2812,"Category Missing",0)</f>
        <v>Category Missing</v>
      </c>
      <c r="I2313" s="11" t="str">
        <f>_xlfn.XLOOKUP(Orders!C2313,Products!A2313:A2812,Products!D2313:D2812,"Price Missing",0)</f>
        <v>Price Missing</v>
      </c>
      <c r="J2313" s="19">
        <f t="shared" si="36"/>
        <v>0</v>
      </c>
    </row>
    <row r="2314" spans="1:10" x14ac:dyDescent="0.35">
      <c r="A2314" s="4" t="s">
        <v>6334</v>
      </c>
      <c r="B2314" s="7" t="s">
        <v>2009</v>
      </c>
      <c r="C2314" s="7" t="s">
        <v>3192</v>
      </c>
      <c r="D2314" s="5">
        <v>7</v>
      </c>
      <c r="E2314" s="7" t="str">
        <f>_xlfn.XLOOKUP(B2314,Customers!A2314:A3313,Customers!B2314:B3313,"Customer Not Found",0)</f>
        <v>Customer Not Found</v>
      </c>
      <c r="F2314" s="7" t="str">
        <f>_xlfn.XLOOKUP(Orders!B2314,Customers!A2314:A3313,Customers!C2314:C3313,"Country not Found",0)</f>
        <v>Country not Found</v>
      </c>
      <c r="G2314" s="7" t="str">
        <f>_xlfn.XLOOKUP(C2314,Products!A2314:A2813,Products!B2314:B2813,"Product Missing",0)</f>
        <v>Product Missing</v>
      </c>
      <c r="H2314" s="7" t="str">
        <f>_xlfn.XLOOKUP(C2314,Products!A2314:A2813,Products!C2314:C2813,"Category Missing",0)</f>
        <v>Category Missing</v>
      </c>
      <c r="I2314" s="11" t="str">
        <f>_xlfn.XLOOKUP(Orders!C2314,Products!A2314:A2813,Products!D2314:D2813,"Price Missing",0)</f>
        <v>Price Missing</v>
      </c>
      <c r="J2314" s="19">
        <f t="shared" si="36"/>
        <v>0</v>
      </c>
    </row>
    <row r="2315" spans="1:10" x14ac:dyDescent="0.35">
      <c r="A2315" s="4" t="s">
        <v>6335</v>
      </c>
      <c r="B2315" s="7" t="s">
        <v>2147</v>
      </c>
      <c r="C2315" s="7" t="s">
        <v>3296</v>
      </c>
      <c r="D2315" s="5">
        <v>7</v>
      </c>
      <c r="E2315" s="7" t="str">
        <f>_xlfn.XLOOKUP(B2315,Customers!A2315:A3314,Customers!B2315:B3314,"Customer Not Found",0)</f>
        <v>Customer Not Found</v>
      </c>
      <c r="F2315" s="7" t="str">
        <f>_xlfn.XLOOKUP(Orders!B2315,Customers!A2315:A3314,Customers!C2315:C3314,"Country not Found",0)</f>
        <v>Country not Found</v>
      </c>
      <c r="G2315" s="7" t="str">
        <f>_xlfn.XLOOKUP(C2315,Products!A2315:A2814,Products!B2315:B2814,"Product Missing",0)</f>
        <v>Product Missing</v>
      </c>
      <c r="H2315" s="7" t="str">
        <f>_xlfn.XLOOKUP(C2315,Products!A2315:A2814,Products!C2315:C2814,"Category Missing",0)</f>
        <v>Category Missing</v>
      </c>
      <c r="I2315" s="11" t="str">
        <f>_xlfn.XLOOKUP(Orders!C2315,Products!A2315:A2814,Products!D2315:D2814,"Price Missing",0)</f>
        <v>Price Missing</v>
      </c>
      <c r="J2315" s="19">
        <f t="shared" si="36"/>
        <v>0</v>
      </c>
    </row>
    <row r="2316" spans="1:10" x14ac:dyDescent="0.35">
      <c r="A2316" s="4" t="s">
        <v>6336</v>
      </c>
      <c r="B2316" s="7" t="s">
        <v>1190</v>
      </c>
      <c r="C2316" s="7" t="s">
        <v>3438</v>
      </c>
      <c r="D2316" s="5">
        <v>4</v>
      </c>
      <c r="E2316" s="7" t="str">
        <f>_xlfn.XLOOKUP(B2316,Customers!A2316:A3315,Customers!B2316:B3315,"Customer Not Found",0)</f>
        <v>Customer Not Found</v>
      </c>
      <c r="F2316" s="7" t="str">
        <f>_xlfn.XLOOKUP(Orders!B2316,Customers!A2316:A3315,Customers!C2316:C3315,"Country not Found",0)</f>
        <v>Country not Found</v>
      </c>
      <c r="G2316" s="7" t="str">
        <f>_xlfn.XLOOKUP(C2316,Products!A2316:A2815,Products!B2316:B2815,"Product Missing",0)</f>
        <v>Product Missing</v>
      </c>
      <c r="H2316" s="7" t="str">
        <f>_xlfn.XLOOKUP(C2316,Products!A2316:A2815,Products!C2316:C2815,"Category Missing",0)</f>
        <v>Category Missing</v>
      </c>
      <c r="I2316" s="11" t="str">
        <f>_xlfn.XLOOKUP(Orders!C2316,Products!A2316:A2815,Products!D2316:D2815,"Price Missing",0)</f>
        <v>Price Missing</v>
      </c>
      <c r="J2316" s="19">
        <f t="shared" si="36"/>
        <v>0</v>
      </c>
    </row>
    <row r="2317" spans="1:10" x14ac:dyDescent="0.35">
      <c r="A2317" s="4" t="s">
        <v>6337</v>
      </c>
      <c r="B2317" s="7" t="s">
        <v>407</v>
      </c>
      <c r="C2317" s="7" t="s">
        <v>3668</v>
      </c>
      <c r="D2317" s="5">
        <v>6</v>
      </c>
      <c r="E2317" s="7" t="str">
        <f>_xlfn.XLOOKUP(B2317,Customers!A2317:A3316,Customers!B2317:B3316,"Customer Not Found",0)</f>
        <v>Customer Not Found</v>
      </c>
      <c r="F2317" s="7" t="str">
        <f>_xlfn.XLOOKUP(Orders!B2317,Customers!A2317:A3316,Customers!C2317:C3316,"Country not Found",0)</f>
        <v>Country not Found</v>
      </c>
      <c r="G2317" s="7" t="str">
        <f>_xlfn.XLOOKUP(C2317,Products!A2317:A2816,Products!B2317:B2816,"Product Missing",0)</f>
        <v>Product Missing</v>
      </c>
      <c r="H2317" s="7" t="str">
        <f>_xlfn.XLOOKUP(C2317,Products!A2317:A2816,Products!C2317:C2816,"Category Missing",0)</f>
        <v>Category Missing</v>
      </c>
      <c r="I2317" s="11" t="str">
        <f>_xlfn.XLOOKUP(Orders!C2317,Products!A2317:A2816,Products!D2317:D2816,"Price Missing",0)</f>
        <v>Price Missing</v>
      </c>
      <c r="J2317" s="19">
        <f t="shared" si="36"/>
        <v>0</v>
      </c>
    </row>
    <row r="2318" spans="1:10" x14ac:dyDescent="0.35">
      <c r="A2318" s="4" t="s">
        <v>6338</v>
      </c>
      <c r="B2318" s="7" t="s">
        <v>230</v>
      </c>
      <c r="C2318" s="7" t="s">
        <v>3558</v>
      </c>
      <c r="D2318" s="5">
        <v>6</v>
      </c>
      <c r="E2318" s="7" t="str">
        <f>_xlfn.XLOOKUP(B2318,Customers!A2318:A3317,Customers!B2318:B3317,"Customer Not Found",0)</f>
        <v>Customer Not Found</v>
      </c>
      <c r="F2318" s="7" t="str">
        <f>_xlfn.XLOOKUP(Orders!B2318,Customers!A2318:A3317,Customers!C2318:C3317,"Country not Found",0)</f>
        <v>Country not Found</v>
      </c>
      <c r="G2318" s="7" t="str">
        <f>_xlfn.XLOOKUP(C2318,Products!A2318:A2817,Products!B2318:B2817,"Product Missing",0)</f>
        <v>Product Missing</v>
      </c>
      <c r="H2318" s="7" t="str">
        <f>_xlfn.XLOOKUP(C2318,Products!A2318:A2817,Products!C2318:C2817,"Category Missing",0)</f>
        <v>Category Missing</v>
      </c>
      <c r="I2318" s="11" t="str">
        <f>_xlfn.XLOOKUP(Orders!C2318,Products!A2318:A2817,Products!D2318:D2817,"Price Missing",0)</f>
        <v>Price Missing</v>
      </c>
      <c r="J2318" s="19">
        <f t="shared" si="36"/>
        <v>0</v>
      </c>
    </row>
    <row r="2319" spans="1:10" x14ac:dyDescent="0.35">
      <c r="A2319" s="4" t="s">
        <v>6339</v>
      </c>
      <c r="B2319" s="7" t="s">
        <v>2342</v>
      </c>
      <c r="C2319" s="7" t="s">
        <v>3938</v>
      </c>
      <c r="D2319" s="5">
        <v>10</v>
      </c>
      <c r="E2319" s="7" t="str">
        <f>_xlfn.XLOOKUP(B2319,Customers!A2319:A3318,Customers!B2319:B3318,"Customer Not Found",0)</f>
        <v>Customer Not Found</v>
      </c>
      <c r="F2319" s="7" t="str">
        <f>_xlfn.XLOOKUP(Orders!B2319,Customers!A2319:A3318,Customers!C2319:C3318,"Country not Found",0)</f>
        <v>Country not Found</v>
      </c>
      <c r="G2319" s="7" t="str">
        <f>_xlfn.XLOOKUP(C2319,Products!A2319:A2818,Products!B2319:B2818,"Product Missing",0)</f>
        <v>Product Missing</v>
      </c>
      <c r="H2319" s="7" t="str">
        <f>_xlfn.XLOOKUP(C2319,Products!A2319:A2818,Products!C2319:C2818,"Category Missing",0)</f>
        <v>Category Missing</v>
      </c>
      <c r="I2319" s="11" t="str">
        <f>_xlfn.XLOOKUP(Orders!C2319,Products!A2319:A2818,Products!D2319:D2818,"Price Missing",0)</f>
        <v>Price Missing</v>
      </c>
      <c r="J2319" s="19">
        <f t="shared" si="36"/>
        <v>0</v>
      </c>
    </row>
    <row r="2320" spans="1:10" x14ac:dyDescent="0.35">
      <c r="A2320" s="4" t="s">
        <v>6340</v>
      </c>
      <c r="B2320" s="7" t="s">
        <v>2036</v>
      </c>
      <c r="C2320" s="7" t="s">
        <v>3788</v>
      </c>
      <c r="D2320" s="5">
        <v>3</v>
      </c>
      <c r="E2320" s="7" t="str">
        <f>_xlfn.XLOOKUP(B2320,Customers!A2320:A3319,Customers!B2320:B3319,"Customer Not Found",0)</f>
        <v>Customer Not Found</v>
      </c>
      <c r="F2320" s="7" t="str">
        <f>_xlfn.XLOOKUP(Orders!B2320,Customers!A2320:A3319,Customers!C2320:C3319,"Country not Found",0)</f>
        <v>Country not Found</v>
      </c>
      <c r="G2320" s="7" t="str">
        <f>_xlfn.XLOOKUP(C2320,Products!A2320:A2819,Products!B2320:B2819,"Product Missing",0)</f>
        <v>Product Missing</v>
      </c>
      <c r="H2320" s="7" t="str">
        <f>_xlfn.XLOOKUP(C2320,Products!A2320:A2819,Products!C2320:C2819,"Category Missing",0)</f>
        <v>Category Missing</v>
      </c>
      <c r="I2320" s="11" t="str">
        <f>_xlfn.XLOOKUP(Orders!C2320,Products!A2320:A2819,Products!D2320:D2819,"Price Missing",0)</f>
        <v>Price Missing</v>
      </c>
      <c r="J2320" s="19">
        <f t="shared" si="36"/>
        <v>0</v>
      </c>
    </row>
    <row r="2321" spans="1:10" x14ac:dyDescent="0.35">
      <c r="A2321" s="4" t="s">
        <v>6341</v>
      </c>
      <c r="B2321" s="7" t="s">
        <v>2507</v>
      </c>
      <c r="C2321" s="7" t="s">
        <v>3039</v>
      </c>
      <c r="D2321" s="5">
        <v>9</v>
      </c>
      <c r="E2321" s="7" t="str">
        <f>_xlfn.XLOOKUP(B2321,Customers!A2321:A3320,Customers!B2321:B3320,"Customer Not Found",0)</f>
        <v>Customer Not Found</v>
      </c>
      <c r="F2321" s="7" t="str">
        <f>_xlfn.XLOOKUP(Orders!B2321,Customers!A2321:A3320,Customers!C2321:C3320,"Country not Found",0)</f>
        <v>Country not Found</v>
      </c>
      <c r="G2321" s="7" t="str">
        <f>_xlfn.XLOOKUP(C2321,Products!A2321:A2820,Products!B2321:B2820,"Product Missing",0)</f>
        <v>Product Missing</v>
      </c>
      <c r="H2321" s="7" t="str">
        <f>_xlfn.XLOOKUP(C2321,Products!A2321:A2820,Products!C2321:C2820,"Category Missing",0)</f>
        <v>Category Missing</v>
      </c>
      <c r="I2321" s="11" t="str">
        <f>_xlfn.XLOOKUP(Orders!C2321,Products!A2321:A2820,Products!D2321:D2820,"Price Missing",0)</f>
        <v>Price Missing</v>
      </c>
      <c r="J2321" s="19">
        <f t="shared" si="36"/>
        <v>0</v>
      </c>
    </row>
    <row r="2322" spans="1:10" x14ac:dyDescent="0.35">
      <c r="A2322" s="4" t="s">
        <v>6342</v>
      </c>
      <c r="B2322" s="7" t="s">
        <v>1193</v>
      </c>
      <c r="C2322" s="7" t="s">
        <v>3027</v>
      </c>
      <c r="D2322" s="5">
        <v>1</v>
      </c>
      <c r="E2322" s="7" t="str">
        <f>_xlfn.XLOOKUP(B2322,Customers!A2322:A3321,Customers!B2322:B3321,"Customer Not Found",0)</f>
        <v>Customer Not Found</v>
      </c>
      <c r="F2322" s="7" t="str">
        <f>_xlfn.XLOOKUP(Orders!B2322,Customers!A2322:A3321,Customers!C2322:C3321,"Country not Found",0)</f>
        <v>Country not Found</v>
      </c>
      <c r="G2322" s="7" t="str">
        <f>_xlfn.XLOOKUP(C2322,Products!A2322:A2821,Products!B2322:B2821,"Product Missing",0)</f>
        <v>Product Missing</v>
      </c>
      <c r="H2322" s="7" t="str">
        <f>_xlfn.XLOOKUP(C2322,Products!A2322:A2821,Products!C2322:C2821,"Category Missing",0)</f>
        <v>Category Missing</v>
      </c>
      <c r="I2322" s="11" t="str">
        <f>_xlfn.XLOOKUP(Orders!C2322,Products!A2322:A2821,Products!D2322:D2821,"Price Missing",0)</f>
        <v>Price Missing</v>
      </c>
      <c r="J2322" s="19">
        <f t="shared" si="36"/>
        <v>0</v>
      </c>
    </row>
    <row r="2323" spans="1:10" x14ac:dyDescent="0.35">
      <c r="A2323" s="4" t="s">
        <v>6343</v>
      </c>
      <c r="B2323" s="7" t="s">
        <v>755</v>
      </c>
      <c r="C2323" s="7" t="s">
        <v>3364</v>
      </c>
      <c r="D2323" s="5">
        <v>3</v>
      </c>
      <c r="E2323" s="7" t="str">
        <f>_xlfn.XLOOKUP(B2323,Customers!A2323:A3322,Customers!B2323:B3322,"Customer Not Found",0)</f>
        <v>Customer Not Found</v>
      </c>
      <c r="F2323" s="7" t="str">
        <f>_xlfn.XLOOKUP(Orders!B2323,Customers!A2323:A3322,Customers!C2323:C3322,"Country not Found",0)</f>
        <v>Country not Found</v>
      </c>
      <c r="G2323" s="7" t="str">
        <f>_xlfn.XLOOKUP(C2323,Products!A2323:A2822,Products!B2323:B2822,"Product Missing",0)</f>
        <v>Product Missing</v>
      </c>
      <c r="H2323" s="7" t="str">
        <f>_xlfn.XLOOKUP(C2323,Products!A2323:A2822,Products!C2323:C2822,"Category Missing",0)</f>
        <v>Category Missing</v>
      </c>
      <c r="I2323" s="11" t="str">
        <f>_xlfn.XLOOKUP(Orders!C2323,Products!A2323:A2822,Products!D2323:D2822,"Price Missing",0)</f>
        <v>Price Missing</v>
      </c>
      <c r="J2323" s="19">
        <f t="shared" si="36"/>
        <v>0</v>
      </c>
    </row>
    <row r="2324" spans="1:10" x14ac:dyDescent="0.35">
      <c r="A2324" s="4" t="s">
        <v>6344</v>
      </c>
      <c r="B2324" s="7" t="s">
        <v>143</v>
      </c>
      <c r="C2324" s="7" t="s">
        <v>3818</v>
      </c>
      <c r="D2324" s="5">
        <v>6</v>
      </c>
      <c r="E2324" s="7" t="str">
        <f>_xlfn.XLOOKUP(B2324,Customers!A2324:A3323,Customers!B2324:B3323,"Customer Not Found",0)</f>
        <v>Customer Not Found</v>
      </c>
      <c r="F2324" s="7" t="str">
        <f>_xlfn.XLOOKUP(Orders!B2324,Customers!A2324:A3323,Customers!C2324:C3323,"Country not Found",0)</f>
        <v>Country not Found</v>
      </c>
      <c r="G2324" s="7" t="str">
        <f>_xlfn.XLOOKUP(C2324,Products!A2324:A2823,Products!B2324:B2823,"Product Missing",0)</f>
        <v>Product Missing</v>
      </c>
      <c r="H2324" s="7" t="str">
        <f>_xlfn.XLOOKUP(C2324,Products!A2324:A2823,Products!C2324:C2823,"Category Missing",0)</f>
        <v>Category Missing</v>
      </c>
      <c r="I2324" s="11" t="str">
        <f>_xlfn.XLOOKUP(Orders!C2324,Products!A2324:A2823,Products!D2324:D2823,"Price Missing",0)</f>
        <v>Price Missing</v>
      </c>
      <c r="J2324" s="19">
        <f t="shared" si="36"/>
        <v>0</v>
      </c>
    </row>
    <row r="2325" spans="1:10" x14ac:dyDescent="0.35">
      <c r="A2325" s="4" t="s">
        <v>6345</v>
      </c>
      <c r="B2325" s="7" t="s">
        <v>1454</v>
      </c>
      <c r="C2325" s="7" t="s">
        <v>3832</v>
      </c>
      <c r="D2325" s="5">
        <v>7</v>
      </c>
      <c r="E2325" s="7" t="str">
        <f>_xlfn.XLOOKUP(B2325,Customers!A2325:A3324,Customers!B2325:B3324,"Customer Not Found",0)</f>
        <v>Customer Not Found</v>
      </c>
      <c r="F2325" s="7" t="str">
        <f>_xlfn.XLOOKUP(Orders!B2325,Customers!A2325:A3324,Customers!C2325:C3324,"Country not Found",0)</f>
        <v>Country not Found</v>
      </c>
      <c r="G2325" s="7" t="str">
        <f>_xlfn.XLOOKUP(C2325,Products!A2325:A2824,Products!B2325:B2824,"Product Missing",0)</f>
        <v>Product Missing</v>
      </c>
      <c r="H2325" s="7" t="str">
        <f>_xlfn.XLOOKUP(C2325,Products!A2325:A2824,Products!C2325:C2824,"Category Missing",0)</f>
        <v>Category Missing</v>
      </c>
      <c r="I2325" s="11" t="str">
        <f>_xlfn.XLOOKUP(Orders!C2325,Products!A2325:A2824,Products!D2325:D2824,"Price Missing",0)</f>
        <v>Price Missing</v>
      </c>
      <c r="J2325" s="19">
        <f t="shared" si="36"/>
        <v>0</v>
      </c>
    </row>
    <row r="2326" spans="1:10" x14ac:dyDescent="0.35">
      <c r="A2326" s="4" t="s">
        <v>6346</v>
      </c>
      <c r="B2326" s="7" t="s">
        <v>1943</v>
      </c>
      <c r="C2326" s="7" t="s">
        <v>3152</v>
      </c>
      <c r="D2326" s="5">
        <v>9</v>
      </c>
      <c r="E2326" s="7" t="str">
        <f>_xlfn.XLOOKUP(B2326,Customers!A2326:A3325,Customers!B2326:B3325,"Customer Not Found",0)</f>
        <v>Customer Not Found</v>
      </c>
      <c r="F2326" s="7" t="str">
        <f>_xlfn.XLOOKUP(Orders!B2326,Customers!A2326:A3325,Customers!C2326:C3325,"Country not Found",0)</f>
        <v>Country not Found</v>
      </c>
      <c r="G2326" s="7" t="str">
        <f>_xlfn.XLOOKUP(C2326,Products!A2326:A2825,Products!B2326:B2825,"Product Missing",0)</f>
        <v>Product Missing</v>
      </c>
      <c r="H2326" s="7" t="str">
        <f>_xlfn.XLOOKUP(C2326,Products!A2326:A2825,Products!C2326:C2825,"Category Missing",0)</f>
        <v>Category Missing</v>
      </c>
      <c r="I2326" s="11" t="str">
        <f>_xlfn.XLOOKUP(Orders!C2326,Products!A2326:A2825,Products!D2326:D2825,"Price Missing",0)</f>
        <v>Price Missing</v>
      </c>
      <c r="J2326" s="19">
        <f t="shared" si="36"/>
        <v>0</v>
      </c>
    </row>
    <row r="2327" spans="1:10" x14ac:dyDescent="0.35">
      <c r="A2327" s="4" t="s">
        <v>6347</v>
      </c>
      <c r="B2327" s="7" t="s">
        <v>491</v>
      </c>
      <c r="C2327" s="7" t="s">
        <v>3820</v>
      </c>
      <c r="D2327" s="5">
        <v>2</v>
      </c>
      <c r="E2327" s="7" t="str">
        <f>_xlfn.XLOOKUP(B2327,Customers!A2327:A3326,Customers!B2327:B3326,"Customer Not Found",0)</f>
        <v>Customer Not Found</v>
      </c>
      <c r="F2327" s="7" t="str">
        <f>_xlfn.XLOOKUP(Orders!B2327,Customers!A2327:A3326,Customers!C2327:C3326,"Country not Found",0)</f>
        <v>Country not Found</v>
      </c>
      <c r="G2327" s="7" t="str">
        <f>_xlfn.XLOOKUP(C2327,Products!A2327:A2826,Products!B2327:B2826,"Product Missing",0)</f>
        <v>Product Missing</v>
      </c>
      <c r="H2327" s="7" t="str">
        <f>_xlfn.XLOOKUP(C2327,Products!A2327:A2826,Products!C2327:C2826,"Category Missing",0)</f>
        <v>Category Missing</v>
      </c>
      <c r="I2327" s="11" t="str">
        <f>_xlfn.XLOOKUP(Orders!C2327,Products!A2327:A2826,Products!D2327:D2826,"Price Missing",0)</f>
        <v>Price Missing</v>
      </c>
      <c r="J2327" s="19">
        <f t="shared" si="36"/>
        <v>0</v>
      </c>
    </row>
    <row r="2328" spans="1:10" x14ac:dyDescent="0.35">
      <c r="A2328" s="4" t="s">
        <v>6348</v>
      </c>
      <c r="B2328" s="7" t="s">
        <v>575</v>
      </c>
      <c r="C2328" s="7" t="s">
        <v>3332</v>
      </c>
      <c r="D2328" s="5">
        <v>9</v>
      </c>
      <c r="E2328" s="7" t="str">
        <f>_xlfn.XLOOKUP(B2328,Customers!A2328:A3327,Customers!B2328:B3327,"Customer Not Found",0)</f>
        <v>Customer Not Found</v>
      </c>
      <c r="F2328" s="7" t="str">
        <f>_xlfn.XLOOKUP(Orders!B2328,Customers!A2328:A3327,Customers!C2328:C3327,"Country not Found",0)</f>
        <v>Country not Found</v>
      </c>
      <c r="G2328" s="7" t="str">
        <f>_xlfn.XLOOKUP(C2328,Products!A2328:A2827,Products!B2328:B2827,"Product Missing",0)</f>
        <v>Product Missing</v>
      </c>
      <c r="H2328" s="7" t="str">
        <f>_xlfn.XLOOKUP(C2328,Products!A2328:A2827,Products!C2328:C2827,"Category Missing",0)</f>
        <v>Category Missing</v>
      </c>
      <c r="I2328" s="11" t="str">
        <f>_xlfn.XLOOKUP(Orders!C2328,Products!A2328:A2827,Products!D2328:D2827,"Price Missing",0)</f>
        <v>Price Missing</v>
      </c>
      <c r="J2328" s="19">
        <f t="shared" si="36"/>
        <v>0</v>
      </c>
    </row>
    <row r="2329" spans="1:10" x14ac:dyDescent="0.35">
      <c r="A2329" s="4" t="s">
        <v>6349</v>
      </c>
      <c r="B2329" s="7" t="s">
        <v>2852</v>
      </c>
      <c r="C2329" s="7" t="s">
        <v>3858</v>
      </c>
      <c r="D2329" s="5">
        <v>3</v>
      </c>
      <c r="E2329" s="7" t="str">
        <f>_xlfn.XLOOKUP(B2329,Customers!A2329:A3328,Customers!B2329:B3328,"Customer Not Found",0)</f>
        <v>Customer Not Found</v>
      </c>
      <c r="F2329" s="7" t="str">
        <f>_xlfn.XLOOKUP(Orders!B2329,Customers!A2329:A3328,Customers!C2329:C3328,"Country not Found",0)</f>
        <v>Country not Found</v>
      </c>
      <c r="G2329" s="7" t="str">
        <f>_xlfn.XLOOKUP(C2329,Products!A2329:A2828,Products!B2329:B2828,"Product Missing",0)</f>
        <v>Product Missing</v>
      </c>
      <c r="H2329" s="7" t="str">
        <f>_xlfn.XLOOKUP(C2329,Products!A2329:A2828,Products!C2329:C2828,"Category Missing",0)</f>
        <v>Category Missing</v>
      </c>
      <c r="I2329" s="11" t="str">
        <f>_xlfn.XLOOKUP(Orders!C2329,Products!A2329:A2828,Products!D2329:D2828,"Price Missing",0)</f>
        <v>Price Missing</v>
      </c>
      <c r="J2329" s="19">
        <f t="shared" si="36"/>
        <v>0</v>
      </c>
    </row>
    <row r="2330" spans="1:10" x14ac:dyDescent="0.35">
      <c r="A2330" s="4" t="s">
        <v>6350</v>
      </c>
      <c r="B2330" s="7" t="s">
        <v>2759</v>
      </c>
      <c r="C2330" s="7" t="s">
        <v>3270</v>
      </c>
      <c r="D2330" s="5">
        <v>10</v>
      </c>
      <c r="E2330" s="7" t="str">
        <f>_xlfn.XLOOKUP(B2330,Customers!A2330:A3329,Customers!B2330:B3329,"Customer Not Found",0)</f>
        <v>Customer Not Found</v>
      </c>
      <c r="F2330" s="7" t="str">
        <f>_xlfn.XLOOKUP(Orders!B2330,Customers!A2330:A3329,Customers!C2330:C3329,"Country not Found",0)</f>
        <v>Country not Found</v>
      </c>
      <c r="G2330" s="7" t="str">
        <f>_xlfn.XLOOKUP(C2330,Products!A2330:A2829,Products!B2330:B2829,"Product Missing",0)</f>
        <v>Product Missing</v>
      </c>
      <c r="H2330" s="7" t="str">
        <f>_xlfn.XLOOKUP(C2330,Products!A2330:A2829,Products!C2330:C2829,"Category Missing",0)</f>
        <v>Category Missing</v>
      </c>
      <c r="I2330" s="11" t="str">
        <f>_xlfn.XLOOKUP(Orders!C2330,Products!A2330:A2829,Products!D2330:D2829,"Price Missing",0)</f>
        <v>Price Missing</v>
      </c>
      <c r="J2330" s="19">
        <f t="shared" si="36"/>
        <v>0</v>
      </c>
    </row>
    <row r="2331" spans="1:10" x14ac:dyDescent="0.35">
      <c r="A2331" s="4" t="s">
        <v>6351</v>
      </c>
      <c r="B2331" s="7" t="s">
        <v>2306</v>
      </c>
      <c r="C2331" s="7" t="s">
        <v>3600</v>
      </c>
      <c r="D2331" s="5">
        <v>6</v>
      </c>
      <c r="E2331" s="7" t="str">
        <f>_xlfn.XLOOKUP(B2331,Customers!A2331:A3330,Customers!B2331:B3330,"Customer Not Found",0)</f>
        <v>Customer Not Found</v>
      </c>
      <c r="F2331" s="7" t="str">
        <f>_xlfn.XLOOKUP(Orders!B2331,Customers!A2331:A3330,Customers!C2331:C3330,"Country not Found",0)</f>
        <v>Country not Found</v>
      </c>
      <c r="G2331" s="7" t="str">
        <f>_xlfn.XLOOKUP(C2331,Products!A2331:A2830,Products!B2331:B2830,"Product Missing",0)</f>
        <v>Product Missing</v>
      </c>
      <c r="H2331" s="7" t="str">
        <f>_xlfn.XLOOKUP(C2331,Products!A2331:A2830,Products!C2331:C2830,"Category Missing",0)</f>
        <v>Category Missing</v>
      </c>
      <c r="I2331" s="11" t="str">
        <f>_xlfn.XLOOKUP(Orders!C2331,Products!A2331:A2830,Products!D2331:D2830,"Price Missing",0)</f>
        <v>Price Missing</v>
      </c>
      <c r="J2331" s="19">
        <f t="shared" si="36"/>
        <v>0</v>
      </c>
    </row>
    <row r="2332" spans="1:10" x14ac:dyDescent="0.35">
      <c r="A2332" s="4" t="s">
        <v>6352</v>
      </c>
      <c r="B2332" s="7" t="s">
        <v>1994</v>
      </c>
      <c r="C2332" s="7" t="s">
        <v>4004</v>
      </c>
      <c r="D2332" s="5">
        <v>8</v>
      </c>
      <c r="E2332" s="7" t="str">
        <f>_xlfn.XLOOKUP(B2332,Customers!A2332:A3331,Customers!B2332:B3331,"Customer Not Found",0)</f>
        <v>Customer Not Found</v>
      </c>
      <c r="F2332" s="7" t="str">
        <f>_xlfn.XLOOKUP(Orders!B2332,Customers!A2332:A3331,Customers!C2332:C3331,"Country not Found",0)</f>
        <v>Country not Found</v>
      </c>
      <c r="G2332" s="7" t="str">
        <f>_xlfn.XLOOKUP(C2332,Products!A2332:A2831,Products!B2332:B2831,"Product Missing",0)</f>
        <v>Product Missing</v>
      </c>
      <c r="H2332" s="7" t="str">
        <f>_xlfn.XLOOKUP(C2332,Products!A2332:A2831,Products!C2332:C2831,"Category Missing",0)</f>
        <v>Category Missing</v>
      </c>
      <c r="I2332" s="11" t="str">
        <f>_xlfn.XLOOKUP(Orders!C2332,Products!A2332:A2831,Products!D2332:D2831,"Price Missing",0)</f>
        <v>Price Missing</v>
      </c>
      <c r="J2332" s="19">
        <f t="shared" si="36"/>
        <v>0</v>
      </c>
    </row>
    <row r="2333" spans="1:10" x14ac:dyDescent="0.35">
      <c r="A2333" s="4" t="s">
        <v>6353</v>
      </c>
      <c r="B2333" s="7" t="s">
        <v>1166</v>
      </c>
      <c r="C2333" s="7" t="s">
        <v>3702</v>
      </c>
      <c r="D2333" s="5">
        <v>7</v>
      </c>
      <c r="E2333" s="7" t="str">
        <f>_xlfn.XLOOKUP(B2333,Customers!A2333:A3332,Customers!B2333:B3332,"Customer Not Found",0)</f>
        <v>Customer Not Found</v>
      </c>
      <c r="F2333" s="7" t="str">
        <f>_xlfn.XLOOKUP(Orders!B2333,Customers!A2333:A3332,Customers!C2333:C3332,"Country not Found",0)</f>
        <v>Country not Found</v>
      </c>
      <c r="G2333" s="7" t="str">
        <f>_xlfn.XLOOKUP(C2333,Products!A2333:A2832,Products!B2333:B2832,"Product Missing",0)</f>
        <v>Product Missing</v>
      </c>
      <c r="H2333" s="7" t="str">
        <f>_xlfn.XLOOKUP(C2333,Products!A2333:A2832,Products!C2333:C2832,"Category Missing",0)</f>
        <v>Category Missing</v>
      </c>
      <c r="I2333" s="11" t="str">
        <f>_xlfn.XLOOKUP(Orders!C2333,Products!A2333:A2832,Products!D2333:D2832,"Price Missing",0)</f>
        <v>Price Missing</v>
      </c>
      <c r="J2333" s="19">
        <f t="shared" si="36"/>
        <v>0</v>
      </c>
    </row>
    <row r="2334" spans="1:10" x14ac:dyDescent="0.35">
      <c r="A2334" s="4" t="s">
        <v>6354</v>
      </c>
      <c r="B2334" s="7" t="s">
        <v>1037</v>
      </c>
      <c r="C2334" s="7" t="s">
        <v>3578</v>
      </c>
      <c r="D2334" s="5">
        <v>7</v>
      </c>
      <c r="E2334" s="7" t="str">
        <f>_xlfn.XLOOKUP(B2334,Customers!A2334:A3333,Customers!B2334:B3333,"Customer Not Found",0)</f>
        <v>Customer Not Found</v>
      </c>
      <c r="F2334" s="7" t="str">
        <f>_xlfn.XLOOKUP(Orders!B2334,Customers!A2334:A3333,Customers!C2334:C3333,"Country not Found",0)</f>
        <v>Country not Found</v>
      </c>
      <c r="G2334" s="7" t="str">
        <f>_xlfn.XLOOKUP(C2334,Products!A2334:A2833,Products!B2334:B2833,"Product Missing",0)</f>
        <v>Product Missing</v>
      </c>
      <c r="H2334" s="7" t="str">
        <f>_xlfn.XLOOKUP(C2334,Products!A2334:A2833,Products!C2334:C2833,"Category Missing",0)</f>
        <v>Category Missing</v>
      </c>
      <c r="I2334" s="11" t="str">
        <f>_xlfn.XLOOKUP(Orders!C2334,Products!A2334:A2833,Products!D2334:D2833,"Price Missing",0)</f>
        <v>Price Missing</v>
      </c>
      <c r="J2334" s="19">
        <f t="shared" si="36"/>
        <v>0</v>
      </c>
    </row>
    <row r="2335" spans="1:10" x14ac:dyDescent="0.35">
      <c r="A2335" s="4" t="s">
        <v>6355</v>
      </c>
      <c r="B2335" s="7" t="s">
        <v>767</v>
      </c>
      <c r="C2335" s="7" t="s">
        <v>3174</v>
      </c>
      <c r="D2335" s="5">
        <v>9</v>
      </c>
      <c r="E2335" s="7" t="str">
        <f>_xlfn.XLOOKUP(B2335,Customers!A2335:A3334,Customers!B2335:B3334,"Customer Not Found",0)</f>
        <v>Customer Not Found</v>
      </c>
      <c r="F2335" s="7" t="str">
        <f>_xlfn.XLOOKUP(Orders!B2335,Customers!A2335:A3334,Customers!C2335:C3334,"Country not Found",0)</f>
        <v>Country not Found</v>
      </c>
      <c r="G2335" s="7" t="str">
        <f>_xlfn.XLOOKUP(C2335,Products!A2335:A2834,Products!B2335:B2834,"Product Missing",0)</f>
        <v>Product Missing</v>
      </c>
      <c r="H2335" s="7" t="str">
        <f>_xlfn.XLOOKUP(C2335,Products!A2335:A2834,Products!C2335:C2834,"Category Missing",0)</f>
        <v>Category Missing</v>
      </c>
      <c r="I2335" s="11" t="str">
        <f>_xlfn.XLOOKUP(Orders!C2335,Products!A2335:A2834,Products!D2335:D2834,"Price Missing",0)</f>
        <v>Price Missing</v>
      </c>
      <c r="J2335" s="19">
        <f t="shared" si="36"/>
        <v>0</v>
      </c>
    </row>
    <row r="2336" spans="1:10" x14ac:dyDescent="0.35">
      <c r="A2336" s="4" t="s">
        <v>6356</v>
      </c>
      <c r="B2336" s="7" t="s">
        <v>1910</v>
      </c>
      <c r="C2336" s="7" t="s">
        <v>3494</v>
      </c>
      <c r="D2336" s="5">
        <v>5</v>
      </c>
      <c r="E2336" s="7" t="str">
        <f>_xlfn.XLOOKUP(B2336,Customers!A2336:A3335,Customers!B2336:B3335,"Customer Not Found",0)</f>
        <v>Customer Not Found</v>
      </c>
      <c r="F2336" s="7" t="str">
        <f>_xlfn.XLOOKUP(Orders!B2336,Customers!A2336:A3335,Customers!C2336:C3335,"Country not Found",0)</f>
        <v>Country not Found</v>
      </c>
      <c r="G2336" s="7" t="str">
        <f>_xlfn.XLOOKUP(C2336,Products!A2336:A2835,Products!B2336:B2835,"Product Missing",0)</f>
        <v>Product Missing</v>
      </c>
      <c r="H2336" s="7" t="str">
        <f>_xlfn.XLOOKUP(C2336,Products!A2336:A2835,Products!C2336:C2835,"Category Missing",0)</f>
        <v>Category Missing</v>
      </c>
      <c r="I2336" s="11" t="str">
        <f>_xlfn.XLOOKUP(Orders!C2336,Products!A2336:A2835,Products!D2336:D2835,"Price Missing",0)</f>
        <v>Price Missing</v>
      </c>
      <c r="J2336" s="19">
        <f t="shared" si="36"/>
        <v>0</v>
      </c>
    </row>
    <row r="2337" spans="1:10" x14ac:dyDescent="0.35">
      <c r="A2337" s="4" t="s">
        <v>6357</v>
      </c>
      <c r="B2337" s="7" t="s">
        <v>2867</v>
      </c>
      <c r="C2337" s="7" t="s">
        <v>3934</v>
      </c>
      <c r="D2337" s="5">
        <v>10</v>
      </c>
      <c r="E2337" s="7" t="str">
        <f>_xlfn.XLOOKUP(B2337,Customers!A2337:A3336,Customers!B2337:B3336,"Customer Not Found",0)</f>
        <v>Customer Not Found</v>
      </c>
      <c r="F2337" s="7" t="str">
        <f>_xlfn.XLOOKUP(Orders!B2337,Customers!A2337:A3336,Customers!C2337:C3336,"Country not Found",0)</f>
        <v>Country not Found</v>
      </c>
      <c r="G2337" s="7" t="str">
        <f>_xlfn.XLOOKUP(C2337,Products!A2337:A2836,Products!B2337:B2836,"Product Missing",0)</f>
        <v>Product Missing</v>
      </c>
      <c r="H2337" s="7" t="str">
        <f>_xlfn.XLOOKUP(C2337,Products!A2337:A2836,Products!C2337:C2836,"Category Missing",0)</f>
        <v>Category Missing</v>
      </c>
      <c r="I2337" s="11" t="str">
        <f>_xlfn.XLOOKUP(Orders!C2337,Products!A2337:A2836,Products!D2337:D2836,"Price Missing",0)</f>
        <v>Price Missing</v>
      </c>
      <c r="J2337" s="19">
        <f t="shared" si="36"/>
        <v>0</v>
      </c>
    </row>
    <row r="2338" spans="1:10" x14ac:dyDescent="0.35">
      <c r="A2338" s="4" t="s">
        <v>6358</v>
      </c>
      <c r="B2338" s="7" t="s">
        <v>2351</v>
      </c>
      <c r="C2338" s="7" t="s">
        <v>3158</v>
      </c>
      <c r="D2338" s="5">
        <v>6</v>
      </c>
      <c r="E2338" s="7" t="str">
        <f>_xlfn.XLOOKUP(B2338,Customers!A2338:A3337,Customers!B2338:B3337,"Customer Not Found",0)</f>
        <v>Customer Not Found</v>
      </c>
      <c r="F2338" s="7" t="str">
        <f>_xlfn.XLOOKUP(Orders!B2338,Customers!A2338:A3337,Customers!C2338:C3337,"Country not Found",0)</f>
        <v>Country not Found</v>
      </c>
      <c r="G2338" s="7" t="str">
        <f>_xlfn.XLOOKUP(C2338,Products!A2338:A2837,Products!B2338:B2837,"Product Missing",0)</f>
        <v>Product Missing</v>
      </c>
      <c r="H2338" s="7" t="str">
        <f>_xlfn.XLOOKUP(C2338,Products!A2338:A2837,Products!C2338:C2837,"Category Missing",0)</f>
        <v>Category Missing</v>
      </c>
      <c r="I2338" s="11" t="str">
        <f>_xlfn.XLOOKUP(Orders!C2338,Products!A2338:A2837,Products!D2338:D2837,"Price Missing",0)</f>
        <v>Price Missing</v>
      </c>
      <c r="J2338" s="19">
        <f t="shared" si="36"/>
        <v>0</v>
      </c>
    </row>
    <row r="2339" spans="1:10" x14ac:dyDescent="0.35">
      <c r="A2339" s="4" t="s">
        <v>6359</v>
      </c>
      <c r="B2339" s="7" t="s">
        <v>1550</v>
      </c>
      <c r="C2339" s="7" t="s">
        <v>3688</v>
      </c>
      <c r="D2339" s="5">
        <v>2</v>
      </c>
      <c r="E2339" s="7" t="str">
        <f>_xlfn.XLOOKUP(B2339,Customers!A2339:A3338,Customers!B2339:B3338,"Customer Not Found",0)</f>
        <v>Customer Not Found</v>
      </c>
      <c r="F2339" s="7" t="str">
        <f>_xlfn.XLOOKUP(Orders!B2339,Customers!A2339:A3338,Customers!C2339:C3338,"Country not Found",0)</f>
        <v>Country not Found</v>
      </c>
      <c r="G2339" s="7" t="str">
        <f>_xlfn.XLOOKUP(C2339,Products!A2339:A2838,Products!B2339:B2838,"Product Missing",0)</f>
        <v>Product Missing</v>
      </c>
      <c r="H2339" s="7" t="str">
        <f>_xlfn.XLOOKUP(C2339,Products!A2339:A2838,Products!C2339:C2838,"Category Missing",0)</f>
        <v>Category Missing</v>
      </c>
      <c r="I2339" s="11" t="str">
        <f>_xlfn.XLOOKUP(Orders!C2339,Products!A2339:A2838,Products!D2339:D2838,"Price Missing",0)</f>
        <v>Price Missing</v>
      </c>
      <c r="J2339" s="19">
        <f t="shared" si="36"/>
        <v>0</v>
      </c>
    </row>
    <row r="2340" spans="1:10" x14ac:dyDescent="0.35">
      <c r="A2340" s="4" t="s">
        <v>6360</v>
      </c>
      <c r="B2340" s="7" t="s">
        <v>617</v>
      </c>
      <c r="C2340" s="7" t="s">
        <v>3192</v>
      </c>
      <c r="D2340" s="5">
        <v>3</v>
      </c>
      <c r="E2340" s="7" t="str">
        <f>_xlfn.XLOOKUP(B2340,Customers!A2340:A3339,Customers!B2340:B3339,"Customer Not Found",0)</f>
        <v>Customer Not Found</v>
      </c>
      <c r="F2340" s="7" t="str">
        <f>_xlfn.XLOOKUP(Orders!B2340,Customers!A2340:A3339,Customers!C2340:C3339,"Country not Found",0)</f>
        <v>Country not Found</v>
      </c>
      <c r="G2340" s="7" t="str">
        <f>_xlfn.XLOOKUP(C2340,Products!A2340:A2839,Products!B2340:B2839,"Product Missing",0)</f>
        <v>Product Missing</v>
      </c>
      <c r="H2340" s="7" t="str">
        <f>_xlfn.XLOOKUP(C2340,Products!A2340:A2839,Products!C2340:C2839,"Category Missing",0)</f>
        <v>Category Missing</v>
      </c>
      <c r="I2340" s="11" t="str">
        <f>_xlfn.XLOOKUP(Orders!C2340,Products!A2340:A2839,Products!D2340:D2839,"Price Missing",0)</f>
        <v>Price Missing</v>
      </c>
      <c r="J2340" s="19">
        <f t="shared" si="36"/>
        <v>0</v>
      </c>
    </row>
    <row r="2341" spans="1:10" x14ac:dyDescent="0.35">
      <c r="A2341" s="4" t="s">
        <v>6361</v>
      </c>
      <c r="B2341" s="7" t="s">
        <v>1025</v>
      </c>
      <c r="C2341" s="7" t="s">
        <v>3158</v>
      </c>
      <c r="D2341" s="5">
        <v>1</v>
      </c>
      <c r="E2341" s="7" t="str">
        <f>_xlfn.XLOOKUP(B2341,Customers!A2341:A3340,Customers!B2341:B3340,"Customer Not Found",0)</f>
        <v>Customer Not Found</v>
      </c>
      <c r="F2341" s="7" t="str">
        <f>_xlfn.XLOOKUP(Orders!B2341,Customers!A2341:A3340,Customers!C2341:C3340,"Country not Found",0)</f>
        <v>Country not Found</v>
      </c>
      <c r="G2341" s="7" t="str">
        <f>_xlfn.XLOOKUP(C2341,Products!A2341:A2840,Products!B2341:B2840,"Product Missing",0)</f>
        <v>Product Missing</v>
      </c>
      <c r="H2341" s="7" t="str">
        <f>_xlfn.XLOOKUP(C2341,Products!A2341:A2840,Products!C2341:C2840,"Category Missing",0)</f>
        <v>Category Missing</v>
      </c>
      <c r="I2341" s="11" t="str">
        <f>_xlfn.XLOOKUP(Orders!C2341,Products!A2341:A2840,Products!D2341:D2840,"Price Missing",0)</f>
        <v>Price Missing</v>
      </c>
      <c r="J2341" s="19">
        <f t="shared" si="36"/>
        <v>0</v>
      </c>
    </row>
    <row r="2342" spans="1:10" x14ac:dyDescent="0.35">
      <c r="A2342" s="4" t="s">
        <v>6362</v>
      </c>
      <c r="B2342" s="7" t="s">
        <v>1667</v>
      </c>
      <c r="C2342" s="7" t="s">
        <v>3043</v>
      </c>
      <c r="D2342" s="5">
        <v>4</v>
      </c>
      <c r="E2342" s="7" t="str">
        <f>_xlfn.XLOOKUP(B2342,Customers!A2342:A3341,Customers!B2342:B3341,"Customer Not Found",0)</f>
        <v>Customer Not Found</v>
      </c>
      <c r="F2342" s="7" t="str">
        <f>_xlfn.XLOOKUP(Orders!B2342,Customers!A2342:A3341,Customers!C2342:C3341,"Country not Found",0)</f>
        <v>Country not Found</v>
      </c>
      <c r="G2342" s="7" t="str">
        <f>_xlfn.XLOOKUP(C2342,Products!A2342:A2841,Products!B2342:B2841,"Product Missing",0)</f>
        <v>Product Missing</v>
      </c>
      <c r="H2342" s="7" t="str">
        <f>_xlfn.XLOOKUP(C2342,Products!A2342:A2841,Products!C2342:C2841,"Category Missing",0)</f>
        <v>Category Missing</v>
      </c>
      <c r="I2342" s="11" t="str">
        <f>_xlfn.XLOOKUP(Orders!C2342,Products!A2342:A2841,Products!D2342:D2841,"Price Missing",0)</f>
        <v>Price Missing</v>
      </c>
      <c r="J2342" s="19">
        <f t="shared" si="36"/>
        <v>0</v>
      </c>
    </row>
    <row r="2343" spans="1:10" x14ac:dyDescent="0.35">
      <c r="A2343" s="4" t="s">
        <v>6363</v>
      </c>
      <c r="B2343" s="7" t="s">
        <v>1154</v>
      </c>
      <c r="C2343" s="7" t="s">
        <v>3392</v>
      </c>
      <c r="D2343" s="5">
        <v>4</v>
      </c>
      <c r="E2343" s="7" t="str">
        <f>_xlfn.XLOOKUP(B2343,Customers!A2343:A3342,Customers!B2343:B3342,"Customer Not Found",0)</f>
        <v>Customer Not Found</v>
      </c>
      <c r="F2343" s="7" t="str">
        <f>_xlfn.XLOOKUP(Orders!B2343,Customers!A2343:A3342,Customers!C2343:C3342,"Country not Found",0)</f>
        <v>Country not Found</v>
      </c>
      <c r="G2343" s="7" t="str">
        <f>_xlfn.XLOOKUP(C2343,Products!A2343:A2842,Products!B2343:B2842,"Product Missing",0)</f>
        <v>Product Missing</v>
      </c>
      <c r="H2343" s="7" t="str">
        <f>_xlfn.XLOOKUP(C2343,Products!A2343:A2842,Products!C2343:C2842,"Category Missing",0)</f>
        <v>Category Missing</v>
      </c>
      <c r="I2343" s="11" t="str">
        <f>_xlfn.XLOOKUP(Orders!C2343,Products!A2343:A2842,Products!D2343:D2842,"Price Missing",0)</f>
        <v>Price Missing</v>
      </c>
      <c r="J2343" s="19">
        <f t="shared" si="36"/>
        <v>0</v>
      </c>
    </row>
    <row r="2344" spans="1:10" x14ac:dyDescent="0.35">
      <c r="A2344" s="4" t="s">
        <v>6364</v>
      </c>
      <c r="B2344" s="7" t="s">
        <v>800</v>
      </c>
      <c r="C2344" s="7" t="s">
        <v>3252</v>
      </c>
      <c r="D2344" s="5">
        <v>5</v>
      </c>
      <c r="E2344" s="7" t="str">
        <f>_xlfn.XLOOKUP(B2344,Customers!A2344:A3343,Customers!B2344:B3343,"Customer Not Found",0)</f>
        <v>Customer Not Found</v>
      </c>
      <c r="F2344" s="7" t="str">
        <f>_xlfn.XLOOKUP(Orders!B2344,Customers!A2344:A3343,Customers!C2344:C3343,"Country not Found",0)</f>
        <v>Country not Found</v>
      </c>
      <c r="G2344" s="7" t="str">
        <f>_xlfn.XLOOKUP(C2344,Products!A2344:A2843,Products!B2344:B2843,"Product Missing",0)</f>
        <v>Product Missing</v>
      </c>
      <c r="H2344" s="7" t="str">
        <f>_xlfn.XLOOKUP(C2344,Products!A2344:A2843,Products!C2344:C2843,"Category Missing",0)</f>
        <v>Category Missing</v>
      </c>
      <c r="I2344" s="11" t="str">
        <f>_xlfn.XLOOKUP(Orders!C2344,Products!A2344:A2843,Products!D2344:D2843,"Price Missing",0)</f>
        <v>Price Missing</v>
      </c>
      <c r="J2344" s="19">
        <f t="shared" si="36"/>
        <v>0</v>
      </c>
    </row>
    <row r="2345" spans="1:10" x14ac:dyDescent="0.35">
      <c r="A2345" s="4" t="s">
        <v>6365</v>
      </c>
      <c r="B2345" s="7" t="s">
        <v>1328</v>
      </c>
      <c r="C2345" s="7" t="s">
        <v>3710</v>
      </c>
      <c r="D2345" s="5">
        <v>1</v>
      </c>
      <c r="E2345" s="7" t="str">
        <f>_xlfn.XLOOKUP(B2345,Customers!A2345:A3344,Customers!B2345:B3344,"Customer Not Found",0)</f>
        <v>Customer Not Found</v>
      </c>
      <c r="F2345" s="7" t="str">
        <f>_xlfn.XLOOKUP(Orders!B2345,Customers!A2345:A3344,Customers!C2345:C3344,"Country not Found",0)</f>
        <v>Country not Found</v>
      </c>
      <c r="G2345" s="7" t="str">
        <f>_xlfn.XLOOKUP(C2345,Products!A2345:A2844,Products!B2345:B2844,"Product Missing",0)</f>
        <v>Product Missing</v>
      </c>
      <c r="H2345" s="7" t="str">
        <f>_xlfn.XLOOKUP(C2345,Products!A2345:A2844,Products!C2345:C2844,"Category Missing",0)</f>
        <v>Category Missing</v>
      </c>
      <c r="I2345" s="11" t="str">
        <f>_xlfn.XLOOKUP(Orders!C2345,Products!A2345:A2844,Products!D2345:D2844,"Price Missing",0)</f>
        <v>Price Missing</v>
      </c>
      <c r="J2345" s="19">
        <f t="shared" si="36"/>
        <v>0</v>
      </c>
    </row>
    <row r="2346" spans="1:10" x14ac:dyDescent="0.35">
      <c r="A2346" s="4" t="s">
        <v>6366</v>
      </c>
      <c r="B2346" s="7" t="s">
        <v>2369</v>
      </c>
      <c r="C2346" s="7" t="s">
        <v>3021</v>
      </c>
      <c r="D2346" s="5">
        <v>1</v>
      </c>
      <c r="E2346" s="7" t="str">
        <f>_xlfn.XLOOKUP(B2346,Customers!A2346:A3345,Customers!B2346:B3345,"Customer Not Found",0)</f>
        <v>Customer Not Found</v>
      </c>
      <c r="F2346" s="7" t="str">
        <f>_xlfn.XLOOKUP(Orders!B2346,Customers!A2346:A3345,Customers!C2346:C3345,"Country not Found",0)</f>
        <v>Country not Found</v>
      </c>
      <c r="G2346" s="7" t="str">
        <f>_xlfn.XLOOKUP(C2346,Products!A2346:A2845,Products!B2346:B2845,"Product Missing",0)</f>
        <v>Product Missing</v>
      </c>
      <c r="H2346" s="7" t="str">
        <f>_xlfn.XLOOKUP(C2346,Products!A2346:A2845,Products!C2346:C2845,"Category Missing",0)</f>
        <v>Category Missing</v>
      </c>
      <c r="I2346" s="11" t="str">
        <f>_xlfn.XLOOKUP(Orders!C2346,Products!A2346:A2845,Products!D2346:D2845,"Price Missing",0)</f>
        <v>Price Missing</v>
      </c>
      <c r="J2346" s="19">
        <f t="shared" si="36"/>
        <v>0</v>
      </c>
    </row>
    <row r="2347" spans="1:10" x14ac:dyDescent="0.35">
      <c r="A2347" s="4" t="s">
        <v>6367</v>
      </c>
      <c r="B2347" s="7" t="s">
        <v>728</v>
      </c>
      <c r="C2347" s="7" t="s">
        <v>3532</v>
      </c>
      <c r="D2347" s="5">
        <v>4</v>
      </c>
      <c r="E2347" s="7" t="str">
        <f>_xlfn.XLOOKUP(B2347,Customers!A2347:A3346,Customers!B2347:B3346,"Customer Not Found",0)</f>
        <v>Customer Not Found</v>
      </c>
      <c r="F2347" s="7" t="str">
        <f>_xlfn.XLOOKUP(Orders!B2347,Customers!A2347:A3346,Customers!C2347:C3346,"Country not Found",0)</f>
        <v>Country not Found</v>
      </c>
      <c r="G2347" s="7" t="str">
        <f>_xlfn.XLOOKUP(C2347,Products!A2347:A2846,Products!B2347:B2846,"Product Missing",0)</f>
        <v>Product Missing</v>
      </c>
      <c r="H2347" s="7" t="str">
        <f>_xlfn.XLOOKUP(C2347,Products!A2347:A2846,Products!C2347:C2846,"Category Missing",0)</f>
        <v>Category Missing</v>
      </c>
      <c r="I2347" s="11" t="str">
        <f>_xlfn.XLOOKUP(Orders!C2347,Products!A2347:A2846,Products!D2347:D2846,"Price Missing",0)</f>
        <v>Price Missing</v>
      </c>
      <c r="J2347" s="19">
        <f t="shared" si="36"/>
        <v>0</v>
      </c>
    </row>
    <row r="2348" spans="1:10" x14ac:dyDescent="0.35">
      <c r="A2348" s="4" t="s">
        <v>6368</v>
      </c>
      <c r="B2348" s="7" t="s">
        <v>2621</v>
      </c>
      <c r="C2348" s="7" t="s">
        <v>3728</v>
      </c>
      <c r="D2348" s="5">
        <v>3</v>
      </c>
      <c r="E2348" s="7" t="str">
        <f>_xlfn.XLOOKUP(B2348,Customers!A2348:A3347,Customers!B2348:B3347,"Customer Not Found",0)</f>
        <v>Customer Not Found</v>
      </c>
      <c r="F2348" s="7" t="str">
        <f>_xlfn.XLOOKUP(Orders!B2348,Customers!A2348:A3347,Customers!C2348:C3347,"Country not Found",0)</f>
        <v>Country not Found</v>
      </c>
      <c r="G2348" s="7" t="str">
        <f>_xlfn.XLOOKUP(C2348,Products!A2348:A2847,Products!B2348:B2847,"Product Missing",0)</f>
        <v>Product Missing</v>
      </c>
      <c r="H2348" s="7" t="str">
        <f>_xlfn.XLOOKUP(C2348,Products!A2348:A2847,Products!C2348:C2847,"Category Missing",0)</f>
        <v>Category Missing</v>
      </c>
      <c r="I2348" s="11" t="str">
        <f>_xlfn.XLOOKUP(Orders!C2348,Products!A2348:A2847,Products!D2348:D2847,"Price Missing",0)</f>
        <v>Price Missing</v>
      </c>
      <c r="J2348" s="19">
        <f t="shared" si="36"/>
        <v>0</v>
      </c>
    </row>
    <row r="2349" spans="1:10" x14ac:dyDescent="0.35">
      <c r="A2349" s="4" t="s">
        <v>6369</v>
      </c>
      <c r="B2349" s="7" t="s">
        <v>1475</v>
      </c>
      <c r="C2349" s="7" t="s">
        <v>3532</v>
      </c>
      <c r="D2349" s="5">
        <v>1</v>
      </c>
      <c r="E2349" s="7" t="str">
        <f>_xlfn.XLOOKUP(B2349,Customers!A2349:A3348,Customers!B2349:B3348,"Customer Not Found",0)</f>
        <v>Customer Not Found</v>
      </c>
      <c r="F2349" s="7" t="str">
        <f>_xlfn.XLOOKUP(Orders!B2349,Customers!A2349:A3348,Customers!C2349:C3348,"Country not Found",0)</f>
        <v>Country not Found</v>
      </c>
      <c r="G2349" s="7" t="str">
        <f>_xlfn.XLOOKUP(C2349,Products!A2349:A2848,Products!B2349:B2848,"Product Missing",0)</f>
        <v>Product Missing</v>
      </c>
      <c r="H2349" s="7" t="str">
        <f>_xlfn.XLOOKUP(C2349,Products!A2349:A2848,Products!C2349:C2848,"Category Missing",0)</f>
        <v>Category Missing</v>
      </c>
      <c r="I2349" s="11" t="str">
        <f>_xlfn.XLOOKUP(Orders!C2349,Products!A2349:A2848,Products!D2349:D2848,"Price Missing",0)</f>
        <v>Price Missing</v>
      </c>
      <c r="J2349" s="19">
        <f t="shared" si="36"/>
        <v>0</v>
      </c>
    </row>
    <row r="2350" spans="1:10" x14ac:dyDescent="0.35">
      <c r="A2350" s="4" t="s">
        <v>6370</v>
      </c>
      <c r="B2350" s="7" t="s">
        <v>1445</v>
      </c>
      <c r="C2350" s="7" t="s">
        <v>3640</v>
      </c>
      <c r="D2350" s="5">
        <v>5</v>
      </c>
      <c r="E2350" s="7" t="str">
        <f>_xlfn.XLOOKUP(B2350,Customers!A2350:A3349,Customers!B2350:B3349,"Customer Not Found",0)</f>
        <v>Customer Not Found</v>
      </c>
      <c r="F2350" s="7" t="str">
        <f>_xlfn.XLOOKUP(Orders!B2350,Customers!A2350:A3349,Customers!C2350:C3349,"Country not Found",0)</f>
        <v>Country not Found</v>
      </c>
      <c r="G2350" s="7" t="str">
        <f>_xlfn.XLOOKUP(C2350,Products!A2350:A2849,Products!B2350:B2849,"Product Missing",0)</f>
        <v>Product Missing</v>
      </c>
      <c r="H2350" s="7" t="str">
        <f>_xlfn.XLOOKUP(C2350,Products!A2350:A2849,Products!C2350:C2849,"Category Missing",0)</f>
        <v>Category Missing</v>
      </c>
      <c r="I2350" s="11" t="str">
        <f>_xlfn.XLOOKUP(Orders!C2350,Products!A2350:A2849,Products!D2350:D2849,"Price Missing",0)</f>
        <v>Price Missing</v>
      </c>
      <c r="J2350" s="19">
        <f t="shared" si="36"/>
        <v>0</v>
      </c>
    </row>
    <row r="2351" spans="1:10" x14ac:dyDescent="0.35">
      <c r="A2351" s="4" t="s">
        <v>6371</v>
      </c>
      <c r="B2351" s="7" t="s">
        <v>710</v>
      </c>
      <c r="C2351" s="7" t="s">
        <v>3444</v>
      </c>
      <c r="D2351" s="5">
        <v>6</v>
      </c>
      <c r="E2351" s="7" t="str">
        <f>_xlfn.XLOOKUP(B2351,Customers!A2351:A3350,Customers!B2351:B3350,"Customer Not Found",0)</f>
        <v>Customer Not Found</v>
      </c>
      <c r="F2351" s="7" t="str">
        <f>_xlfn.XLOOKUP(Orders!B2351,Customers!A2351:A3350,Customers!C2351:C3350,"Country not Found",0)</f>
        <v>Country not Found</v>
      </c>
      <c r="G2351" s="7" t="str">
        <f>_xlfn.XLOOKUP(C2351,Products!A2351:A2850,Products!B2351:B2850,"Product Missing",0)</f>
        <v>Product Missing</v>
      </c>
      <c r="H2351" s="7" t="str">
        <f>_xlfn.XLOOKUP(C2351,Products!A2351:A2850,Products!C2351:C2850,"Category Missing",0)</f>
        <v>Category Missing</v>
      </c>
      <c r="I2351" s="11" t="str">
        <f>_xlfn.XLOOKUP(Orders!C2351,Products!A2351:A2850,Products!D2351:D2850,"Price Missing",0)</f>
        <v>Price Missing</v>
      </c>
      <c r="J2351" s="19">
        <f t="shared" si="36"/>
        <v>0</v>
      </c>
    </row>
    <row r="2352" spans="1:10" x14ac:dyDescent="0.35">
      <c r="A2352" s="4" t="s">
        <v>6372</v>
      </c>
      <c r="B2352" s="7" t="s">
        <v>1196</v>
      </c>
      <c r="C2352" s="7" t="s">
        <v>3428</v>
      </c>
      <c r="D2352" s="5">
        <v>2</v>
      </c>
      <c r="E2352" s="7" t="str">
        <f>_xlfn.XLOOKUP(B2352,Customers!A2352:A3351,Customers!B2352:B3351,"Customer Not Found",0)</f>
        <v>Customer Not Found</v>
      </c>
      <c r="F2352" s="7" t="str">
        <f>_xlfn.XLOOKUP(Orders!B2352,Customers!A2352:A3351,Customers!C2352:C3351,"Country not Found",0)</f>
        <v>Country not Found</v>
      </c>
      <c r="G2352" s="7" t="str">
        <f>_xlfn.XLOOKUP(C2352,Products!A2352:A2851,Products!B2352:B2851,"Product Missing",0)</f>
        <v>Product Missing</v>
      </c>
      <c r="H2352" s="7" t="str">
        <f>_xlfn.XLOOKUP(C2352,Products!A2352:A2851,Products!C2352:C2851,"Category Missing",0)</f>
        <v>Category Missing</v>
      </c>
      <c r="I2352" s="11" t="str">
        <f>_xlfn.XLOOKUP(Orders!C2352,Products!A2352:A2851,Products!D2352:D2851,"Price Missing",0)</f>
        <v>Price Missing</v>
      </c>
      <c r="J2352" s="19">
        <f t="shared" si="36"/>
        <v>0</v>
      </c>
    </row>
    <row r="2353" spans="1:10" x14ac:dyDescent="0.35">
      <c r="A2353" s="4" t="s">
        <v>6373</v>
      </c>
      <c r="B2353" s="7" t="s">
        <v>1346</v>
      </c>
      <c r="C2353" s="7" t="s">
        <v>3766</v>
      </c>
      <c r="D2353" s="5">
        <v>7</v>
      </c>
      <c r="E2353" s="7" t="str">
        <f>_xlfn.XLOOKUP(B2353,Customers!A2353:A3352,Customers!B2353:B3352,"Customer Not Found",0)</f>
        <v>Customer Not Found</v>
      </c>
      <c r="F2353" s="7" t="str">
        <f>_xlfn.XLOOKUP(Orders!B2353,Customers!A2353:A3352,Customers!C2353:C3352,"Country not Found",0)</f>
        <v>Country not Found</v>
      </c>
      <c r="G2353" s="7" t="str">
        <f>_xlfn.XLOOKUP(C2353,Products!A2353:A2852,Products!B2353:B2852,"Product Missing",0)</f>
        <v>Product Missing</v>
      </c>
      <c r="H2353" s="7" t="str">
        <f>_xlfn.XLOOKUP(C2353,Products!A2353:A2852,Products!C2353:C2852,"Category Missing",0)</f>
        <v>Category Missing</v>
      </c>
      <c r="I2353" s="11" t="str">
        <f>_xlfn.XLOOKUP(Orders!C2353,Products!A2353:A2852,Products!D2353:D2852,"Price Missing",0)</f>
        <v>Price Missing</v>
      </c>
      <c r="J2353" s="19">
        <f t="shared" si="36"/>
        <v>0</v>
      </c>
    </row>
    <row r="2354" spans="1:10" x14ac:dyDescent="0.35">
      <c r="A2354" s="4" t="s">
        <v>6374</v>
      </c>
      <c r="B2354" s="7" t="s">
        <v>1604</v>
      </c>
      <c r="C2354" s="7" t="s">
        <v>3770</v>
      </c>
      <c r="D2354" s="5">
        <v>3</v>
      </c>
      <c r="E2354" s="7" t="str">
        <f>_xlfn.XLOOKUP(B2354,Customers!A2354:A3353,Customers!B2354:B3353,"Customer Not Found",0)</f>
        <v>Customer Not Found</v>
      </c>
      <c r="F2354" s="7" t="str">
        <f>_xlfn.XLOOKUP(Orders!B2354,Customers!A2354:A3353,Customers!C2354:C3353,"Country not Found",0)</f>
        <v>Country not Found</v>
      </c>
      <c r="G2354" s="7" t="str">
        <f>_xlfn.XLOOKUP(C2354,Products!A2354:A2853,Products!B2354:B2853,"Product Missing",0)</f>
        <v>Product Missing</v>
      </c>
      <c r="H2354" s="7" t="str">
        <f>_xlfn.XLOOKUP(C2354,Products!A2354:A2853,Products!C2354:C2853,"Category Missing",0)</f>
        <v>Category Missing</v>
      </c>
      <c r="I2354" s="11" t="str">
        <f>_xlfn.XLOOKUP(Orders!C2354,Products!A2354:A2853,Products!D2354:D2853,"Price Missing",0)</f>
        <v>Price Missing</v>
      </c>
      <c r="J2354" s="19">
        <f t="shared" si="36"/>
        <v>0</v>
      </c>
    </row>
    <row r="2355" spans="1:10" x14ac:dyDescent="0.35">
      <c r="A2355" s="4" t="s">
        <v>6375</v>
      </c>
      <c r="B2355" s="7" t="s">
        <v>155</v>
      </c>
      <c r="C2355" s="7" t="s">
        <v>3700</v>
      </c>
      <c r="D2355" s="5">
        <v>5</v>
      </c>
      <c r="E2355" s="7" t="str">
        <f>_xlfn.XLOOKUP(B2355,Customers!A2355:A3354,Customers!B2355:B3354,"Customer Not Found",0)</f>
        <v>Customer Not Found</v>
      </c>
      <c r="F2355" s="7" t="str">
        <f>_xlfn.XLOOKUP(Orders!B2355,Customers!A2355:A3354,Customers!C2355:C3354,"Country not Found",0)</f>
        <v>Country not Found</v>
      </c>
      <c r="G2355" s="7" t="str">
        <f>_xlfn.XLOOKUP(C2355,Products!A2355:A2854,Products!B2355:B2854,"Product Missing",0)</f>
        <v>Product Missing</v>
      </c>
      <c r="H2355" s="7" t="str">
        <f>_xlfn.XLOOKUP(C2355,Products!A2355:A2854,Products!C2355:C2854,"Category Missing",0)</f>
        <v>Category Missing</v>
      </c>
      <c r="I2355" s="11" t="str">
        <f>_xlfn.XLOOKUP(Orders!C2355,Products!A2355:A2854,Products!D2355:D2854,"Price Missing",0)</f>
        <v>Price Missing</v>
      </c>
      <c r="J2355" s="19">
        <f t="shared" si="36"/>
        <v>0</v>
      </c>
    </row>
    <row r="2356" spans="1:10" x14ac:dyDescent="0.35">
      <c r="A2356" s="4" t="s">
        <v>6376</v>
      </c>
      <c r="B2356" s="7" t="s">
        <v>1175</v>
      </c>
      <c r="C2356" s="7" t="s">
        <v>3442</v>
      </c>
      <c r="D2356" s="5">
        <v>6</v>
      </c>
      <c r="E2356" s="7" t="str">
        <f>_xlfn.XLOOKUP(B2356,Customers!A2356:A3355,Customers!B2356:B3355,"Customer Not Found",0)</f>
        <v>Customer Not Found</v>
      </c>
      <c r="F2356" s="7" t="str">
        <f>_xlfn.XLOOKUP(Orders!B2356,Customers!A2356:A3355,Customers!C2356:C3355,"Country not Found",0)</f>
        <v>Country not Found</v>
      </c>
      <c r="G2356" s="7" t="str">
        <f>_xlfn.XLOOKUP(C2356,Products!A2356:A2855,Products!B2356:B2855,"Product Missing",0)</f>
        <v>Product Missing</v>
      </c>
      <c r="H2356" s="7" t="str">
        <f>_xlfn.XLOOKUP(C2356,Products!A2356:A2855,Products!C2356:C2855,"Category Missing",0)</f>
        <v>Category Missing</v>
      </c>
      <c r="I2356" s="11" t="str">
        <f>_xlfn.XLOOKUP(Orders!C2356,Products!A2356:A2855,Products!D2356:D2855,"Price Missing",0)</f>
        <v>Price Missing</v>
      </c>
      <c r="J2356" s="19">
        <f t="shared" si="36"/>
        <v>0</v>
      </c>
    </row>
    <row r="2357" spans="1:10" x14ac:dyDescent="0.35">
      <c r="A2357" s="4" t="s">
        <v>6377</v>
      </c>
      <c r="B2357" s="7" t="s">
        <v>1112</v>
      </c>
      <c r="C2357" s="7" t="s">
        <v>3362</v>
      </c>
      <c r="D2357" s="5">
        <v>2</v>
      </c>
      <c r="E2357" s="7" t="str">
        <f>_xlfn.XLOOKUP(B2357,Customers!A2357:A3356,Customers!B2357:B3356,"Customer Not Found",0)</f>
        <v>Customer Not Found</v>
      </c>
      <c r="F2357" s="7" t="str">
        <f>_xlfn.XLOOKUP(Orders!B2357,Customers!A2357:A3356,Customers!C2357:C3356,"Country not Found",0)</f>
        <v>Country not Found</v>
      </c>
      <c r="G2357" s="7" t="str">
        <f>_xlfn.XLOOKUP(C2357,Products!A2357:A2856,Products!B2357:B2856,"Product Missing",0)</f>
        <v>Product Missing</v>
      </c>
      <c r="H2357" s="7" t="str">
        <f>_xlfn.XLOOKUP(C2357,Products!A2357:A2856,Products!C2357:C2856,"Category Missing",0)</f>
        <v>Category Missing</v>
      </c>
      <c r="I2357" s="11" t="str">
        <f>_xlfn.XLOOKUP(Orders!C2357,Products!A2357:A2856,Products!D2357:D2856,"Price Missing",0)</f>
        <v>Price Missing</v>
      </c>
      <c r="J2357" s="19">
        <f t="shared" si="36"/>
        <v>0</v>
      </c>
    </row>
    <row r="2358" spans="1:10" x14ac:dyDescent="0.35">
      <c r="A2358" s="4" t="s">
        <v>6378</v>
      </c>
      <c r="B2358" s="7" t="s">
        <v>287</v>
      </c>
      <c r="C2358" s="7" t="s">
        <v>3372</v>
      </c>
      <c r="D2358" s="5">
        <v>8</v>
      </c>
      <c r="E2358" s="7" t="str">
        <f>_xlfn.XLOOKUP(B2358,Customers!A2358:A3357,Customers!B2358:B3357,"Customer Not Found",0)</f>
        <v>Customer Not Found</v>
      </c>
      <c r="F2358" s="7" t="str">
        <f>_xlfn.XLOOKUP(Orders!B2358,Customers!A2358:A3357,Customers!C2358:C3357,"Country not Found",0)</f>
        <v>Country not Found</v>
      </c>
      <c r="G2358" s="7" t="str">
        <f>_xlfn.XLOOKUP(C2358,Products!A2358:A2857,Products!B2358:B2857,"Product Missing",0)</f>
        <v>Product Missing</v>
      </c>
      <c r="H2358" s="7" t="str">
        <f>_xlfn.XLOOKUP(C2358,Products!A2358:A2857,Products!C2358:C2857,"Category Missing",0)</f>
        <v>Category Missing</v>
      </c>
      <c r="I2358" s="11" t="str">
        <f>_xlfn.XLOOKUP(Orders!C2358,Products!A2358:A2857,Products!D2358:D2857,"Price Missing",0)</f>
        <v>Price Missing</v>
      </c>
      <c r="J2358" s="19">
        <f t="shared" si="36"/>
        <v>0</v>
      </c>
    </row>
    <row r="2359" spans="1:10" x14ac:dyDescent="0.35">
      <c r="A2359" s="4" t="s">
        <v>6379</v>
      </c>
      <c r="B2359" s="7" t="s">
        <v>989</v>
      </c>
      <c r="C2359" s="7" t="s">
        <v>3568</v>
      </c>
      <c r="D2359" s="5">
        <v>1</v>
      </c>
      <c r="E2359" s="7" t="str">
        <f>_xlfn.XLOOKUP(B2359,Customers!A2359:A3358,Customers!B2359:B3358,"Customer Not Found",0)</f>
        <v>Customer Not Found</v>
      </c>
      <c r="F2359" s="7" t="str">
        <f>_xlfn.XLOOKUP(Orders!B2359,Customers!A2359:A3358,Customers!C2359:C3358,"Country not Found",0)</f>
        <v>Country not Found</v>
      </c>
      <c r="G2359" s="7" t="str">
        <f>_xlfn.XLOOKUP(C2359,Products!A2359:A2858,Products!B2359:B2858,"Product Missing",0)</f>
        <v>Product Missing</v>
      </c>
      <c r="H2359" s="7" t="str">
        <f>_xlfn.XLOOKUP(C2359,Products!A2359:A2858,Products!C2359:C2858,"Category Missing",0)</f>
        <v>Category Missing</v>
      </c>
      <c r="I2359" s="11" t="str">
        <f>_xlfn.XLOOKUP(Orders!C2359,Products!A2359:A2858,Products!D2359:D2858,"Price Missing",0)</f>
        <v>Price Missing</v>
      </c>
      <c r="J2359" s="19">
        <f t="shared" si="36"/>
        <v>0</v>
      </c>
    </row>
    <row r="2360" spans="1:10" x14ac:dyDescent="0.35">
      <c r="A2360" s="4" t="s">
        <v>6380</v>
      </c>
      <c r="B2360" s="7" t="s">
        <v>356</v>
      </c>
      <c r="C2360" s="7" t="s">
        <v>3912</v>
      </c>
      <c r="D2360" s="5">
        <v>3</v>
      </c>
      <c r="E2360" s="7" t="str">
        <f>_xlfn.XLOOKUP(B2360,Customers!A2360:A3359,Customers!B2360:B3359,"Customer Not Found",0)</f>
        <v>Customer Not Found</v>
      </c>
      <c r="F2360" s="7" t="str">
        <f>_xlfn.XLOOKUP(Orders!B2360,Customers!A2360:A3359,Customers!C2360:C3359,"Country not Found",0)</f>
        <v>Country not Found</v>
      </c>
      <c r="G2360" s="7" t="str">
        <f>_xlfn.XLOOKUP(C2360,Products!A2360:A2859,Products!B2360:B2859,"Product Missing",0)</f>
        <v>Product Missing</v>
      </c>
      <c r="H2360" s="7" t="str">
        <f>_xlfn.XLOOKUP(C2360,Products!A2360:A2859,Products!C2360:C2859,"Category Missing",0)</f>
        <v>Category Missing</v>
      </c>
      <c r="I2360" s="11" t="str">
        <f>_xlfn.XLOOKUP(Orders!C2360,Products!A2360:A2859,Products!D2360:D2859,"Price Missing",0)</f>
        <v>Price Missing</v>
      </c>
      <c r="J2360" s="19">
        <f t="shared" si="36"/>
        <v>0</v>
      </c>
    </row>
    <row r="2361" spans="1:10" x14ac:dyDescent="0.35">
      <c r="A2361" s="4" t="s">
        <v>6381</v>
      </c>
      <c r="B2361" s="7" t="s">
        <v>980</v>
      </c>
      <c r="C2361" s="7" t="s">
        <v>3534</v>
      </c>
      <c r="D2361" s="5">
        <v>9</v>
      </c>
      <c r="E2361" s="7" t="str">
        <f>_xlfn.XLOOKUP(B2361,Customers!A2361:A3360,Customers!B2361:B3360,"Customer Not Found",0)</f>
        <v>Customer Not Found</v>
      </c>
      <c r="F2361" s="7" t="str">
        <f>_xlfn.XLOOKUP(Orders!B2361,Customers!A2361:A3360,Customers!C2361:C3360,"Country not Found",0)</f>
        <v>Country not Found</v>
      </c>
      <c r="G2361" s="7" t="str">
        <f>_xlfn.XLOOKUP(C2361,Products!A2361:A2860,Products!B2361:B2860,"Product Missing",0)</f>
        <v>Product Missing</v>
      </c>
      <c r="H2361" s="7" t="str">
        <f>_xlfn.XLOOKUP(C2361,Products!A2361:A2860,Products!C2361:C2860,"Category Missing",0)</f>
        <v>Category Missing</v>
      </c>
      <c r="I2361" s="11" t="str">
        <f>_xlfn.XLOOKUP(Orders!C2361,Products!A2361:A2860,Products!D2361:D2860,"Price Missing",0)</f>
        <v>Price Missing</v>
      </c>
      <c r="J2361" s="19">
        <f t="shared" si="36"/>
        <v>0</v>
      </c>
    </row>
    <row r="2362" spans="1:10" x14ac:dyDescent="0.35">
      <c r="A2362" s="4" t="s">
        <v>6382</v>
      </c>
      <c r="B2362" s="7" t="s">
        <v>281</v>
      </c>
      <c r="C2362" s="7" t="s">
        <v>3972</v>
      </c>
      <c r="D2362" s="5">
        <v>10</v>
      </c>
      <c r="E2362" s="7" t="str">
        <f>_xlfn.XLOOKUP(B2362,Customers!A2362:A3361,Customers!B2362:B3361,"Customer Not Found",0)</f>
        <v>Customer Not Found</v>
      </c>
      <c r="F2362" s="7" t="str">
        <f>_xlfn.XLOOKUP(Orders!B2362,Customers!A2362:A3361,Customers!C2362:C3361,"Country not Found",0)</f>
        <v>Country not Found</v>
      </c>
      <c r="G2362" s="7" t="str">
        <f>_xlfn.XLOOKUP(C2362,Products!A2362:A2861,Products!B2362:B2861,"Product Missing",0)</f>
        <v>Product Missing</v>
      </c>
      <c r="H2362" s="7" t="str">
        <f>_xlfn.XLOOKUP(C2362,Products!A2362:A2861,Products!C2362:C2861,"Category Missing",0)</f>
        <v>Category Missing</v>
      </c>
      <c r="I2362" s="11" t="str">
        <f>_xlfn.XLOOKUP(Orders!C2362,Products!A2362:A2861,Products!D2362:D2861,"Price Missing",0)</f>
        <v>Price Missing</v>
      </c>
      <c r="J2362" s="19">
        <f t="shared" si="36"/>
        <v>0</v>
      </c>
    </row>
    <row r="2363" spans="1:10" x14ac:dyDescent="0.35">
      <c r="A2363" s="4" t="s">
        <v>6383</v>
      </c>
      <c r="B2363" s="7" t="s">
        <v>2825</v>
      </c>
      <c r="C2363" s="7" t="s">
        <v>3184</v>
      </c>
      <c r="D2363" s="5">
        <v>3</v>
      </c>
      <c r="E2363" s="7" t="str">
        <f>_xlfn.XLOOKUP(B2363,Customers!A2363:A3362,Customers!B2363:B3362,"Customer Not Found",0)</f>
        <v>Customer Not Found</v>
      </c>
      <c r="F2363" s="7" t="str">
        <f>_xlfn.XLOOKUP(Orders!B2363,Customers!A2363:A3362,Customers!C2363:C3362,"Country not Found",0)</f>
        <v>Country not Found</v>
      </c>
      <c r="G2363" s="7" t="str">
        <f>_xlfn.XLOOKUP(C2363,Products!A2363:A2862,Products!B2363:B2862,"Product Missing",0)</f>
        <v>Product Missing</v>
      </c>
      <c r="H2363" s="7" t="str">
        <f>_xlfn.XLOOKUP(C2363,Products!A2363:A2862,Products!C2363:C2862,"Category Missing",0)</f>
        <v>Category Missing</v>
      </c>
      <c r="I2363" s="11" t="str">
        <f>_xlfn.XLOOKUP(Orders!C2363,Products!A2363:A2862,Products!D2363:D2862,"Price Missing",0)</f>
        <v>Price Missing</v>
      </c>
      <c r="J2363" s="19">
        <f t="shared" si="36"/>
        <v>0</v>
      </c>
    </row>
    <row r="2364" spans="1:10" x14ac:dyDescent="0.35">
      <c r="A2364" s="4" t="s">
        <v>6384</v>
      </c>
      <c r="B2364" s="7" t="s">
        <v>2423</v>
      </c>
      <c r="C2364" s="7" t="s">
        <v>3462</v>
      </c>
      <c r="D2364" s="5">
        <v>2</v>
      </c>
      <c r="E2364" s="7" t="str">
        <f>_xlfn.XLOOKUP(B2364,Customers!A2364:A3363,Customers!B2364:B3363,"Customer Not Found",0)</f>
        <v>Customer Not Found</v>
      </c>
      <c r="F2364" s="7" t="str">
        <f>_xlfn.XLOOKUP(Orders!B2364,Customers!A2364:A3363,Customers!C2364:C3363,"Country not Found",0)</f>
        <v>Country not Found</v>
      </c>
      <c r="G2364" s="7" t="str">
        <f>_xlfn.XLOOKUP(C2364,Products!A2364:A2863,Products!B2364:B2863,"Product Missing",0)</f>
        <v>Product Missing</v>
      </c>
      <c r="H2364" s="7" t="str">
        <f>_xlfn.XLOOKUP(C2364,Products!A2364:A2863,Products!C2364:C2863,"Category Missing",0)</f>
        <v>Category Missing</v>
      </c>
      <c r="I2364" s="11" t="str">
        <f>_xlfn.XLOOKUP(Orders!C2364,Products!A2364:A2863,Products!D2364:D2863,"Price Missing",0)</f>
        <v>Price Missing</v>
      </c>
      <c r="J2364" s="19">
        <f t="shared" si="36"/>
        <v>0</v>
      </c>
    </row>
    <row r="2365" spans="1:10" x14ac:dyDescent="0.35">
      <c r="A2365" s="4" t="s">
        <v>6385</v>
      </c>
      <c r="B2365" s="7" t="s">
        <v>473</v>
      </c>
      <c r="C2365" s="7" t="s">
        <v>3748</v>
      </c>
      <c r="D2365" s="5">
        <v>6</v>
      </c>
      <c r="E2365" s="7" t="str">
        <f>_xlfn.XLOOKUP(B2365,Customers!A2365:A3364,Customers!B2365:B3364,"Customer Not Found",0)</f>
        <v>Customer Not Found</v>
      </c>
      <c r="F2365" s="7" t="str">
        <f>_xlfn.XLOOKUP(Orders!B2365,Customers!A2365:A3364,Customers!C2365:C3364,"Country not Found",0)</f>
        <v>Country not Found</v>
      </c>
      <c r="G2365" s="7" t="str">
        <f>_xlfn.XLOOKUP(C2365,Products!A2365:A2864,Products!B2365:B2864,"Product Missing",0)</f>
        <v>Product Missing</v>
      </c>
      <c r="H2365" s="7" t="str">
        <f>_xlfn.XLOOKUP(C2365,Products!A2365:A2864,Products!C2365:C2864,"Category Missing",0)</f>
        <v>Category Missing</v>
      </c>
      <c r="I2365" s="11" t="str">
        <f>_xlfn.XLOOKUP(Orders!C2365,Products!A2365:A2864,Products!D2365:D2864,"Price Missing",0)</f>
        <v>Price Missing</v>
      </c>
      <c r="J2365" s="19">
        <f t="shared" si="36"/>
        <v>0</v>
      </c>
    </row>
    <row r="2366" spans="1:10" x14ac:dyDescent="0.35">
      <c r="A2366" s="4" t="s">
        <v>6386</v>
      </c>
      <c r="B2366" s="7" t="s">
        <v>1370</v>
      </c>
      <c r="C2366" s="7" t="s">
        <v>3560</v>
      </c>
      <c r="D2366" s="5">
        <v>1</v>
      </c>
      <c r="E2366" s="7" t="str">
        <f>_xlfn.XLOOKUP(B2366,Customers!A2366:A3365,Customers!B2366:B3365,"Customer Not Found",0)</f>
        <v>Customer Not Found</v>
      </c>
      <c r="F2366" s="7" t="str">
        <f>_xlfn.XLOOKUP(Orders!B2366,Customers!A2366:A3365,Customers!C2366:C3365,"Country not Found",0)</f>
        <v>Country not Found</v>
      </c>
      <c r="G2366" s="7" t="str">
        <f>_xlfn.XLOOKUP(C2366,Products!A2366:A2865,Products!B2366:B2865,"Product Missing",0)</f>
        <v>Product Missing</v>
      </c>
      <c r="H2366" s="7" t="str">
        <f>_xlfn.XLOOKUP(C2366,Products!A2366:A2865,Products!C2366:C2865,"Category Missing",0)</f>
        <v>Category Missing</v>
      </c>
      <c r="I2366" s="11" t="str">
        <f>_xlfn.XLOOKUP(Orders!C2366,Products!A2366:A2865,Products!D2366:D2865,"Price Missing",0)</f>
        <v>Price Missing</v>
      </c>
      <c r="J2366" s="19">
        <f t="shared" si="36"/>
        <v>0</v>
      </c>
    </row>
    <row r="2367" spans="1:10" x14ac:dyDescent="0.35">
      <c r="A2367" s="4" t="s">
        <v>6387</v>
      </c>
      <c r="B2367" s="7" t="s">
        <v>377</v>
      </c>
      <c r="C2367" s="7" t="s">
        <v>3174</v>
      </c>
      <c r="D2367" s="5">
        <v>4</v>
      </c>
      <c r="E2367" s="7" t="str">
        <f>_xlfn.XLOOKUP(B2367,Customers!A2367:A3366,Customers!B2367:B3366,"Customer Not Found",0)</f>
        <v>Customer Not Found</v>
      </c>
      <c r="F2367" s="7" t="str">
        <f>_xlfn.XLOOKUP(Orders!B2367,Customers!A2367:A3366,Customers!C2367:C3366,"Country not Found",0)</f>
        <v>Country not Found</v>
      </c>
      <c r="G2367" s="7" t="str">
        <f>_xlfn.XLOOKUP(C2367,Products!A2367:A2866,Products!B2367:B2866,"Product Missing",0)</f>
        <v>Product Missing</v>
      </c>
      <c r="H2367" s="7" t="str">
        <f>_xlfn.XLOOKUP(C2367,Products!A2367:A2866,Products!C2367:C2866,"Category Missing",0)</f>
        <v>Category Missing</v>
      </c>
      <c r="I2367" s="11" t="str">
        <f>_xlfn.XLOOKUP(Orders!C2367,Products!A2367:A2866,Products!D2367:D2866,"Price Missing",0)</f>
        <v>Price Missing</v>
      </c>
      <c r="J2367" s="19">
        <f t="shared" si="36"/>
        <v>0</v>
      </c>
    </row>
    <row r="2368" spans="1:10" x14ac:dyDescent="0.35">
      <c r="A2368" s="4" t="s">
        <v>6388</v>
      </c>
      <c r="B2368" s="7" t="s">
        <v>2558</v>
      </c>
      <c r="C2368" s="7" t="s">
        <v>3306</v>
      </c>
      <c r="D2368" s="5">
        <v>2</v>
      </c>
      <c r="E2368" s="7" t="str">
        <f>_xlfn.XLOOKUP(B2368,Customers!A2368:A3367,Customers!B2368:B3367,"Customer Not Found",0)</f>
        <v>Customer Not Found</v>
      </c>
      <c r="F2368" s="7" t="str">
        <f>_xlfn.XLOOKUP(Orders!B2368,Customers!A2368:A3367,Customers!C2368:C3367,"Country not Found",0)</f>
        <v>Country not Found</v>
      </c>
      <c r="G2368" s="7" t="str">
        <f>_xlfn.XLOOKUP(C2368,Products!A2368:A2867,Products!B2368:B2867,"Product Missing",0)</f>
        <v>Product Missing</v>
      </c>
      <c r="H2368" s="7" t="str">
        <f>_xlfn.XLOOKUP(C2368,Products!A2368:A2867,Products!C2368:C2867,"Category Missing",0)</f>
        <v>Category Missing</v>
      </c>
      <c r="I2368" s="11" t="str">
        <f>_xlfn.XLOOKUP(Orders!C2368,Products!A2368:A2867,Products!D2368:D2867,"Price Missing",0)</f>
        <v>Price Missing</v>
      </c>
      <c r="J2368" s="19">
        <f t="shared" si="36"/>
        <v>0</v>
      </c>
    </row>
    <row r="2369" spans="1:10" x14ac:dyDescent="0.35">
      <c r="A2369" s="4" t="s">
        <v>6389</v>
      </c>
      <c r="B2369" s="7" t="s">
        <v>749</v>
      </c>
      <c r="C2369" s="7" t="s">
        <v>3988</v>
      </c>
      <c r="D2369" s="5">
        <v>3</v>
      </c>
      <c r="E2369" s="7" t="str">
        <f>_xlfn.XLOOKUP(B2369,Customers!A2369:A3368,Customers!B2369:B3368,"Customer Not Found",0)</f>
        <v>Customer Not Found</v>
      </c>
      <c r="F2369" s="7" t="str">
        <f>_xlfn.XLOOKUP(Orders!B2369,Customers!A2369:A3368,Customers!C2369:C3368,"Country not Found",0)</f>
        <v>Country not Found</v>
      </c>
      <c r="G2369" s="7" t="str">
        <f>_xlfn.XLOOKUP(C2369,Products!A2369:A2868,Products!B2369:B2868,"Product Missing",0)</f>
        <v>Product Missing</v>
      </c>
      <c r="H2369" s="7" t="str">
        <f>_xlfn.XLOOKUP(C2369,Products!A2369:A2868,Products!C2369:C2868,"Category Missing",0)</f>
        <v>Category Missing</v>
      </c>
      <c r="I2369" s="11" t="str">
        <f>_xlfn.XLOOKUP(Orders!C2369,Products!A2369:A2868,Products!D2369:D2868,"Price Missing",0)</f>
        <v>Price Missing</v>
      </c>
      <c r="J2369" s="19">
        <f t="shared" si="36"/>
        <v>0</v>
      </c>
    </row>
    <row r="2370" spans="1:10" x14ac:dyDescent="0.35">
      <c r="A2370" s="4" t="s">
        <v>6390</v>
      </c>
      <c r="B2370" s="7" t="s">
        <v>2423</v>
      </c>
      <c r="C2370" s="7" t="s">
        <v>3756</v>
      </c>
      <c r="D2370" s="5">
        <v>1</v>
      </c>
      <c r="E2370" s="7" t="str">
        <f>_xlfn.XLOOKUP(B2370,Customers!A2370:A3369,Customers!B2370:B3369,"Customer Not Found",0)</f>
        <v>Customer Not Found</v>
      </c>
      <c r="F2370" s="7" t="str">
        <f>_xlfn.XLOOKUP(Orders!B2370,Customers!A2370:A3369,Customers!C2370:C3369,"Country not Found",0)</f>
        <v>Country not Found</v>
      </c>
      <c r="G2370" s="7" t="str">
        <f>_xlfn.XLOOKUP(C2370,Products!A2370:A2869,Products!B2370:B2869,"Product Missing",0)</f>
        <v>Product Missing</v>
      </c>
      <c r="H2370" s="7" t="str">
        <f>_xlfn.XLOOKUP(C2370,Products!A2370:A2869,Products!C2370:C2869,"Category Missing",0)</f>
        <v>Category Missing</v>
      </c>
      <c r="I2370" s="11" t="str">
        <f>_xlfn.XLOOKUP(Orders!C2370,Products!A2370:A2869,Products!D2370:D2869,"Price Missing",0)</f>
        <v>Price Missing</v>
      </c>
      <c r="J2370" s="19">
        <f t="shared" si="36"/>
        <v>0</v>
      </c>
    </row>
    <row r="2371" spans="1:10" x14ac:dyDescent="0.35">
      <c r="A2371" s="4" t="s">
        <v>6391</v>
      </c>
      <c r="B2371" s="7" t="s">
        <v>620</v>
      </c>
      <c r="C2371" s="7" t="s">
        <v>3322</v>
      </c>
      <c r="D2371" s="5">
        <v>1</v>
      </c>
      <c r="E2371" s="7" t="str">
        <f>_xlfn.XLOOKUP(B2371,Customers!A2371:A3370,Customers!B2371:B3370,"Customer Not Found",0)</f>
        <v>Customer Not Found</v>
      </c>
      <c r="F2371" s="7" t="str">
        <f>_xlfn.XLOOKUP(Orders!B2371,Customers!A2371:A3370,Customers!C2371:C3370,"Country not Found",0)</f>
        <v>Country not Found</v>
      </c>
      <c r="G2371" s="7" t="str">
        <f>_xlfn.XLOOKUP(C2371,Products!A2371:A2870,Products!B2371:B2870,"Product Missing",0)</f>
        <v>Product Missing</v>
      </c>
      <c r="H2371" s="7" t="str">
        <f>_xlfn.XLOOKUP(C2371,Products!A2371:A2870,Products!C2371:C2870,"Category Missing",0)</f>
        <v>Category Missing</v>
      </c>
      <c r="I2371" s="11" t="str">
        <f>_xlfn.XLOOKUP(Orders!C2371,Products!A2371:A2870,Products!D2371:D2870,"Price Missing",0)</f>
        <v>Price Missing</v>
      </c>
      <c r="J2371" s="19">
        <f t="shared" ref="J2371:J2434" si="37">IFERROR(I2371*D2371,0)</f>
        <v>0</v>
      </c>
    </row>
    <row r="2372" spans="1:10" x14ac:dyDescent="0.35">
      <c r="A2372" s="4" t="s">
        <v>6392</v>
      </c>
      <c r="B2372" s="7" t="s">
        <v>2951</v>
      </c>
      <c r="C2372" s="7" t="s">
        <v>3830</v>
      </c>
      <c r="D2372" s="5">
        <v>4</v>
      </c>
      <c r="E2372" s="7" t="str">
        <f>_xlfn.XLOOKUP(B2372,Customers!A2372:A3371,Customers!B2372:B3371,"Customer Not Found",0)</f>
        <v>Customer Not Found</v>
      </c>
      <c r="F2372" s="7" t="str">
        <f>_xlfn.XLOOKUP(Orders!B2372,Customers!A2372:A3371,Customers!C2372:C3371,"Country not Found",0)</f>
        <v>Country not Found</v>
      </c>
      <c r="G2372" s="7" t="str">
        <f>_xlfn.XLOOKUP(C2372,Products!A2372:A2871,Products!B2372:B2871,"Product Missing",0)</f>
        <v>Product Missing</v>
      </c>
      <c r="H2372" s="7" t="str">
        <f>_xlfn.XLOOKUP(C2372,Products!A2372:A2871,Products!C2372:C2871,"Category Missing",0)</f>
        <v>Category Missing</v>
      </c>
      <c r="I2372" s="11" t="str">
        <f>_xlfn.XLOOKUP(Orders!C2372,Products!A2372:A2871,Products!D2372:D2871,"Price Missing",0)</f>
        <v>Price Missing</v>
      </c>
      <c r="J2372" s="19">
        <f t="shared" si="37"/>
        <v>0</v>
      </c>
    </row>
    <row r="2373" spans="1:10" x14ac:dyDescent="0.35">
      <c r="A2373" s="4" t="s">
        <v>6393</v>
      </c>
      <c r="B2373" s="7" t="s">
        <v>392</v>
      </c>
      <c r="C2373" s="7" t="s">
        <v>3970</v>
      </c>
      <c r="D2373" s="5">
        <v>6</v>
      </c>
      <c r="E2373" s="7" t="str">
        <f>_xlfn.XLOOKUP(B2373,Customers!A2373:A3372,Customers!B2373:B3372,"Customer Not Found",0)</f>
        <v>Customer Not Found</v>
      </c>
      <c r="F2373" s="7" t="str">
        <f>_xlfn.XLOOKUP(Orders!B2373,Customers!A2373:A3372,Customers!C2373:C3372,"Country not Found",0)</f>
        <v>Country not Found</v>
      </c>
      <c r="G2373" s="7" t="str">
        <f>_xlfn.XLOOKUP(C2373,Products!A2373:A2872,Products!B2373:B2872,"Product Missing",0)</f>
        <v>Product Missing</v>
      </c>
      <c r="H2373" s="7" t="str">
        <f>_xlfn.XLOOKUP(C2373,Products!A2373:A2872,Products!C2373:C2872,"Category Missing",0)</f>
        <v>Category Missing</v>
      </c>
      <c r="I2373" s="11" t="str">
        <f>_xlfn.XLOOKUP(Orders!C2373,Products!A2373:A2872,Products!D2373:D2872,"Price Missing",0)</f>
        <v>Price Missing</v>
      </c>
      <c r="J2373" s="19">
        <f t="shared" si="37"/>
        <v>0</v>
      </c>
    </row>
    <row r="2374" spans="1:10" x14ac:dyDescent="0.35">
      <c r="A2374" s="4" t="s">
        <v>6394</v>
      </c>
      <c r="B2374" s="7" t="s">
        <v>1580</v>
      </c>
      <c r="C2374" s="7" t="s">
        <v>3932</v>
      </c>
      <c r="D2374" s="5">
        <v>4</v>
      </c>
      <c r="E2374" s="7" t="str">
        <f>_xlfn.XLOOKUP(B2374,Customers!A2374:A3373,Customers!B2374:B3373,"Customer Not Found",0)</f>
        <v>Customer Not Found</v>
      </c>
      <c r="F2374" s="7" t="str">
        <f>_xlfn.XLOOKUP(Orders!B2374,Customers!A2374:A3373,Customers!C2374:C3373,"Country not Found",0)</f>
        <v>Country not Found</v>
      </c>
      <c r="G2374" s="7" t="str">
        <f>_xlfn.XLOOKUP(C2374,Products!A2374:A2873,Products!B2374:B2873,"Product Missing",0)</f>
        <v>Product Missing</v>
      </c>
      <c r="H2374" s="7" t="str">
        <f>_xlfn.XLOOKUP(C2374,Products!A2374:A2873,Products!C2374:C2873,"Category Missing",0)</f>
        <v>Category Missing</v>
      </c>
      <c r="I2374" s="11" t="str">
        <f>_xlfn.XLOOKUP(Orders!C2374,Products!A2374:A2873,Products!D2374:D2873,"Price Missing",0)</f>
        <v>Price Missing</v>
      </c>
      <c r="J2374" s="19">
        <f t="shared" si="37"/>
        <v>0</v>
      </c>
    </row>
    <row r="2375" spans="1:10" x14ac:dyDescent="0.35">
      <c r="A2375" s="4" t="s">
        <v>6395</v>
      </c>
      <c r="B2375" s="7" t="s">
        <v>2009</v>
      </c>
      <c r="C2375" s="7" t="s">
        <v>3118</v>
      </c>
      <c r="D2375" s="5">
        <v>4</v>
      </c>
      <c r="E2375" s="7" t="str">
        <f>_xlfn.XLOOKUP(B2375,Customers!A2375:A3374,Customers!B2375:B3374,"Customer Not Found",0)</f>
        <v>Customer Not Found</v>
      </c>
      <c r="F2375" s="7" t="str">
        <f>_xlfn.XLOOKUP(Orders!B2375,Customers!A2375:A3374,Customers!C2375:C3374,"Country not Found",0)</f>
        <v>Country not Found</v>
      </c>
      <c r="G2375" s="7" t="str">
        <f>_xlfn.XLOOKUP(C2375,Products!A2375:A2874,Products!B2375:B2874,"Product Missing",0)</f>
        <v>Product Missing</v>
      </c>
      <c r="H2375" s="7" t="str">
        <f>_xlfn.XLOOKUP(C2375,Products!A2375:A2874,Products!C2375:C2874,"Category Missing",0)</f>
        <v>Category Missing</v>
      </c>
      <c r="I2375" s="11" t="str">
        <f>_xlfn.XLOOKUP(Orders!C2375,Products!A2375:A2874,Products!D2375:D2874,"Price Missing",0)</f>
        <v>Price Missing</v>
      </c>
      <c r="J2375" s="19">
        <f t="shared" si="37"/>
        <v>0</v>
      </c>
    </row>
    <row r="2376" spans="1:10" x14ac:dyDescent="0.35">
      <c r="A2376" s="4" t="s">
        <v>6396</v>
      </c>
      <c r="B2376" s="7" t="s">
        <v>1139</v>
      </c>
      <c r="C2376" s="7" t="s">
        <v>3662</v>
      </c>
      <c r="D2376" s="5">
        <v>6</v>
      </c>
      <c r="E2376" s="7" t="str">
        <f>_xlfn.XLOOKUP(B2376,Customers!A2376:A3375,Customers!B2376:B3375,"Customer Not Found",0)</f>
        <v>Customer Not Found</v>
      </c>
      <c r="F2376" s="7" t="str">
        <f>_xlfn.XLOOKUP(Orders!B2376,Customers!A2376:A3375,Customers!C2376:C3375,"Country not Found",0)</f>
        <v>Country not Found</v>
      </c>
      <c r="G2376" s="7" t="str">
        <f>_xlfn.XLOOKUP(C2376,Products!A2376:A2875,Products!B2376:B2875,"Product Missing",0)</f>
        <v>Product Missing</v>
      </c>
      <c r="H2376" s="7" t="str">
        <f>_xlfn.XLOOKUP(C2376,Products!A2376:A2875,Products!C2376:C2875,"Category Missing",0)</f>
        <v>Category Missing</v>
      </c>
      <c r="I2376" s="11" t="str">
        <f>_xlfn.XLOOKUP(Orders!C2376,Products!A2376:A2875,Products!D2376:D2875,"Price Missing",0)</f>
        <v>Price Missing</v>
      </c>
      <c r="J2376" s="19">
        <f t="shared" si="37"/>
        <v>0</v>
      </c>
    </row>
    <row r="2377" spans="1:10" x14ac:dyDescent="0.35">
      <c r="A2377" s="4" t="s">
        <v>6397</v>
      </c>
      <c r="B2377" s="7" t="s">
        <v>2285</v>
      </c>
      <c r="C2377" s="7" t="s">
        <v>3226</v>
      </c>
      <c r="D2377" s="5">
        <v>4</v>
      </c>
      <c r="E2377" s="7" t="str">
        <f>_xlfn.XLOOKUP(B2377,Customers!A2377:A3376,Customers!B2377:B3376,"Customer Not Found",0)</f>
        <v>Customer Not Found</v>
      </c>
      <c r="F2377" s="7" t="str">
        <f>_xlfn.XLOOKUP(Orders!B2377,Customers!A2377:A3376,Customers!C2377:C3376,"Country not Found",0)</f>
        <v>Country not Found</v>
      </c>
      <c r="G2377" s="7" t="str">
        <f>_xlfn.XLOOKUP(C2377,Products!A2377:A2876,Products!B2377:B2876,"Product Missing",0)</f>
        <v>Product Missing</v>
      </c>
      <c r="H2377" s="7" t="str">
        <f>_xlfn.XLOOKUP(C2377,Products!A2377:A2876,Products!C2377:C2876,"Category Missing",0)</f>
        <v>Category Missing</v>
      </c>
      <c r="I2377" s="11" t="str">
        <f>_xlfn.XLOOKUP(Orders!C2377,Products!A2377:A2876,Products!D2377:D2876,"Price Missing",0)</f>
        <v>Price Missing</v>
      </c>
      <c r="J2377" s="19">
        <f t="shared" si="37"/>
        <v>0</v>
      </c>
    </row>
    <row r="2378" spans="1:10" x14ac:dyDescent="0.35">
      <c r="A2378" s="4" t="s">
        <v>6398</v>
      </c>
      <c r="B2378" s="7" t="s">
        <v>1118</v>
      </c>
      <c r="C2378" s="7" t="s">
        <v>3678</v>
      </c>
      <c r="D2378" s="5">
        <v>5</v>
      </c>
      <c r="E2378" s="7" t="str">
        <f>_xlfn.XLOOKUP(B2378,Customers!A2378:A3377,Customers!B2378:B3377,"Customer Not Found",0)</f>
        <v>Customer Not Found</v>
      </c>
      <c r="F2378" s="7" t="str">
        <f>_xlfn.XLOOKUP(Orders!B2378,Customers!A2378:A3377,Customers!C2378:C3377,"Country not Found",0)</f>
        <v>Country not Found</v>
      </c>
      <c r="G2378" s="7" t="str">
        <f>_xlfn.XLOOKUP(C2378,Products!A2378:A2877,Products!B2378:B2877,"Product Missing",0)</f>
        <v>Product Missing</v>
      </c>
      <c r="H2378" s="7" t="str">
        <f>_xlfn.XLOOKUP(C2378,Products!A2378:A2877,Products!C2378:C2877,"Category Missing",0)</f>
        <v>Category Missing</v>
      </c>
      <c r="I2378" s="11" t="str">
        <f>_xlfn.XLOOKUP(Orders!C2378,Products!A2378:A2877,Products!D2378:D2877,"Price Missing",0)</f>
        <v>Price Missing</v>
      </c>
      <c r="J2378" s="19">
        <f t="shared" si="37"/>
        <v>0</v>
      </c>
    </row>
    <row r="2379" spans="1:10" x14ac:dyDescent="0.35">
      <c r="A2379" s="4" t="s">
        <v>6399</v>
      </c>
      <c r="B2379" s="7" t="s">
        <v>2861</v>
      </c>
      <c r="C2379" s="7" t="s">
        <v>3772</v>
      </c>
      <c r="D2379" s="5">
        <v>7</v>
      </c>
      <c r="E2379" s="7" t="str">
        <f>_xlfn.XLOOKUP(B2379,Customers!A2379:A3378,Customers!B2379:B3378,"Customer Not Found",0)</f>
        <v>Customer Not Found</v>
      </c>
      <c r="F2379" s="7" t="str">
        <f>_xlfn.XLOOKUP(Orders!B2379,Customers!A2379:A3378,Customers!C2379:C3378,"Country not Found",0)</f>
        <v>Country not Found</v>
      </c>
      <c r="G2379" s="7" t="str">
        <f>_xlfn.XLOOKUP(C2379,Products!A2379:A2878,Products!B2379:B2878,"Product Missing",0)</f>
        <v>Product Missing</v>
      </c>
      <c r="H2379" s="7" t="str">
        <f>_xlfn.XLOOKUP(C2379,Products!A2379:A2878,Products!C2379:C2878,"Category Missing",0)</f>
        <v>Category Missing</v>
      </c>
      <c r="I2379" s="11" t="str">
        <f>_xlfn.XLOOKUP(Orders!C2379,Products!A2379:A2878,Products!D2379:D2878,"Price Missing",0)</f>
        <v>Price Missing</v>
      </c>
      <c r="J2379" s="19">
        <f t="shared" si="37"/>
        <v>0</v>
      </c>
    </row>
    <row r="2380" spans="1:10" x14ac:dyDescent="0.35">
      <c r="A2380" s="4" t="s">
        <v>6400</v>
      </c>
      <c r="B2380" s="7" t="s">
        <v>2885</v>
      </c>
      <c r="C2380" s="7" t="s">
        <v>3898</v>
      </c>
      <c r="D2380" s="5">
        <v>9</v>
      </c>
      <c r="E2380" s="7" t="str">
        <f>_xlfn.XLOOKUP(B2380,Customers!A2380:A3379,Customers!B2380:B3379,"Customer Not Found",0)</f>
        <v>Customer Not Found</v>
      </c>
      <c r="F2380" s="7" t="str">
        <f>_xlfn.XLOOKUP(Orders!B2380,Customers!A2380:A3379,Customers!C2380:C3379,"Country not Found",0)</f>
        <v>Country not Found</v>
      </c>
      <c r="G2380" s="7" t="str">
        <f>_xlfn.XLOOKUP(C2380,Products!A2380:A2879,Products!B2380:B2879,"Product Missing",0)</f>
        <v>Product Missing</v>
      </c>
      <c r="H2380" s="7" t="str">
        <f>_xlfn.XLOOKUP(C2380,Products!A2380:A2879,Products!C2380:C2879,"Category Missing",0)</f>
        <v>Category Missing</v>
      </c>
      <c r="I2380" s="11" t="str">
        <f>_xlfn.XLOOKUP(Orders!C2380,Products!A2380:A2879,Products!D2380:D2879,"Price Missing",0)</f>
        <v>Price Missing</v>
      </c>
      <c r="J2380" s="19">
        <f t="shared" si="37"/>
        <v>0</v>
      </c>
    </row>
    <row r="2381" spans="1:10" x14ac:dyDescent="0.35">
      <c r="A2381" s="4" t="s">
        <v>6401</v>
      </c>
      <c r="B2381" s="7" t="s">
        <v>401</v>
      </c>
      <c r="C2381" s="7" t="s">
        <v>3224</v>
      </c>
      <c r="D2381" s="5">
        <v>3</v>
      </c>
      <c r="E2381" s="7" t="str">
        <f>_xlfn.XLOOKUP(B2381,Customers!A2381:A3380,Customers!B2381:B3380,"Customer Not Found",0)</f>
        <v>Customer Not Found</v>
      </c>
      <c r="F2381" s="7" t="str">
        <f>_xlfn.XLOOKUP(Orders!B2381,Customers!A2381:A3380,Customers!C2381:C3380,"Country not Found",0)</f>
        <v>Country not Found</v>
      </c>
      <c r="G2381" s="7" t="str">
        <f>_xlfn.XLOOKUP(C2381,Products!A2381:A2880,Products!B2381:B2880,"Product Missing",0)</f>
        <v>Product Missing</v>
      </c>
      <c r="H2381" s="7" t="str">
        <f>_xlfn.XLOOKUP(C2381,Products!A2381:A2880,Products!C2381:C2880,"Category Missing",0)</f>
        <v>Category Missing</v>
      </c>
      <c r="I2381" s="11" t="str">
        <f>_xlfn.XLOOKUP(Orders!C2381,Products!A2381:A2880,Products!D2381:D2880,"Price Missing",0)</f>
        <v>Price Missing</v>
      </c>
      <c r="J2381" s="19">
        <f t="shared" si="37"/>
        <v>0</v>
      </c>
    </row>
    <row r="2382" spans="1:10" x14ac:dyDescent="0.35">
      <c r="A2382" s="4" t="s">
        <v>6402</v>
      </c>
      <c r="B2382" s="7" t="s">
        <v>2078</v>
      </c>
      <c r="C2382" s="7" t="s">
        <v>3822</v>
      </c>
      <c r="D2382" s="5">
        <v>10</v>
      </c>
      <c r="E2382" s="7" t="str">
        <f>_xlfn.XLOOKUP(B2382,Customers!A2382:A3381,Customers!B2382:B3381,"Customer Not Found",0)</f>
        <v>Customer Not Found</v>
      </c>
      <c r="F2382" s="7" t="str">
        <f>_xlfn.XLOOKUP(Orders!B2382,Customers!A2382:A3381,Customers!C2382:C3381,"Country not Found",0)</f>
        <v>Country not Found</v>
      </c>
      <c r="G2382" s="7" t="str">
        <f>_xlfn.XLOOKUP(C2382,Products!A2382:A2881,Products!B2382:B2881,"Product Missing",0)</f>
        <v>Product Missing</v>
      </c>
      <c r="H2382" s="7" t="str">
        <f>_xlfn.XLOOKUP(C2382,Products!A2382:A2881,Products!C2382:C2881,"Category Missing",0)</f>
        <v>Category Missing</v>
      </c>
      <c r="I2382" s="11" t="str">
        <f>_xlfn.XLOOKUP(Orders!C2382,Products!A2382:A2881,Products!D2382:D2881,"Price Missing",0)</f>
        <v>Price Missing</v>
      </c>
      <c r="J2382" s="19">
        <f t="shared" si="37"/>
        <v>0</v>
      </c>
    </row>
    <row r="2383" spans="1:10" x14ac:dyDescent="0.35">
      <c r="A2383" s="4" t="s">
        <v>6403</v>
      </c>
      <c r="B2383" s="7" t="s">
        <v>8</v>
      </c>
      <c r="C2383" s="7" t="s">
        <v>3498</v>
      </c>
      <c r="D2383" s="5">
        <v>3</v>
      </c>
      <c r="E2383" s="7" t="str">
        <f>_xlfn.XLOOKUP(B2383,Customers!A2383:A3382,Customers!B2383:B3382,"Customer Not Found",0)</f>
        <v>Customer Not Found</v>
      </c>
      <c r="F2383" s="7" t="str">
        <f>_xlfn.XLOOKUP(Orders!B2383,Customers!A2383:A3382,Customers!C2383:C3382,"Country not Found",0)</f>
        <v>Country not Found</v>
      </c>
      <c r="G2383" s="7" t="str">
        <f>_xlfn.XLOOKUP(C2383,Products!A2383:A2882,Products!B2383:B2882,"Product Missing",0)</f>
        <v>Product Missing</v>
      </c>
      <c r="H2383" s="7" t="str">
        <f>_xlfn.XLOOKUP(C2383,Products!A2383:A2882,Products!C2383:C2882,"Category Missing",0)</f>
        <v>Category Missing</v>
      </c>
      <c r="I2383" s="11" t="str">
        <f>_xlfn.XLOOKUP(Orders!C2383,Products!A2383:A2882,Products!D2383:D2882,"Price Missing",0)</f>
        <v>Price Missing</v>
      </c>
      <c r="J2383" s="19">
        <f t="shared" si="37"/>
        <v>0</v>
      </c>
    </row>
    <row r="2384" spans="1:10" x14ac:dyDescent="0.35">
      <c r="A2384" s="4" t="s">
        <v>6404</v>
      </c>
      <c r="B2384" s="7" t="s">
        <v>2813</v>
      </c>
      <c r="C2384" s="7" t="s">
        <v>3100</v>
      </c>
      <c r="D2384" s="5">
        <v>3</v>
      </c>
      <c r="E2384" s="7" t="str">
        <f>_xlfn.XLOOKUP(B2384,Customers!A2384:A3383,Customers!B2384:B3383,"Customer Not Found",0)</f>
        <v>Customer Not Found</v>
      </c>
      <c r="F2384" s="7" t="str">
        <f>_xlfn.XLOOKUP(Orders!B2384,Customers!A2384:A3383,Customers!C2384:C3383,"Country not Found",0)</f>
        <v>Country not Found</v>
      </c>
      <c r="G2384" s="7" t="str">
        <f>_xlfn.XLOOKUP(C2384,Products!A2384:A2883,Products!B2384:B2883,"Product Missing",0)</f>
        <v>Product Missing</v>
      </c>
      <c r="H2384" s="7" t="str">
        <f>_xlfn.XLOOKUP(C2384,Products!A2384:A2883,Products!C2384:C2883,"Category Missing",0)</f>
        <v>Category Missing</v>
      </c>
      <c r="I2384" s="11" t="str">
        <f>_xlfn.XLOOKUP(Orders!C2384,Products!A2384:A2883,Products!D2384:D2883,"Price Missing",0)</f>
        <v>Price Missing</v>
      </c>
      <c r="J2384" s="19">
        <f t="shared" si="37"/>
        <v>0</v>
      </c>
    </row>
    <row r="2385" spans="1:10" x14ac:dyDescent="0.35">
      <c r="A2385" s="4" t="s">
        <v>6405</v>
      </c>
      <c r="B2385" s="7" t="s">
        <v>2390</v>
      </c>
      <c r="C2385" s="7" t="s">
        <v>3526</v>
      </c>
      <c r="D2385" s="5">
        <v>6</v>
      </c>
      <c r="E2385" s="7" t="str">
        <f>_xlfn.XLOOKUP(B2385,Customers!A2385:A3384,Customers!B2385:B3384,"Customer Not Found",0)</f>
        <v>Customer Not Found</v>
      </c>
      <c r="F2385" s="7" t="str">
        <f>_xlfn.XLOOKUP(Orders!B2385,Customers!A2385:A3384,Customers!C2385:C3384,"Country not Found",0)</f>
        <v>Country not Found</v>
      </c>
      <c r="G2385" s="7" t="str">
        <f>_xlfn.XLOOKUP(C2385,Products!A2385:A2884,Products!B2385:B2884,"Product Missing",0)</f>
        <v>Product Missing</v>
      </c>
      <c r="H2385" s="7" t="str">
        <f>_xlfn.XLOOKUP(C2385,Products!A2385:A2884,Products!C2385:C2884,"Category Missing",0)</f>
        <v>Category Missing</v>
      </c>
      <c r="I2385" s="11" t="str">
        <f>_xlfn.XLOOKUP(Orders!C2385,Products!A2385:A2884,Products!D2385:D2884,"Price Missing",0)</f>
        <v>Price Missing</v>
      </c>
      <c r="J2385" s="19">
        <f t="shared" si="37"/>
        <v>0</v>
      </c>
    </row>
    <row r="2386" spans="1:10" x14ac:dyDescent="0.35">
      <c r="A2386" s="4" t="s">
        <v>6406</v>
      </c>
      <c r="B2386" s="7" t="s">
        <v>80</v>
      </c>
      <c r="C2386" s="7" t="s">
        <v>3290</v>
      </c>
      <c r="D2386" s="5">
        <v>5</v>
      </c>
      <c r="E2386" s="7" t="str">
        <f>_xlfn.XLOOKUP(B2386,Customers!A2386:A3385,Customers!B2386:B3385,"Customer Not Found",0)</f>
        <v>Customer Not Found</v>
      </c>
      <c r="F2386" s="7" t="str">
        <f>_xlfn.XLOOKUP(Orders!B2386,Customers!A2386:A3385,Customers!C2386:C3385,"Country not Found",0)</f>
        <v>Country not Found</v>
      </c>
      <c r="G2386" s="7" t="str">
        <f>_xlfn.XLOOKUP(C2386,Products!A2386:A2885,Products!B2386:B2885,"Product Missing",0)</f>
        <v>Product Missing</v>
      </c>
      <c r="H2386" s="7" t="str">
        <f>_xlfn.XLOOKUP(C2386,Products!A2386:A2885,Products!C2386:C2885,"Category Missing",0)</f>
        <v>Category Missing</v>
      </c>
      <c r="I2386" s="11" t="str">
        <f>_xlfn.XLOOKUP(Orders!C2386,Products!A2386:A2885,Products!D2386:D2885,"Price Missing",0)</f>
        <v>Price Missing</v>
      </c>
      <c r="J2386" s="19">
        <f t="shared" si="37"/>
        <v>0</v>
      </c>
    </row>
    <row r="2387" spans="1:10" x14ac:dyDescent="0.35">
      <c r="A2387" s="4" t="s">
        <v>6407</v>
      </c>
      <c r="B2387" s="7" t="s">
        <v>2837</v>
      </c>
      <c r="C2387" s="7" t="s">
        <v>3954</v>
      </c>
      <c r="D2387" s="5">
        <v>7</v>
      </c>
      <c r="E2387" s="7" t="str">
        <f>_xlfn.XLOOKUP(B2387,Customers!A2387:A3386,Customers!B2387:B3386,"Customer Not Found",0)</f>
        <v>Customer Not Found</v>
      </c>
      <c r="F2387" s="7" t="str">
        <f>_xlfn.XLOOKUP(Orders!B2387,Customers!A2387:A3386,Customers!C2387:C3386,"Country not Found",0)</f>
        <v>Country not Found</v>
      </c>
      <c r="G2387" s="7" t="str">
        <f>_xlfn.XLOOKUP(C2387,Products!A2387:A2886,Products!B2387:B2886,"Product Missing",0)</f>
        <v>Product Missing</v>
      </c>
      <c r="H2387" s="7" t="str">
        <f>_xlfn.XLOOKUP(C2387,Products!A2387:A2886,Products!C2387:C2886,"Category Missing",0)</f>
        <v>Category Missing</v>
      </c>
      <c r="I2387" s="11" t="str">
        <f>_xlfn.XLOOKUP(Orders!C2387,Products!A2387:A2886,Products!D2387:D2886,"Price Missing",0)</f>
        <v>Price Missing</v>
      </c>
      <c r="J2387" s="19">
        <f t="shared" si="37"/>
        <v>0</v>
      </c>
    </row>
    <row r="2388" spans="1:10" x14ac:dyDescent="0.35">
      <c r="A2388" s="4" t="s">
        <v>6408</v>
      </c>
      <c r="B2388" s="7" t="s">
        <v>2957</v>
      </c>
      <c r="C2388" s="7" t="s">
        <v>3910</v>
      </c>
      <c r="D2388" s="5">
        <v>9</v>
      </c>
      <c r="E2388" s="7" t="str">
        <f>_xlfn.XLOOKUP(B2388,Customers!A2388:A3387,Customers!B2388:B3387,"Customer Not Found",0)</f>
        <v>Customer Not Found</v>
      </c>
      <c r="F2388" s="7" t="str">
        <f>_xlfn.XLOOKUP(Orders!B2388,Customers!A2388:A3387,Customers!C2388:C3387,"Country not Found",0)</f>
        <v>Country not Found</v>
      </c>
      <c r="G2388" s="7" t="str">
        <f>_xlfn.XLOOKUP(C2388,Products!A2388:A2887,Products!B2388:B2887,"Product Missing",0)</f>
        <v>Product Missing</v>
      </c>
      <c r="H2388" s="7" t="str">
        <f>_xlfn.XLOOKUP(C2388,Products!A2388:A2887,Products!C2388:C2887,"Category Missing",0)</f>
        <v>Category Missing</v>
      </c>
      <c r="I2388" s="11" t="str">
        <f>_xlfn.XLOOKUP(Orders!C2388,Products!A2388:A2887,Products!D2388:D2887,"Price Missing",0)</f>
        <v>Price Missing</v>
      </c>
      <c r="J2388" s="19">
        <f t="shared" si="37"/>
        <v>0</v>
      </c>
    </row>
    <row r="2389" spans="1:10" x14ac:dyDescent="0.35">
      <c r="A2389" s="4" t="s">
        <v>6409</v>
      </c>
      <c r="B2389" s="7" t="s">
        <v>2711</v>
      </c>
      <c r="C2389" s="7" t="s">
        <v>3902</v>
      </c>
      <c r="D2389" s="5">
        <v>2</v>
      </c>
      <c r="E2389" s="7" t="str">
        <f>_xlfn.XLOOKUP(B2389,Customers!A2389:A3388,Customers!B2389:B3388,"Customer Not Found",0)</f>
        <v>Customer Not Found</v>
      </c>
      <c r="F2389" s="7" t="str">
        <f>_xlfn.XLOOKUP(Orders!B2389,Customers!A2389:A3388,Customers!C2389:C3388,"Country not Found",0)</f>
        <v>Country not Found</v>
      </c>
      <c r="G2389" s="7" t="str">
        <f>_xlfn.XLOOKUP(C2389,Products!A2389:A2888,Products!B2389:B2888,"Product Missing",0)</f>
        <v>Product Missing</v>
      </c>
      <c r="H2389" s="7" t="str">
        <f>_xlfn.XLOOKUP(C2389,Products!A2389:A2888,Products!C2389:C2888,"Category Missing",0)</f>
        <v>Category Missing</v>
      </c>
      <c r="I2389" s="11" t="str">
        <f>_xlfn.XLOOKUP(Orders!C2389,Products!A2389:A2888,Products!D2389:D2888,"Price Missing",0)</f>
        <v>Price Missing</v>
      </c>
      <c r="J2389" s="19">
        <f t="shared" si="37"/>
        <v>0</v>
      </c>
    </row>
    <row r="2390" spans="1:10" x14ac:dyDescent="0.35">
      <c r="A2390" s="4" t="s">
        <v>6410</v>
      </c>
      <c r="B2390" s="7" t="s">
        <v>515</v>
      </c>
      <c r="C2390" s="7" t="s">
        <v>3030</v>
      </c>
      <c r="D2390" s="5">
        <v>1</v>
      </c>
      <c r="E2390" s="7" t="str">
        <f>_xlfn.XLOOKUP(B2390,Customers!A2390:A3389,Customers!B2390:B3389,"Customer Not Found",0)</f>
        <v>Customer Not Found</v>
      </c>
      <c r="F2390" s="7" t="str">
        <f>_xlfn.XLOOKUP(Orders!B2390,Customers!A2390:A3389,Customers!C2390:C3389,"Country not Found",0)</f>
        <v>Country not Found</v>
      </c>
      <c r="G2390" s="7" t="str">
        <f>_xlfn.XLOOKUP(C2390,Products!A2390:A2889,Products!B2390:B2889,"Product Missing",0)</f>
        <v>Product Missing</v>
      </c>
      <c r="H2390" s="7" t="str">
        <f>_xlfn.XLOOKUP(C2390,Products!A2390:A2889,Products!C2390:C2889,"Category Missing",0)</f>
        <v>Category Missing</v>
      </c>
      <c r="I2390" s="11" t="str">
        <f>_xlfn.XLOOKUP(Orders!C2390,Products!A2390:A2889,Products!D2390:D2889,"Price Missing",0)</f>
        <v>Price Missing</v>
      </c>
      <c r="J2390" s="19">
        <f t="shared" si="37"/>
        <v>0</v>
      </c>
    </row>
    <row r="2391" spans="1:10" x14ac:dyDescent="0.35">
      <c r="A2391" s="4" t="s">
        <v>6411</v>
      </c>
      <c r="B2391" s="7" t="s">
        <v>1514</v>
      </c>
      <c r="C2391" s="7" t="s">
        <v>3070</v>
      </c>
      <c r="D2391" s="5">
        <v>10</v>
      </c>
      <c r="E2391" s="7" t="str">
        <f>_xlfn.XLOOKUP(B2391,Customers!A2391:A3390,Customers!B2391:B3390,"Customer Not Found",0)</f>
        <v>Customer Not Found</v>
      </c>
      <c r="F2391" s="7" t="str">
        <f>_xlfn.XLOOKUP(Orders!B2391,Customers!A2391:A3390,Customers!C2391:C3390,"Country not Found",0)</f>
        <v>Country not Found</v>
      </c>
      <c r="G2391" s="7" t="str">
        <f>_xlfn.XLOOKUP(C2391,Products!A2391:A2890,Products!B2391:B2890,"Product Missing",0)</f>
        <v>Product Missing</v>
      </c>
      <c r="H2391" s="7" t="str">
        <f>_xlfn.XLOOKUP(C2391,Products!A2391:A2890,Products!C2391:C2890,"Category Missing",0)</f>
        <v>Category Missing</v>
      </c>
      <c r="I2391" s="11" t="str">
        <f>_xlfn.XLOOKUP(Orders!C2391,Products!A2391:A2890,Products!D2391:D2890,"Price Missing",0)</f>
        <v>Price Missing</v>
      </c>
      <c r="J2391" s="19">
        <f t="shared" si="37"/>
        <v>0</v>
      </c>
    </row>
    <row r="2392" spans="1:10" x14ac:dyDescent="0.35">
      <c r="A2392" s="4" t="s">
        <v>6412</v>
      </c>
      <c r="B2392" s="7" t="s">
        <v>1010</v>
      </c>
      <c r="C2392" s="7" t="s">
        <v>3878</v>
      </c>
      <c r="D2392" s="5">
        <v>2</v>
      </c>
      <c r="E2392" s="7" t="str">
        <f>_xlfn.XLOOKUP(B2392,Customers!A2392:A3391,Customers!B2392:B3391,"Customer Not Found",0)</f>
        <v>Customer Not Found</v>
      </c>
      <c r="F2392" s="7" t="str">
        <f>_xlfn.XLOOKUP(Orders!B2392,Customers!A2392:A3391,Customers!C2392:C3391,"Country not Found",0)</f>
        <v>Country not Found</v>
      </c>
      <c r="G2392" s="7" t="str">
        <f>_xlfn.XLOOKUP(C2392,Products!A2392:A2891,Products!B2392:B2891,"Product Missing",0)</f>
        <v>Product Missing</v>
      </c>
      <c r="H2392" s="7" t="str">
        <f>_xlfn.XLOOKUP(C2392,Products!A2392:A2891,Products!C2392:C2891,"Category Missing",0)</f>
        <v>Category Missing</v>
      </c>
      <c r="I2392" s="11" t="str">
        <f>_xlfn.XLOOKUP(Orders!C2392,Products!A2392:A2891,Products!D2392:D2891,"Price Missing",0)</f>
        <v>Price Missing</v>
      </c>
      <c r="J2392" s="19">
        <f t="shared" si="37"/>
        <v>0</v>
      </c>
    </row>
    <row r="2393" spans="1:10" x14ac:dyDescent="0.35">
      <c r="A2393" s="4" t="s">
        <v>6413</v>
      </c>
      <c r="B2393" s="7" t="s">
        <v>176</v>
      </c>
      <c r="C2393" s="7" t="s">
        <v>3208</v>
      </c>
      <c r="D2393" s="5">
        <v>4</v>
      </c>
      <c r="E2393" s="7" t="str">
        <f>_xlfn.XLOOKUP(B2393,Customers!A2393:A3392,Customers!B2393:B3392,"Customer Not Found",0)</f>
        <v>Customer Not Found</v>
      </c>
      <c r="F2393" s="7" t="str">
        <f>_xlfn.XLOOKUP(Orders!B2393,Customers!A2393:A3392,Customers!C2393:C3392,"Country not Found",0)</f>
        <v>Country not Found</v>
      </c>
      <c r="G2393" s="7" t="str">
        <f>_xlfn.XLOOKUP(C2393,Products!A2393:A2892,Products!B2393:B2892,"Product Missing",0)</f>
        <v>Product Missing</v>
      </c>
      <c r="H2393" s="7" t="str">
        <f>_xlfn.XLOOKUP(C2393,Products!A2393:A2892,Products!C2393:C2892,"Category Missing",0)</f>
        <v>Category Missing</v>
      </c>
      <c r="I2393" s="11" t="str">
        <f>_xlfn.XLOOKUP(Orders!C2393,Products!A2393:A2892,Products!D2393:D2892,"Price Missing",0)</f>
        <v>Price Missing</v>
      </c>
      <c r="J2393" s="19">
        <f t="shared" si="37"/>
        <v>0</v>
      </c>
    </row>
    <row r="2394" spans="1:10" x14ac:dyDescent="0.35">
      <c r="A2394" s="4" t="s">
        <v>6414</v>
      </c>
      <c r="B2394" s="7" t="s">
        <v>43</v>
      </c>
      <c r="C2394" s="7" t="s">
        <v>3926</v>
      </c>
      <c r="D2394" s="5">
        <v>10</v>
      </c>
      <c r="E2394" s="7" t="str">
        <f>_xlfn.XLOOKUP(B2394,Customers!A2394:A3393,Customers!B2394:B3393,"Customer Not Found",0)</f>
        <v>Customer Not Found</v>
      </c>
      <c r="F2394" s="7" t="str">
        <f>_xlfn.XLOOKUP(Orders!B2394,Customers!A2394:A3393,Customers!C2394:C3393,"Country not Found",0)</f>
        <v>Country not Found</v>
      </c>
      <c r="G2394" s="7" t="str">
        <f>_xlfn.XLOOKUP(C2394,Products!A2394:A2893,Products!B2394:B2893,"Product Missing",0)</f>
        <v>Product Missing</v>
      </c>
      <c r="H2394" s="7" t="str">
        <f>_xlfn.XLOOKUP(C2394,Products!A2394:A2893,Products!C2394:C2893,"Category Missing",0)</f>
        <v>Category Missing</v>
      </c>
      <c r="I2394" s="11" t="str">
        <f>_xlfn.XLOOKUP(Orders!C2394,Products!A2394:A2893,Products!D2394:D2893,"Price Missing",0)</f>
        <v>Price Missing</v>
      </c>
      <c r="J2394" s="19">
        <f t="shared" si="37"/>
        <v>0</v>
      </c>
    </row>
    <row r="2395" spans="1:10" x14ac:dyDescent="0.35">
      <c r="A2395" s="4" t="s">
        <v>6415</v>
      </c>
      <c r="B2395" s="7" t="s">
        <v>2198</v>
      </c>
      <c r="C2395" s="7" t="s">
        <v>3600</v>
      </c>
      <c r="D2395" s="5">
        <v>7</v>
      </c>
      <c r="E2395" s="7" t="str">
        <f>_xlfn.XLOOKUP(B2395,Customers!A2395:A3394,Customers!B2395:B3394,"Customer Not Found",0)</f>
        <v>Customer Not Found</v>
      </c>
      <c r="F2395" s="7" t="str">
        <f>_xlfn.XLOOKUP(Orders!B2395,Customers!A2395:A3394,Customers!C2395:C3394,"Country not Found",0)</f>
        <v>Country not Found</v>
      </c>
      <c r="G2395" s="7" t="str">
        <f>_xlfn.XLOOKUP(C2395,Products!A2395:A2894,Products!B2395:B2894,"Product Missing",0)</f>
        <v>Product Missing</v>
      </c>
      <c r="H2395" s="7" t="str">
        <f>_xlfn.XLOOKUP(C2395,Products!A2395:A2894,Products!C2395:C2894,"Category Missing",0)</f>
        <v>Category Missing</v>
      </c>
      <c r="I2395" s="11" t="str">
        <f>_xlfn.XLOOKUP(Orders!C2395,Products!A2395:A2894,Products!D2395:D2894,"Price Missing",0)</f>
        <v>Price Missing</v>
      </c>
      <c r="J2395" s="19">
        <f t="shared" si="37"/>
        <v>0</v>
      </c>
    </row>
    <row r="2396" spans="1:10" x14ac:dyDescent="0.35">
      <c r="A2396" s="4" t="s">
        <v>6416</v>
      </c>
      <c r="B2396" s="7" t="s">
        <v>605</v>
      </c>
      <c r="C2396" s="7" t="s">
        <v>3864</v>
      </c>
      <c r="D2396" s="5">
        <v>6</v>
      </c>
      <c r="E2396" s="7" t="str">
        <f>_xlfn.XLOOKUP(B2396,Customers!A2396:A3395,Customers!B2396:B3395,"Customer Not Found",0)</f>
        <v>Customer Not Found</v>
      </c>
      <c r="F2396" s="7" t="str">
        <f>_xlfn.XLOOKUP(Orders!B2396,Customers!A2396:A3395,Customers!C2396:C3395,"Country not Found",0)</f>
        <v>Country not Found</v>
      </c>
      <c r="G2396" s="7" t="str">
        <f>_xlfn.XLOOKUP(C2396,Products!A2396:A2895,Products!B2396:B2895,"Product Missing",0)</f>
        <v>Product Missing</v>
      </c>
      <c r="H2396" s="7" t="str">
        <f>_xlfn.XLOOKUP(C2396,Products!A2396:A2895,Products!C2396:C2895,"Category Missing",0)</f>
        <v>Category Missing</v>
      </c>
      <c r="I2396" s="11" t="str">
        <f>_xlfn.XLOOKUP(Orders!C2396,Products!A2396:A2895,Products!D2396:D2895,"Price Missing",0)</f>
        <v>Price Missing</v>
      </c>
      <c r="J2396" s="19">
        <f t="shared" si="37"/>
        <v>0</v>
      </c>
    </row>
    <row r="2397" spans="1:10" x14ac:dyDescent="0.35">
      <c r="A2397" s="4" t="s">
        <v>6417</v>
      </c>
      <c r="B2397" s="7" t="s">
        <v>1520</v>
      </c>
      <c r="C2397" s="7" t="s">
        <v>3826</v>
      </c>
      <c r="D2397" s="5">
        <v>6</v>
      </c>
      <c r="E2397" s="7" t="str">
        <f>_xlfn.XLOOKUP(B2397,Customers!A2397:A3396,Customers!B2397:B3396,"Customer Not Found",0)</f>
        <v>Customer Not Found</v>
      </c>
      <c r="F2397" s="7" t="str">
        <f>_xlfn.XLOOKUP(Orders!B2397,Customers!A2397:A3396,Customers!C2397:C3396,"Country not Found",0)</f>
        <v>Country not Found</v>
      </c>
      <c r="G2397" s="7" t="str">
        <f>_xlfn.XLOOKUP(C2397,Products!A2397:A2896,Products!B2397:B2896,"Product Missing",0)</f>
        <v>Product Missing</v>
      </c>
      <c r="H2397" s="7" t="str">
        <f>_xlfn.XLOOKUP(C2397,Products!A2397:A2896,Products!C2397:C2896,"Category Missing",0)</f>
        <v>Category Missing</v>
      </c>
      <c r="I2397" s="11" t="str">
        <f>_xlfn.XLOOKUP(Orders!C2397,Products!A2397:A2896,Products!D2397:D2896,"Price Missing",0)</f>
        <v>Price Missing</v>
      </c>
      <c r="J2397" s="19">
        <f t="shared" si="37"/>
        <v>0</v>
      </c>
    </row>
    <row r="2398" spans="1:10" x14ac:dyDescent="0.35">
      <c r="A2398" s="4" t="s">
        <v>6418</v>
      </c>
      <c r="B2398" s="7" t="s">
        <v>182</v>
      </c>
      <c r="C2398" s="7" t="s">
        <v>3928</v>
      </c>
      <c r="D2398" s="5">
        <v>5</v>
      </c>
      <c r="E2398" s="7" t="str">
        <f>_xlfn.XLOOKUP(B2398,Customers!A2398:A3397,Customers!B2398:B3397,"Customer Not Found",0)</f>
        <v>Customer Not Found</v>
      </c>
      <c r="F2398" s="7" t="str">
        <f>_xlfn.XLOOKUP(Orders!B2398,Customers!A2398:A3397,Customers!C2398:C3397,"Country not Found",0)</f>
        <v>Country not Found</v>
      </c>
      <c r="G2398" s="7" t="str">
        <f>_xlfn.XLOOKUP(C2398,Products!A2398:A2897,Products!B2398:B2897,"Product Missing",0)</f>
        <v>Product Missing</v>
      </c>
      <c r="H2398" s="7" t="str">
        <f>_xlfn.XLOOKUP(C2398,Products!A2398:A2897,Products!C2398:C2897,"Category Missing",0)</f>
        <v>Category Missing</v>
      </c>
      <c r="I2398" s="11" t="str">
        <f>_xlfn.XLOOKUP(Orders!C2398,Products!A2398:A2897,Products!D2398:D2897,"Price Missing",0)</f>
        <v>Price Missing</v>
      </c>
      <c r="J2398" s="19">
        <f t="shared" si="37"/>
        <v>0</v>
      </c>
    </row>
    <row r="2399" spans="1:10" x14ac:dyDescent="0.35">
      <c r="A2399" s="4" t="s">
        <v>6419</v>
      </c>
      <c r="B2399" s="7" t="s">
        <v>2351</v>
      </c>
      <c r="C2399" s="7" t="s">
        <v>3072</v>
      </c>
      <c r="D2399" s="5">
        <v>9</v>
      </c>
      <c r="E2399" s="7" t="str">
        <f>_xlfn.XLOOKUP(B2399,Customers!A2399:A3398,Customers!B2399:B3398,"Customer Not Found",0)</f>
        <v>Customer Not Found</v>
      </c>
      <c r="F2399" s="7" t="str">
        <f>_xlfn.XLOOKUP(Orders!B2399,Customers!A2399:A3398,Customers!C2399:C3398,"Country not Found",0)</f>
        <v>Country not Found</v>
      </c>
      <c r="G2399" s="7" t="str">
        <f>_xlfn.XLOOKUP(C2399,Products!A2399:A2898,Products!B2399:B2898,"Product Missing",0)</f>
        <v>Product Missing</v>
      </c>
      <c r="H2399" s="7" t="str">
        <f>_xlfn.XLOOKUP(C2399,Products!A2399:A2898,Products!C2399:C2898,"Category Missing",0)</f>
        <v>Category Missing</v>
      </c>
      <c r="I2399" s="11" t="str">
        <f>_xlfn.XLOOKUP(Orders!C2399,Products!A2399:A2898,Products!D2399:D2898,"Price Missing",0)</f>
        <v>Price Missing</v>
      </c>
      <c r="J2399" s="19">
        <f t="shared" si="37"/>
        <v>0</v>
      </c>
    </row>
    <row r="2400" spans="1:10" x14ac:dyDescent="0.35">
      <c r="A2400" s="4" t="s">
        <v>6420</v>
      </c>
      <c r="B2400" s="7" t="s">
        <v>2981</v>
      </c>
      <c r="C2400" s="7" t="s">
        <v>3074</v>
      </c>
      <c r="D2400" s="5">
        <v>2</v>
      </c>
      <c r="E2400" s="7" t="str">
        <f>_xlfn.XLOOKUP(B2400,Customers!A2400:A3399,Customers!B2400:B3399,"Customer Not Found",0)</f>
        <v>Customer Not Found</v>
      </c>
      <c r="F2400" s="7" t="str">
        <f>_xlfn.XLOOKUP(Orders!B2400,Customers!A2400:A3399,Customers!C2400:C3399,"Country not Found",0)</f>
        <v>Country not Found</v>
      </c>
      <c r="G2400" s="7" t="str">
        <f>_xlfn.XLOOKUP(C2400,Products!A2400:A2899,Products!B2400:B2899,"Product Missing",0)</f>
        <v>Product Missing</v>
      </c>
      <c r="H2400" s="7" t="str">
        <f>_xlfn.XLOOKUP(C2400,Products!A2400:A2899,Products!C2400:C2899,"Category Missing",0)</f>
        <v>Category Missing</v>
      </c>
      <c r="I2400" s="11" t="str">
        <f>_xlfn.XLOOKUP(Orders!C2400,Products!A2400:A2899,Products!D2400:D2899,"Price Missing",0)</f>
        <v>Price Missing</v>
      </c>
      <c r="J2400" s="19">
        <f t="shared" si="37"/>
        <v>0</v>
      </c>
    </row>
    <row r="2401" spans="1:10" x14ac:dyDescent="0.35">
      <c r="A2401" s="4" t="s">
        <v>6421</v>
      </c>
      <c r="B2401" s="7" t="s">
        <v>1703</v>
      </c>
      <c r="C2401" s="7" t="s">
        <v>3820</v>
      </c>
      <c r="D2401" s="5">
        <v>3</v>
      </c>
      <c r="E2401" s="7" t="str">
        <f>_xlfn.XLOOKUP(B2401,Customers!A2401:A3400,Customers!B2401:B3400,"Customer Not Found",0)</f>
        <v>Customer Not Found</v>
      </c>
      <c r="F2401" s="7" t="str">
        <f>_xlfn.XLOOKUP(Orders!B2401,Customers!A2401:A3400,Customers!C2401:C3400,"Country not Found",0)</f>
        <v>Country not Found</v>
      </c>
      <c r="G2401" s="7" t="str">
        <f>_xlfn.XLOOKUP(C2401,Products!A2401:A2900,Products!B2401:B2900,"Product Missing",0)</f>
        <v>Product Missing</v>
      </c>
      <c r="H2401" s="7" t="str">
        <f>_xlfn.XLOOKUP(C2401,Products!A2401:A2900,Products!C2401:C2900,"Category Missing",0)</f>
        <v>Category Missing</v>
      </c>
      <c r="I2401" s="11" t="str">
        <f>_xlfn.XLOOKUP(Orders!C2401,Products!A2401:A2900,Products!D2401:D2900,"Price Missing",0)</f>
        <v>Price Missing</v>
      </c>
      <c r="J2401" s="19">
        <f t="shared" si="37"/>
        <v>0</v>
      </c>
    </row>
    <row r="2402" spans="1:10" x14ac:dyDescent="0.35">
      <c r="A2402" s="4" t="s">
        <v>6422</v>
      </c>
      <c r="B2402" s="7" t="s">
        <v>146</v>
      </c>
      <c r="C2402" s="7" t="s">
        <v>3536</v>
      </c>
      <c r="D2402" s="5">
        <v>10</v>
      </c>
      <c r="E2402" s="7" t="str">
        <f>_xlfn.XLOOKUP(B2402,Customers!A2402:A3401,Customers!B2402:B3401,"Customer Not Found",0)</f>
        <v>Customer Not Found</v>
      </c>
      <c r="F2402" s="7" t="str">
        <f>_xlfn.XLOOKUP(Orders!B2402,Customers!A2402:A3401,Customers!C2402:C3401,"Country not Found",0)</f>
        <v>Country not Found</v>
      </c>
      <c r="G2402" s="7" t="str">
        <f>_xlfn.XLOOKUP(C2402,Products!A2402:A2901,Products!B2402:B2901,"Product Missing",0)</f>
        <v>Product Missing</v>
      </c>
      <c r="H2402" s="7" t="str">
        <f>_xlfn.XLOOKUP(C2402,Products!A2402:A2901,Products!C2402:C2901,"Category Missing",0)</f>
        <v>Category Missing</v>
      </c>
      <c r="I2402" s="11" t="str">
        <f>_xlfn.XLOOKUP(Orders!C2402,Products!A2402:A2901,Products!D2402:D2901,"Price Missing",0)</f>
        <v>Price Missing</v>
      </c>
      <c r="J2402" s="19">
        <f t="shared" si="37"/>
        <v>0</v>
      </c>
    </row>
    <row r="2403" spans="1:10" x14ac:dyDescent="0.35">
      <c r="A2403" s="4" t="s">
        <v>6423</v>
      </c>
      <c r="B2403" s="7" t="s">
        <v>1232</v>
      </c>
      <c r="C2403" s="7" t="s">
        <v>3070</v>
      </c>
      <c r="D2403" s="5">
        <v>3</v>
      </c>
      <c r="E2403" s="7" t="str">
        <f>_xlfn.XLOOKUP(B2403,Customers!A2403:A3402,Customers!B2403:B3402,"Customer Not Found",0)</f>
        <v>Customer Not Found</v>
      </c>
      <c r="F2403" s="7" t="str">
        <f>_xlfn.XLOOKUP(Orders!B2403,Customers!A2403:A3402,Customers!C2403:C3402,"Country not Found",0)</f>
        <v>Country not Found</v>
      </c>
      <c r="G2403" s="7" t="str">
        <f>_xlfn.XLOOKUP(C2403,Products!A2403:A2902,Products!B2403:B2902,"Product Missing",0)</f>
        <v>Product Missing</v>
      </c>
      <c r="H2403" s="7" t="str">
        <f>_xlfn.XLOOKUP(C2403,Products!A2403:A2902,Products!C2403:C2902,"Category Missing",0)</f>
        <v>Category Missing</v>
      </c>
      <c r="I2403" s="11" t="str">
        <f>_xlfn.XLOOKUP(Orders!C2403,Products!A2403:A2902,Products!D2403:D2902,"Price Missing",0)</f>
        <v>Price Missing</v>
      </c>
      <c r="J2403" s="19">
        <f t="shared" si="37"/>
        <v>0</v>
      </c>
    </row>
    <row r="2404" spans="1:10" x14ac:dyDescent="0.35">
      <c r="A2404" s="4" t="s">
        <v>6424</v>
      </c>
      <c r="B2404" s="7" t="s">
        <v>1619</v>
      </c>
      <c r="C2404" s="7" t="s">
        <v>3764</v>
      </c>
      <c r="D2404" s="5">
        <v>6</v>
      </c>
      <c r="E2404" s="7" t="str">
        <f>_xlfn.XLOOKUP(B2404,Customers!A2404:A3403,Customers!B2404:B3403,"Customer Not Found",0)</f>
        <v>Customer Not Found</v>
      </c>
      <c r="F2404" s="7" t="str">
        <f>_xlfn.XLOOKUP(Orders!B2404,Customers!A2404:A3403,Customers!C2404:C3403,"Country not Found",0)</f>
        <v>Country not Found</v>
      </c>
      <c r="G2404" s="7" t="str">
        <f>_xlfn.XLOOKUP(C2404,Products!A2404:A2903,Products!B2404:B2903,"Product Missing",0)</f>
        <v>Product Missing</v>
      </c>
      <c r="H2404" s="7" t="str">
        <f>_xlfn.XLOOKUP(C2404,Products!A2404:A2903,Products!C2404:C2903,"Category Missing",0)</f>
        <v>Category Missing</v>
      </c>
      <c r="I2404" s="11" t="str">
        <f>_xlfn.XLOOKUP(Orders!C2404,Products!A2404:A2903,Products!D2404:D2903,"Price Missing",0)</f>
        <v>Price Missing</v>
      </c>
      <c r="J2404" s="19">
        <f t="shared" si="37"/>
        <v>0</v>
      </c>
    </row>
    <row r="2405" spans="1:10" x14ac:dyDescent="0.35">
      <c r="A2405" s="4" t="s">
        <v>6425</v>
      </c>
      <c r="B2405" s="7" t="s">
        <v>2660</v>
      </c>
      <c r="C2405" s="7" t="s">
        <v>3154</v>
      </c>
      <c r="D2405" s="5">
        <v>5</v>
      </c>
      <c r="E2405" s="7" t="str">
        <f>_xlfn.XLOOKUP(B2405,Customers!A2405:A3404,Customers!B2405:B3404,"Customer Not Found",0)</f>
        <v>Customer Not Found</v>
      </c>
      <c r="F2405" s="7" t="str">
        <f>_xlfn.XLOOKUP(Orders!B2405,Customers!A2405:A3404,Customers!C2405:C3404,"Country not Found",0)</f>
        <v>Country not Found</v>
      </c>
      <c r="G2405" s="7" t="str">
        <f>_xlfn.XLOOKUP(C2405,Products!A2405:A2904,Products!B2405:B2904,"Product Missing",0)</f>
        <v>Product Missing</v>
      </c>
      <c r="H2405" s="7" t="str">
        <f>_xlfn.XLOOKUP(C2405,Products!A2405:A2904,Products!C2405:C2904,"Category Missing",0)</f>
        <v>Category Missing</v>
      </c>
      <c r="I2405" s="11" t="str">
        <f>_xlfn.XLOOKUP(Orders!C2405,Products!A2405:A2904,Products!D2405:D2904,"Price Missing",0)</f>
        <v>Price Missing</v>
      </c>
      <c r="J2405" s="19">
        <f t="shared" si="37"/>
        <v>0</v>
      </c>
    </row>
    <row r="2406" spans="1:10" x14ac:dyDescent="0.35">
      <c r="A2406" s="4" t="s">
        <v>6426</v>
      </c>
      <c r="B2406" s="7" t="s">
        <v>2399</v>
      </c>
      <c r="C2406" s="7" t="s">
        <v>3836</v>
      </c>
      <c r="D2406" s="5">
        <v>3</v>
      </c>
      <c r="E2406" s="7" t="str">
        <f>_xlfn.XLOOKUP(B2406,Customers!A2406:A3405,Customers!B2406:B3405,"Customer Not Found",0)</f>
        <v>Customer Not Found</v>
      </c>
      <c r="F2406" s="7" t="str">
        <f>_xlfn.XLOOKUP(Orders!B2406,Customers!A2406:A3405,Customers!C2406:C3405,"Country not Found",0)</f>
        <v>Country not Found</v>
      </c>
      <c r="G2406" s="7" t="str">
        <f>_xlfn.XLOOKUP(C2406,Products!A2406:A2905,Products!B2406:B2905,"Product Missing",0)</f>
        <v>Product Missing</v>
      </c>
      <c r="H2406" s="7" t="str">
        <f>_xlfn.XLOOKUP(C2406,Products!A2406:A2905,Products!C2406:C2905,"Category Missing",0)</f>
        <v>Category Missing</v>
      </c>
      <c r="I2406" s="11" t="str">
        <f>_xlfn.XLOOKUP(Orders!C2406,Products!A2406:A2905,Products!D2406:D2905,"Price Missing",0)</f>
        <v>Price Missing</v>
      </c>
      <c r="J2406" s="19">
        <f t="shared" si="37"/>
        <v>0</v>
      </c>
    </row>
    <row r="2407" spans="1:10" x14ac:dyDescent="0.35">
      <c r="A2407" s="4" t="s">
        <v>6427</v>
      </c>
      <c r="B2407" s="7" t="s">
        <v>2141</v>
      </c>
      <c r="C2407" s="7" t="s">
        <v>3492</v>
      </c>
      <c r="D2407" s="5">
        <v>3</v>
      </c>
      <c r="E2407" s="7" t="str">
        <f>_xlfn.XLOOKUP(B2407,Customers!A2407:A3406,Customers!B2407:B3406,"Customer Not Found",0)</f>
        <v>Customer Not Found</v>
      </c>
      <c r="F2407" s="7" t="str">
        <f>_xlfn.XLOOKUP(Orders!B2407,Customers!A2407:A3406,Customers!C2407:C3406,"Country not Found",0)</f>
        <v>Country not Found</v>
      </c>
      <c r="G2407" s="7" t="str">
        <f>_xlfn.XLOOKUP(C2407,Products!A2407:A2906,Products!B2407:B2906,"Product Missing",0)</f>
        <v>Product Missing</v>
      </c>
      <c r="H2407" s="7" t="str">
        <f>_xlfn.XLOOKUP(C2407,Products!A2407:A2906,Products!C2407:C2906,"Category Missing",0)</f>
        <v>Category Missing</v>
      </c>
      <c r="I2407" s="11" t="str">
        <f>_xlfn.XLOOKUP(Orders!C2407,Products!A2407:A2906,Products!D2407:D2906,"Price Missing",0)</f>
        <v>Price Missing</v>
      </c>
      <c r="J2407" s="19">
        <f t="shared" si="37"/>
        <v>0</v>
      </c>
    </row>
    <row r="2408" spans="1:10" x14ac:dyDescent="0.35">
      <c r="A2408" s="4" t="s">
        <v>6428</v>
      </c>
      <c r="B2408" s="7" t="s">
        <v>716</v>
      </c>
      <c r="C2408" s="7" t="s">
        <v>3412</v>
      </c>
      <c r="D2408" s="5">
        <v>8</v>
      </c>
      <c r="E2408" s="7" t="str">
        <f>_xlfn.XLOOKUP(B2408,Customers!A2408:A3407,Customers!B2408:B3407,"Customer Not Found",0)</f>
        <v>Customer Not Found</v>
      </c>
      <c r="F2408" s="7" t="str">
        <f>_xlfn.XLOOKUP(Orders!B2408,Customers!A2408:A3407,Customers!C2408:C3407,"Country not Found",0)</f>
        <v>Country not Found</v>
      </c>
      <c r="G2408" s="7" t="str">
        <f>_xlfn.XLOOKUP(C2408,Products!A2408:A2907,Products!B2408:B2907,"Product Missing",0)</f>
        <v>Product Missing</v>
      </c>
      <c r="H2408" s="7" t="str">
        <f>_xlfn.XLOOKUP(C2408,Products!A2408:A2907,Products!C2408:C2907,"Category Missing",0)</f>
        <v>Category Missing</v>
      </c>
      <c r="I2408" s="11" t="str">
        <f>_xlfn.XLOOKUP(Orders!C2408,Products!A2408:A2907,Products!D2408:D2907,"Price Missing",0)</f>
        <v>Price Missing</v>
      </c>
      <c r="J2408" s="19">
        <f t="shared" si="37"/>
        <v>0</v>
      </c>
    </row>
    <row r="2409" spans="1:10" x14ac:dyDescent="0.35">
      <c r="A2409" s="4" t="s">
        <v>6429</v>
      </c>
      <c r="B2409" s="7" t="s">
        <v>980</v>
      </c>
      <c r="C2409" s="7" t="s">
        <v>3758</v>
      </c>
      <c r="D2409" s="5">
        <v>7</v>
      </c>
      <c r="E2409" s="7" t="str">
        <f>_xlfn.XLOOKUP(B2409,Customers!A2409:A3408,Customers!B2409:B3408,"Customer Not Found",0)</f>
        <v>Customer Not Found</v>
      </c>
      <c r="F2409" s="7" t="str">
        <f>_xlfn.XLOOKUP(Orders!B2409,Customers!A2409:A3408,Customers!C2409:C3408,"Country not Found",0)</f>
        <v>Country not Found</v>
      </c>
      <c r="G2409" s="7" t="str">
        <f>_xlfn.XLOOKUP(C2409,Products!A2409:A2908,Products!B2409:B2908,"Product Missing",0)</f>
        <v>Product Missing</v>
      </c>
      <c r="H2409" s="7" t="str">
        <f>_xlfn.XLOOKUP(C2409,Products!A2409:A2908,Products!C2409:C2908,"Category Missing",0)</f>
        <v>Category Missing</v>
      </c>
      <c r="I2409" s="11" t="str">
        <f>_xlfn.XLOOKUP(Orders!C2409,Products!A2409:A2908,Products!D2409:D2908,"Price Missing",0)</f>
        <v>Price Missing</v>
      </c>
      <c r="J2409" s="19">
        <f t="shared" si="37"/>
        <v>0</v>
      </c>
    </row>
    <row r="2410" spans="1:10" x14ac:dyDescent="0.35">
      <c r="A2410" s="4" t="s">
        <v>6430</v>
      </c>
      <c r="B2410" s="7" t="s">
        <v>1619</v>
      </c>
      <c r="C2410" s="7" t="s">
        <v>3562</v>
      </c>
      <c r="D2410" s="5">
        <v>10</v>
      </c>
      <c r="E2410" s="7" t="str">
        <f>_xlfn.XLOOKUP(B2410,Customers!A2410:A3409,Customers!B2410:B3409,"Customer Not Found",0)</f>
        <v>Customer Not Found</v>
      </c>
      <c r="F2410" s="7" t="str">
        <f>_xlfn.XLOOKUP(Orders!B2410,Customers!A2410:A3409,Customers!C2410:C3409,"Country not Found",0)</f>
        <v>Country not Found</v>
      </c>
      <c r="G2410" s="7" t="str">
        <f>_xlfn.XLOOKUP(C2410,Products!A2410:A2909,Products!B2410:B2909,"Product Missing",0)</f>
        <v>Product Missing</v>
      </c>
      <c r="H2410" s="7" t="str">
        <f>_xlfn.XLOOKUP(C2410,Products!A2410:A2909,Products!C2410:C2909,"Category Missing",0)</f>
        <v>Category Missing</v>
      </c>
      <c r="I2410" s="11" t="str">
        <f>_xlfn.XLOOKUP(Orders!C2410,Products!A2410:A2909,Products!D2410:D2909,"Price Missing",0)</f>
        <v>Price Missing</v>
      </c>
      <c r="J2410" s="19">
        <f t="shared" si="37"/>
        <v>0</v>
      </c>
    </row>
    <row r="2411" spans="1:10" x14ac:dyDescent="0.35">
      <c r="A2411" s="4" t="s">
        <v>6431</v>
      </c>
      <c r="B2411" s="7" t="s">
        <v>2570</v>
      </c>
      <c r="C2411" s="7" t="s">
        <v>3332</v>
      </c>
      <c r="D2411" s="5">
        <v>6</v>
      </c>
      <c r="E2411" s="7" t="str">
        <f>_xlfn.XLOOKUP(B2411,Customers!A2411:A3410,Customers!B2411:B3410,"Customer Not Found",0)</f>
        <v>Customer Not Found</v>
      </c>
      <c r="F2411" s="7" t="str">
        <f>_xlfn.XLOOKUP(Orders!B2411,Customers!A2411:A3410,Customers!C2411:C3410,"Country not Found",0)</f>
        <v>Country not Found</v>
      </c>
      <c r="G2411" s="7" t="str">
        <f>_xlfn.XLOOKUP(C2411,Products!A2411:A2910,Products!B2411:B2910,"Product Missing",0)</f>
        <v>Product Missing</v>
      </c>
      <c r="H2411" s="7" t="str">
        <f>_xlfn.XLOOKUP(C2411,Products!A2411:A2910,Products!C2411:C2910,"Category Missing",0)</f>
        <v>Category Missing</v>
      </c>
      <c r="I2411" s="11" t="str">
        <f>_xlfn.XLOOKUP(Orders!C2411,Products!A2411:A2910,Products!D2411:D2910,"Price Missing",0)</f>
        <v>Price Missing</v>
      </c>
      <c r="J2411" s="19">
        <f t="shared" si="37"/>
        <v>0</v>
      </c>
    </row>
    <row r="2412" spans="1:10" x14ac:dyDescent="0.35">
      <c r="A2412" s="4" t="s">
        <v>6432</v>
      </c>
      <c r="B2412" s="7" t="s">
        <v>2384</v>
      </c>
      <c r="C2412" s="7" t="s">
        <v>3590</v>
      </c>
      <c r="D2412" s="5">
        <v>3</v>
      </c>
      <c r="E2412" s="7" t="str">
        <f>_xlfn.XLOOKUP(B2412,Customers!A2412:A3411,Customers!B2412:B3411,"Customer Not Found",0)</f>
        <v>Customer Not Found</v>
      </c>
      <c r="F2412" s="7" t="str">
        <f>_xlfn.XLOOKUP(Orders!B2412,Customers!A2412:A3411,Customers!C2412:C3411,"Country not Found",0)</f>
        <v>Country not Found</v>
      </c>
      <c r="G2412" s="7" t="str">
        <f>_xlfn.XLOOKUP(C2412,Products!A2412:A2911,Products!B2412:B2911,"Product Missing",0)</f>
        <v>Product Missing</v>
      </c>
      <c r="H2412" s="7" t="str">
        <f>_xlfn.XLOOKUP(C2412,Products!A2412:A2911,Products!C2412:C2911,"Category Missing",0)</f>
        <v>Category Missing</v>
      </c>
      <c r="I2412" s="11" t="str">
        <f>_xlfn.XLOOKUP(Orders!C2412,Products!A2412:A2911,Products!D2412:D2911,"Price Missing",0)</f>
        <v>Price Missing</v>
      </c>
      <c r="J2412" s="19">
        <f t="shared" si="37"/>
        <v>0</v>
      </c>
    </row>
    <row r="2413" spans="1:10" x14ac:dyDescent="0.35">
      <c r="A2413" s="4" t="s">
        <v>6433</v>
      </c>
      <c r="B2413" s="7" t="s">
        <v>2564</v>
      </c>
      <c r="C2413" s="7" t="s">
        <v>3440</v>
      </c>
      <c r="D2413" s="5">
        <v>1</v>
      </c>
      <c r="E2413" s="7" t="str">
        <f>_xlfn.XLOOKUP(B2413,Customers!A2413:A3412,Customers!B2413:B3412,"Customer Not Found",0)</f>
        <v>Customer Not Found</v>
      </c>
      <c r="F2413" s="7" t="str">
        <f>_xlfn.XLOOKUP(Orders!B2413,Customers!A2413:A3412,Customers!C2413:C3412,"Country not Found",0)</f>
        <v>Country not Found</v>
      </c>
      <c r="G2413" s="7" t="str">
        <f>_xlfn.XLOOKUP(C2413,Products!A2413:A2912,Products!B2413:B2912,"Product Missing",0)</f>
        <v>Product Missing</v>
      </c>
      <c r="H2413" s="7" t="str">
        <f>_xlfn.XLOOKUP(C2413,Products!A2413:A2912,Products!C2413:C2912,"Category Missing",0)</f>
        <v>Category Missing</v>
      </c>
      <c r="I2413" s="11" t="str">
        <f>_xlfn.XLOOKUP(Orders!C2413,Products!A2413:A2912,Products!D2413:D2912,"Price Missing",0)</f>
        <v>Price Missing</v>
      </c>
      <c r="J2413" s="19">
        <f t="shared" si="37"/>
        <v>0</v>
      </c>
    </row>
    <row r="2414" spans="1:10" x14ac:dyDescent="0.35">
      <c r="A2414" s="4" t="s">
        <v>6434</v>
      </c>
      <c r="B2414" s="7" t="s">
        <v>1709</v>
      </c>
      <c r="C2414" s="7" t="s">
        <v>3406</v>
      </c>
      <c r="D2414" s="5">
        <v>9</v>
      </c>
      <c r="E2414" s="7" t="str">
        <f>_xlfn.XLOOKUP(B2414,Customers!A2414:A3413,Customers!B2414:B3413,"Customer Not Found",0)</f>
        <v>Customer Not Found</v>
      </c>
      <c r="F2414" s="7" t="str">
        <f>_xlfn.XLOOKUP(Orders!B2414,Customers!A2414:A3413,Customers!C2414:C3413,"Country not Found",0)</f>
        <v>Country not Found</v>
      </c>
      <c r="G2414" s="7" t="str">
        <f>_xlfn.XLOOKUP(C2414,Products!A2414:A2913,Products!B2414:B2913,"Product Missing",0)</f>
        <v>Product Missing</v>
      </c>
      <c r="H2414" s="7" t="str">
        <f>_xlfn.XLOOKUP(C2414,Products!A2414:A2913,Products!C2414:C2913,"Category Missing",0)</f>
        <v>Category Missing</v>
      </c>
      <c r="I2414" s="11" t="str">
        <f>_xlfn.XLOOKUP(Orders!C2414,Products!A2414:A2913,Products!D2414:D2913,"Price Missing",0)</f>
        <v>Price Missing</v>
      </c>
      <c r="J2414" s="19">
        <f t="shared" si="37"/>
        <v>0</v>
      </c>
    </row>
    <row r="2415" spans="1:10" x14ac:dyDescent="0.35">
      <c r="A2415" s="4" t="s">
        <v>6435</v>
      </c>
      <c r="B2415" s="7" t="s">
        <v>58</v>
      </c>
      <c r="C2415" s="7" t="s">
        <v>4010</v>
      </c>
      <c r="D2415" s="5">
        <v>4</v>
      </c>
      <c r="E2415" s="7" t="str">
        <f>_xlfn.XLOOKUP(B2415,Customers!A2415:A3414,Customers!B2415:B3414,"Customer Not Found",0)</f>
        <v>Customer Not Found</v>
      </c>
      <c r="F2415" s="7" t="str">
        <f>_xlfn.XLOOKUP(Orders!B2415,Customers!A2415:A3414,Customers!C2415:C3414,"Country not Found",0)</f>
        <v>Country not Found</v>
      </c>
      <c r="G2415" s="7" t="str">
        <f>_xlfn.XLOOKUP(C2415,Products!A2415:A2914,Products!B2415:B2914,"Product Missing",0)</f>
        <v>Product Missing</v>
      </c>
      <c r="H2415" s="7" t="str">
        <f>_xlfn.XLOOKUP(C2415,Products!A2415:A2914,Products!C2415:C2914,"Category Missing",0)</f>
        <v>Category Missing</v>
      </c>
      <c r="I2415" s="11" t="str">
        <f>_xlfn.XLOOKUP(Orders!C2415,Products!A2415:A2914,Products!D2415:D2914,"Price Missing",0)</f>
        <v>Price Missing</v>
      </c>
      <c r="J2415" s="19">
        <f t="shared" si="37"/>
        <v>0</v>
      </c>
    </row>
    <row r="2416" spans="1:10" x14ac:dyDescent="0.35">
      <c r="A2416" s="4" t="s">
        <v>6436</v>
      </c>
      <c r="B2416" s="7" t="s">
        <v>1955</v>
      </c>
      <c r="C2416" s="7" t="s">
        <v>3464</v>
      </c>
      <c r="D2416" s="5">
        <v>7</v>
      </c>
      <c r="E2416" s="7" t="str">
        <f>_xlfn.XLOOKUP(B2416,Customers!A2416:A3415,Customers!B2416:B3415,"Customer Not Found",0)</f>
        <v>Customer Not Found</v>
      </c>
      <c r="F2416" s="7" t="str">
        <f>_xlfn.XLOOKUP(Orders!B2416,Customers!A2416:A3415,Customers!C2416:C3415,"Country not Found",0)</f>
        <v>Country not Found</v>
      </c>
      <c r="G2416" s="7" t="str">
        <f>_xlfn.XLOOKUP(C2416,Products!A2416:A2915,Products!B2416:B2915,"Product Missing",0)</f>
        <v>Product Missing</v>
      </c>
      <c r="H2416" s="7" t="str">
        <f>_xlfn.XLOOKUP(C2416,Products!A2416:A2915,Products!C2416:C2915,"Category Missing",0)</f>
        <v>Category Missing</v>
      </c>
      <c r="I2416" s="11" t="str">
        <f>_xlfn.XLOOKUP(Orders!C2416,Products!A2416:A2915,Products!D2416:D2915,"Price Missing",0)</f>
        <v>Price Missing</v>
      </c>
      <c r="J2416" s="19">
        <f t="shared" si="37"/>
        <v>0</v>
      </c>
    </row>
    <row r="2417" spans="1:10" x14ac:dyDescent="0.35">
      <c r="A2417" s="4" t="s">
        <v>6437</v>
      </c>
      <c r="B2417" s="7" t="s">
        <v>467</v>
      </c>
      <c r="C2417" s="7" t="s">
        <v>3064</v>
      </c>
      <c r="D2417" s="5">
        <v>6</v>
      </c>
      <c r="E2417" s="7" t="str">
        <f>_xlfn.XLOOKUP(B2417,Customers!A2417:A3416,Customers!B2417:B3416,"Customer Not Found",0)</f>
        <v>Customer Not Found</v>
      </c>
      <c r="F2417" s="7" t="str">
        <f>_xlfn.XLOOKUP(Orders!B2417,Customers!A2417:A3416,Customers!C2417:C3416,"Country not Found",0)</f>
        <v>Country not Found</v>
      </c>
      <c r="G2417" s="7" t="str">
        <f>_xlfn.XLOOKUP(C2417,Products!A2417:A2916,Products!B2417:B2916,"Product Missing",0)</f>
        <v>Product Missing</v>
      </c>
      <c r="H2417" s="7" t="str">
        <f>_xlfn.XLOOKUP(C2417,Products!A2417:A2916,Products!C2417:C2916,"Category Missing",0)</f>
        <v>Category Missing</v>
      </c>
      <c r="I2417" s="11" t="str">
        <f>_xlfn.XLOOKUP(Orders!C2417,Products!A2417:A2916,Products!D2417:D2916,"Price Missing",0)</f>
        <v>Price Missing</v>
      </c>
      <c r="J2417" s="19">
        <f t="shared" si="37"/>
        <v>0</v>
      </c>
    </row>
    <row r="2418" spans="1:10" x14ac:dyDescent="0.35">
      <c r="A2418" s="4" t="s">
        <v>6438</v>
      </c>
      <c r="B2418" s="7" t="s">
        <v>1700</v>
      </c>
      <c r="C2418" s="7" t="s">
        <v>3250</v>
      </c>
      <c r="D2418" s="5">
        <v>6</v>
      </c>
      <c r="E2418" s="7" t="str">
        <f>_xlfn.XLOOKUP(B2418,Customers!A2418:A3417,Customers!B2418:B3417,"Customer Not Found",0)</f>
        <v>Customer Not Found</v>
      </c>
      <c r="F2418" s="7" t="str">
        <f>_xlfn.XLOOKUP(Orders!B2418,Customers!A2418:A3417,Customers!C2418:C3417,"Country not Found",0)</f>
        <v>Country not Found</v>
      </c>
      <c r="G2418" s="7" t="str">
        <f>_xlfn.XLOOKUP(C2418,Products!A2418:A2917,Products!B2418:B2917,"Product Missing",0)</f>
        <v>Product Missing</v>
      </c>
      <c r="H2418" s="7" t="str">
        <f>_xlfn.XLOOKUP(C2418,Products!A2418:A2917,Products!C2418:C2917,"Category Missing",0)</f>
        <v>Category Missing</v>
      </c>
      <c r="I2418" s="11" t="str">
        <f>_xlfn.XLOOKUP(Orders!C2418,Products!A2418:A2917,Products!D2418:D2917,"Price Missing",0)</f>
        <v>Price Missing</v>
      </c>
      <c r="J2418" s="19">
        <f t="shared" si="37"/>
        <v>0</v>
      </c>
    </row>
    <row r="2419" spans="1:10" x14ac:dyDescent="0.35">
      <c r="A2419" s="4" t="s">
        <v>6439</v>
      </c>
      <c r="B2419" s="7" t="s">
        <v>1595</v>
      </c>
      <c r="C2419" s="7" t="s">
        <v>3582</v>
      </c>
      <c r="D2419" s="5">
        <v>3</v>
      </c>
      <c r="E2419" s="7" t="str">
        <f>_xlfn.XLOOKUP(B2419,Customers!A2419:A3418,Customers!B2419:B3418,"Customer Not Found",0)</f>
        <v>Customer Not Found</v>
      </c>
      <c r="F2419" s="7" t="str">
        <f>_xlfn.XLOOKUP(Orders!B2419,Customers!A2419:A3418,Customers!C2419:C3418,"Country not Found",0)</f>
        <v>Country not Found</v>
      </c>
      <c r="G2419" s="7" t="str">
        <f>_xlfn.XLOOKUP(C2419,Products!A2419:A2918,Products!B2419:B2918,"Product Missing",0)</f>
        <v>Product Missing</v>
      </c>
      <c r="H2419" s="7" t="str">
        <f>_xlfn.XLOOKUP(C2419,Products!A2419:A2918,Products!C2419:C2918,"Category Missing",0)</f>
        <v>Category Missing</v>
      </c>
      <c r="I2419" s="11" t="str">
        <f>_xlfn.XLOOKUP(Orders!C2419,Products!A2419:A2918,Products!D2419:D2918,"Price Missing",0)</f>
        <v>Price Missing</v>
      </c>
      <c r="J2419" s="19">
        <f t="shared" si="37"/>
        <v>0</v>
      </c>
    </row>
    <row r="2420" spans="1:10" x14ac:dyDescent="0.35">
      <c r="A2420" s="4" t="s">
        <v>6440</v>
      </c>
      <c r="B2420" s="7" t="s">
        <v>401</v>
      </c>
      <c r="C2420" s="7" t="s">
        <v>3558</v>
      </c>
      <c r="D2420" s="5">
        <v>9</v>
      </c>
      <c r="E2420" s="7" t="str">
        <f>_xlfn.XLOOKUP(B2420,Customers!A2420:A3419,Customers!B2420:B3419,"Customer Not Found",0)</f>
        <v>Customer Not Found</v>
      </c>
      <c r="F2420" s="7" t="str">
        <f>_xlfn.XLOOKUP(Orders!B2420,Customers!A2420:A3419,Customers!C2420:C3419,"Country not Found",0)</f>
        <v>Country not Found</v>
      </c>
      <c r="G2420" s="7" t="str">
        <f>_xlfn.XLOOKUP(C2420,Products!A2420:A2919,Products!B2420:B2919,"Product Missing",0)</f>
        <v>Product Missing</v>
      </c>
      <c r="H2420" s="7" t="str">
        <f>_xlfn.XLOOKUP(C2420,Products!A2420:A2919,Products!C2420:C2919,"Category Missing",0)</f>
        <v>Category Missing</v>
      </c>
      <c r="I2420" s="11" t="str">
        <f>_xlfn.XLOOKUP(Orders!C2420,Products!A2420:A2919,Products!D2420:D2919,"Price Missing",0)</f>
        <v>Price Missing</v>
      </c>
      <c r="J2420" s="19">
        <f t="shared" si="37"/>
        <v>0</v>
      </c>
    </row>
    <row r="2421" spans="1:10" x14ac:dyDescent="0.35">
      <c r="A2421" s="4" t="s">
        <v>6441</v>
      </c>
      <c r="B2421" s="7" t="s">
        <v>2201</v>
      </c>
      <c r="C2421" s="7" t="s">
        <v>3342</v>
      </c>
      <c r="D2421" s="5">
        <v>4</v>
      </c>
      <c r="E2421" s="7" t="str">
        <f>_xlfn.XLOOKUP(B2421,Customers!A2421:A3420,Customers!B2421:B3420,"Customer Not Found",0)</f>
        <v>Customer Not Found</v>
      </c>
      <c r="F2421" s="7" t="str">
        <f>_xlfn.XLOOKUP(Orders!B2421,Customers!A2421:A3420,Customers!C2421:C3420,"Country not Found",0)</f>
        <v>Country not Found</v>
      </c>
      <c r="G2421" s="7" t="str">
        <f>_xlfn.XLOOKUP(C2421,Products!A2421:A2920,Products!B2421:B2920,"Product Missing",0)</f>
        <v>Product Missing</v>
      </c>
      <c r="H2421" s="7" t="str">
        <f>_xlfn.XLOOKUP(C2421,Products!A2421:A2920,Products!C2421:C2920,"Category Missing",0)</f>
        <v>Category Missing</v>
      </c>
      <c r="I2421" s="11" t="str">
        <f>_xlfn.XLOOKUP(Orders!C2421,Products!A2421:A2920,Products!D2421:D2920,"Price Missing",0)</f>
        <v>Price Missing</v>
      </c>
      <c r="J2421" s="19">
        <f t="shared" si="37"/>
        <v>0</v>
      </c>
    </row>
    <row r="2422" spans="1:10" x14ac:dyDescent="0.35">
      <c r="A2422" s="4" t="s">
        <v>6442</v>
      </c>
      <c r="B2422" s="7" t="s">
        <v>1136</v>
      </c>
      <c r="C2422" s="7" t="s">
        <v>3198</v>
      </c>
      <c r="D2422" s="5">
        <v>9</v>
      </c>
      <c r="E2422" s="7" t="str">
        <f>_xlfn.XLOOKUP(B2422,Customers!A2422:A3421,Customers!B2422:B3421,"Customer Not Found",0)</f>
        <v>Customer Not Found</v>
      </c>
      <c r="F2422" s="7" t="str">
        <f>_xlfn.XLOOKUP(Orders!B2422,Customers!A2422:A3421,Customers!C2422:C3421,"Country not Found",0)</f>
        <v>Country not Found</v>
      </c>
      <c r="G2422" s="7" t="str">
        <f>_xlfn.XLOOKUP(C2422,Products!A2422:A2921,Products!B2422:B2921,"Product Missing",0)</f>
        <v>Product Missing</v>
      </c>
      <c r="H2422" s="7" t="str">
        <f>_xlfn.XLOOKUP(C2422,Products!A2422:A2921,Products!C2422:C2921,"Category Missing",0)</f>
        <v>Category Missing</v>
      </c>
      <c r="I2422" s="11" t="str">
        <f>_xlfn.XLOOKUP(Orders!C2422,Products!A2422:A2921,Products!D2422:D2921,"Price Missing",0)</f>
        <v>Price Missing</v>
      </c>
      <c r="J2422" s="19">
        <f t="shared" si="37"/>
        <v>0</v>
      </c>
    </row>
    <row r="2423" spans="1:10" x14ac:dyDescent="0.35">
      <c r="A2423" s="4" t="s">
        <v>6443</v>
      </c>
      <c r="B2423" s="7" t="s">
        <v>1106</v>
      </c>
      <c r="C2423" s="7" t="s">
        <v>3578</v>
      </c>
      <c r="D2423" s="5">
        <v>1</v>
      </c>
      <c r="E2423" s="7" t="str">
        <f>_xlfn.XLOOKUP(B2423,Customers!A2423:A3422,Customers!B2423:B3422,"Customer Not Found",0)</f>
        <v>Customer Not Found</v>
      </c>
      <c r="F2423" s="7" t="str">
        <f>_xlfn.XLOOKUP(Orders!B2423,Customers!A2423:A3422,Customers!C2423:C3422,"Country not Found",0)</f>
        <v>Country not Found</v>
      </c>
      <c r="G2423" s="7" t="str">
        <f>_xlfn.XLOOKUP(C2423,Products!A2423:A2922,Products!B2423:B2922,"Product Missing",0)</f>
        <v>Product Missing</v>
      </c>
      <c r="H2423" s="7" t="str">
        <f>_xlfn.XLOOKUP(C2423,Products!A2423:A2922,Products!C2423:C2922,"Category Missing",0)</f>
        <v>Category Missing</v>
      </c>
      <c r="I2423" s="11" t="str">
        <f>_xlfn.XLOOKUP(Orders!C2423,Products!A2423:A2922,Products!D2423:D2922,"Price Missing",0)</f>
        <v>Price Missing</v>
      </c>
      <c r="J2423" s="19">
        <f t="shared" si="37"/>
        <v>0</v>
      </c>
    </row>
    <row r="2424" spans="1:10" x14ac:dyDescent="0.35">
      <c r="A2424" s="4" t="s">
        <v>6444</v>
      </c>
      <c r="B2424" s="7" t="s">
        <v>416</v>
      </c>
      <c r="C2424" s="7" t="s">
        <v>3440</v>
      </c>
      <c r="D2424" s="5">
        <v>3</v>
      </c>
      <c r="E2424" s="7" t="str">
        <f>_xlfn.XLOOKUP(B2424,Customers!A2424:A3423,Customers!B2424:B3423,"Customer Not Found",0)</f>
        <v>Customer Not Found</v>
      </c>
      <c r="F2424" s="7" t="str">
        <f>_xlfn.XLOOKUP(Orders!B2424,Customers!A2424:A3423,Customers!C2424:C3423,"Country not Found",0)</f>
        <v>Country not Found</v>
      </c>
      <c r="G2424" s="7" t="str">
        <f>_xlfn.XLOOKUP(C2424,Products!A2424:A2923,Products!B2424:B2923,"Product Missing",0)</f>
        <v>Product Missing</v>
      </c>
      <c r="H2424" s="7" t="str">
        <f>_xlfn.XLOOKUP(C2424,Products!A2424:A2923,Products!C2424:C2923,"Category Missing",0)</f>
        <v>Category Missing</v>
      </c>
      <c r="I2424" s="11" t="str">
        <f>_xlfn.XLOOKUP(Orders!C2424,Products!A2424:A2923,Products!D2424:D2923,"Price Missing",0)</f>
        <v>Price Missing</v>
      </c>
      <c r="J2424" s="19">
        <f t="shared" si="37"/>
        <v>0</v>
      </c>
    </row>
    <row r="2425" spans="1:10" x14ac:dyDescent="0.35">
      <c r="A2425" s="4" t="s">
        <v>6445</v>
      </c>
      <c r="B2425" s="7" t="s">
        <v>143</v>
      </c>
      <c r="C2425" s="7" t="s">
        <v>3742</v>
      </c>
      <c r="D2425" s="5">
        <v>5</v>
      </c>
      <c r="E2425" s="7" t="str">
        <f>_xlfn.XLOOKUP(B2425,Customers!A2425:A3424,Customers!B2425:B3424,"Customer Not Found",0)</f>
        <v>Customer Not Found</v>
      </c>
      <c r="F2425" s="7" t="str">
        <f>_xlfn.XLOOKUP(Orders!B2425,Customers!A2425:A3424,Customers!C2425:C3424,"Country not Found",0)</f>
        <v>Country not Found</v>
      </c>
      <c r="G2425" s="7" t="str">
        <f>_xlfn.XLOOKUP(C2425,Products!A2425:A2924,Products!B2425:B2924,"Product Missing",0)</f>
        <v>Product Missing</v>
      </c>
      <c r="H2425" s="7" t="str">
        <f>_xlfn.XLOOKUP(C2425,Products!A2425:A2924,Products!C2425:C2924,"Category Missing",0)</f>
        <v>Category Missing</v>
      </c>
      <c r="I2425" s="11" t="str">
        <f>_xlfn.XLOOKUP(Orders!C2425,Products!A2425:A2924,Products!D2425:D2924,"Price Missing",0)</f>
        <v>Price Missing</v>
      </c>
      <c r="J2425" s="19">
        <f t="shared" si="37"/>
        <v>0</v>
      </c>
    </row>
    <row r="2426" spans="1:10" x14ac:dyDescent="0.35">
      <c r="A2426" s="4" t="s">
        <v>6446</v>
      </c>
      <c r="B2426" s="7" t="s">
        <v>2054</v>
      </c>
      <c r="C2426" s="7" t="s">
        <v>3656</v>
      </c>
      <c r="D2426" s="5">
        <v>5</v>
      </c>
      <c r="E2426" s="7" t="str">
        <f>_xlfn.XLOOKUP(B2426,Customers!A2426:A3425,Customers!B2426:B3425,"Customer Not Found",0)</f>
        <v>Customer Not Found</v>
      </c>
      <c r="F2426" s="7" t="str">
        <f>_xlfn.XLOOKUP(Orders!B2426,Customers!A2426:A3425,Customers!C2426:C3425,"Country not Found",0)</f>
        <v>Country not Found</v>
      </c>
      <c r="G2426" s="7" t="str">
        <f>_xlfn.XLOOKUP(C2426,Products!A2426:A2925,Products!B2426:B2925,"Product Missing",0)</f>
        <v>Product Missing</v>
      </c>
      <c r="H2426" s="7" t="str">
        <f>_xlfn.XLOOKUP(C2426,Products!A2426:A2925,Products!C2426:C2925,"Category Missing",0)</f>
        <v>Category Missing</v>
      </c>
      <c r="I2426" s="11" t="str">
        <f>_xlfn.XLOOKUP(Orders!C2426,Products!A2426:A2925,Products!D2426:D2925,"Price Missing",0)</f>
        <v>Price Missing</v>
      </c>
      <c r="J2426" s="19">
        <f t="shared" si="37"/>
        <v>0</v>
      </c>
    </row>
    <row r="2427" spans="1:10" x14ac:dyDescent="0.35">
      <c r="A2427" s="4" t="s">
        <v>6447</v>
      </c>
      <c r="B2427" s="7" t="s">
        <v>1577</v>
      </c>
      <c r="C2427" s="7" t="s">
        <v>3025</v>
      </c>
      <c r="D2427" s="5">
        <v>8</v>
      </c>
      <c r="E2427" s="7" t="str">
        <f>_xlfn.XLOOKUP(B2427,Customers!A2427:A3426,Customers!B2427:B3426,"Customer Not Found",0)</f>
        <v>Customer Not Found</v>
      </c>
      <c r="F2427" s="7" t="str">
        <f>_xlfn.XLOOKUP(Orders!B2427,Customers!A2427:A3426,Customers!C2427:C3426,"Country not Found",0)</f>
        <v>Country not Found</v>
      </c>
      <c r="G2427" s="7" t="str">
        <f>_xlfn.XLOOKUP(C2427,Products!A2427:A2926,Products!B2427:B2926,"Product Missing",0)</f>
        <v>Product Missing</v>
      </c>
      <c r="H2427" s="7" t="str">
        <f>_xlfn.XLOOKUP(C2427,Products!A2427:A2926,Products!C2427:C2926,"Category Missing",0)</f>
        <v>Category Missing</v>
      </c>
      <c r="I2427" s="11" t="str">
        <f>_xlfn.XLOOKUP(Orders!C2427,Products!A2427:A2926,Products!D2427:D2926,"Price Missing",0)</f>
        <v>Price Missing</v>
      </c>
      <c r="J2427" s="19">
        <f t="shared" si="37"/>
        <v>0</v>
      </c>
    </row>
    <row r="2428" spans="1:10" x14ac:dyDescent="0.35">
      <c r="A2428" s="4" t="s">
        <v>6448</v>
      </c>
      <c r="B2428" s="7" t="s">
        <v>2336</v>
      </c>
      <c r="C2428" s="7" t="s">
        <v>3952</v>
      </c>
      <c r="D2428" s="5">
        <v>2</v>
      </c>
      <c r="E2428" s="7" t="str">
        <f>_xlfn.XLOOKUP(B2428,Customers!A2428:A3427,Customers!B2428:B3427,"Customer Not Found",0)</f>
        <v>Customer Not Found</v>
      </c>
      <c r="F2428" s="7" t="str">
        <f>_xlfn.XLOOKUP(Orders!B2428,Customers!A2428:A3427,Customers!C2428:C3427,"Country not Found",0)</f>
        <v>Country not Found</v>
      </c>
      <c r="G2428" s="7" t="str">
        <f>_xlfn.XLOOKUP(C2428,Products!A2428:A2927,Products!B2428:B2927,"Product Missing",0)</f>
        <v>Product Missing</v>
      </c>
      <c r="H2428" s="7" t="str">
        <f>_xlfn.XLOOKUP(C2428,Products!A2428:A2927,Products!C2428:C2927,"Category Missing",0)</f>
        <v>Category Missing</v>
      </c>
      <c r="I2428" s="11" t="str">
        <f>_xlfn.XLOOKUP(Orders!C2428,Products!A2428:A2927,Products!D2428:D2927,"Price Missing",0)</f>
        <v>Price Missing</v>
      </c>
      <c r="J2428" s="19">
        <f t="shared" si="37"/>
        <v>0</v>
      </c>
    </row>
    <row r="2429" spans="1:10" x14ac:dyDescent="0.35">
      <c r="A2429" s="4" t="s">
        <v>6449</v>
      </c>
      <c r="B2429" s="7" t="s">
        <v>46</v>
      </c>
      <c r="C2429" s="7" t="s">
        <v>3916</v>
      </c>
      <c r="D2429" s="5">
        <v>2</v>
      </c>
      <c r="E2429" s="7" t="str">
        <f>_xlfn.XLOOKUP(B2429,Customers!A2429:A3428,Customers!B2429:B3428,"Customer Not Found",0)</f>
        <v>Customer Not Found</v>
      </c>
      <c r="F2429" s="7" t="str">
        <f>_xlfn.XLOOKUP(Orders!B2429,Customers!A2429:A3428,Customers!C2429:C3428,"Country not Found",0)</f>
        <v>Country not Found</v>
      </c>
      <c r="G2429" s="7" t="str">
        <f>_xlfn.XLOOKUP(C2429,Products!A2429:A2928,Products!B2429:B2928,"Product Missing",0)</f>
        <v>Product Missing</v>
      </c>
      <c r="H2429" s="7" t="str">
        <f>_xlfn.XLOOKUP(C2429,Products!A2429:A2928,Products!C2429:C2928,"Category Missing",0)</f>
        <v>Category Missing</v>
      </c>
      <c r="I2429" s="11" t="str">
        <f>_xlfn.XLOOKUP(Orders!C2429,Products!A2429:A2928,Products!D2429:D2928,"Price Missing",0)</f>
        <v>Price Missing</v>
      </c>
      <c r="J2429" s="19">
        <f t="shared" si="37"/>
        <v>0</v>
      </c>
    </row>
    <row r="2430" spans="1:10" x14ac:dyDescent="0.35">
      <c r="A2430" s="4" t="s">
        <v>6450</v>
      </c>
      <c r="B2430" s="7" t="s">
        <v>812</v>
      </c>
      <c r="C2430" s="7" t="s">
        <v>3758</v>
      </c>
      <c r="D2430" s="5">
        <v>3</v>
      </c>
      <c r="E2430" s="7" t="str">
        <f>_xlfn.XLOOKUP(B2430,Customers!A2430:A3429,Customers!B2430:B3429,"Customer Not Found",0)</f>
        <v>Customer Not Found</v>
      </c>
      <c r="F2430" s="7" t="str">
        <f>_xlfn.XLOOKUP(Orders!B2430,Customers!A2430:A3429,Customers!C2430:C3429,"Country not Found",0)</f>
        <v>Country not Found</v>
      </c>
      <c r="G2430" s="7" t="str">
        <f>_xlfn.XLOOKUP(C2430,Products!A2430:A2929,Products!B2430:B2929,"Product Missing",0)</f>
        <v>Product Missing</v>
      </c>
      <c r="H2430" s="7" t="str">
        <f>_xlfn.XLOOKUP(C2430,Products!A2430:A2929,Products!C2430:C2929,"Category Missing",0)</f>
        <v>Category Missing</v>
      </c>
      <c r="I2430" s="11" t="str">
        <f>_xlfn.XLOOKUP(Orders!C2430,Products!A2430:A2929,Products!D2430:D2929,"Price Missing",0)</f>
        <v>Price Missing</v>
      </c>
      <c r="J2430" s="19">
        <f t="shared" si="37"/>
        <v>0</v>
      </c>
    </row>
    <row r="2431" spans="1:10" x14ac:dyDescent="0.35">
      <c r="A2431" s="4" t="s">
        <v>6451</v>
      </c>
      <c r="B2431" s="7" t="s">
        <v>1619</v>
      </c>
      <c r="C2431" s="7" t="s">
        <v>3300</v>
      </c>
      <c r="D2431" s="5">
        <v>4</v>
      </c>
      <c r="E2431" s="7" t="str">
        <f>_xlfn.XLOOKUP(B2431,Customers!A2431:A3430,Customers!B2431:B3430,"Customer Not Found",0)</f>
        <v>Customer Not Found</v>
      </c>
      <c r="F2431" s="7" t="str">
        <f>_xlfn.XLOOKUP(Orders!B2431,Customers!A2431:A3430,Customers!C2431:C3430,"Country not Found",0)</f>
        <v>Country not Found</v>
      </c>
      <c r="G2431" s="7" t="str">
        <f>_xlfn.XLOOKUP(C2431,Products!A2431:A2930,Products!B2431:B2930,"Product Missing",0)</f>
        <v>Product Missing</v>
      </c>
      <c r="H2431" s="7" t="str">
        <f>_xlfn.XLOOKUP(C2431,Products!A2431:A2930,Products!C2431:C2930,"Category Missing",0)</f>
        <v>Category Missing</v>
      </c>
      <c r="I2431" s="11" t="str">
        <f>_xlfn.XLOOKUP(Orders!C2431,Products!A2431:A2930,Products!D2431:D2930,"Price Missing",0)</f>
        <v>Price Missing</v>
      </c>
      <c r="J2431" s="19">
        <f t="shared" si="37"/>
        <v>0</v>
      </c>
    </row>
    <row r="2432" spans="1:10" x14ac:dyDescent="0.35">
      <c r="A2432" s="4" t="s">
        <v>6452</v>
      </c>
      <c r="B2432" s="7" t="s">
        <v>2564</v>
      </c>
      <c r="C2432" s="7" t="s">
        <v>3718</v>
      </c>
      <c r="D2432" s="5">
        <v>1</v>
      </c>
      <c r="E2432" s="7" t="str">
        <f>_xlfn.XLOOKUP(B2432,Customers!A2432:A3431,Customers!B2432:B3431,"Customer Not Found",0)</f>
        <v>Customer Not Found</v>
      </c>
      <c r="F2432" s="7" t="str">
        <f>_xlfn.XLOOKUP(Orders!B2432,Customers!A2432:A3431,Customers!C2432:C3431,"Country not Found",0)</f>
        <v>Country not Found</v>
      </c>
      <c r="G2432" s="7" t="str">
        <f>_xlfn.XLOOKUP(C2432,Products!A2432:A2931,Products!B2432:B2931,"Product Missing",0)</f>
        <v>Product Missing</v>
      </c>
      <c r="H2432" s="7" t="str">
        <f>_xlfn.XLOOKUP(C2432,Products!A2432:A2931,Products!C2432:C2931,"Category Missing",0)</f>
        <v>Category Missing</v>
      </c>
      <c r="I2432" s="11" t="str">
        <f>_xlfn.XLOOKUP(Orders!C2432,Products!A2432:A2931,Products!D2432:D2931,"Price Missing",0)</f>
        <v>Price Missing</v>
      </c>
      <c r="J2432" s="19">
        <f t="shared" si="37"/>
        <v>0</v>
      </c>
    </row>
    <row r="2433" spans="1:10" x14ac:dyDescent="0.35">
      <c r="A2433" s="4" t="s">
        <v>6453</v>
      </c>
      <c r="B2433" s="7" t="s">
        <v>575</v>
      </c>
      <c r="C2433" s="7" t="s">
        <v>3328</v>
      </c>
      <c r="D2433" s="5">
        <v>7</v>
      </c>
      <c r="E2433" s="7" t="str">
        <f>_xlfn.XLOOKUP(B2433,Customers!A2433:A3432,Customers!B2433:B3432,"Customer Not Found",0)</f>
        <v>Customer Not Found</v>
      </c>
      <c r="F2433" s="7" t="str">
        <f>_xlfn.XLOOKUP(Orders!B2433,Customers!A2433:A3432,Customers!C2433:C3432,"Country not Found",0)</f>
        <v>Country not Found</v>
      </c>
      <c r="G2433" s="7" t="str">
        <f>_xlfn.XLOOKUP(C2433,Products!A2433:A2932,Products!B2433:B2932,"Product Missing",0)</f>
        <v>Product Missing</v>
      </c>
      <c r="H2433" s="7" t="str">
        <f>_xlfn.XLOOKUP(C2433,Products!A2433:A2932,Products!C2433:C2932,"Category Missing",0)</f>
        <v>Category Missing</v>
      </c>
      <c r="I2433" s="11" t="str">
        <f>_xlfn.XLOOKUP(Orders!C2433,Products!A2433:A2932,Products!D2433:D2932,"Price Missing",0)</f>
        <v>Price Missing</v>
      </c>
      <c r="J2433" s="19">
        <f t="shared" si="37"/>
        <v>0</v>
      </c>
    </row>
    <row r="2434" spans="1:10" x14ac:dyDescent="0.35">
      <c r="A2434" s="4" t="s">
        <v>6454</v>
      </c>
      <c r="B2434" s="7" t="s">
        <v>2585</v>
      </c>
      <c r="C2434" s="7" t="s">
        <v>3138</v>
      </c>
      <c r="D2434" s="5">
        <v>8</v>
      </c>
      <c r="E2434" s="7" t="str">
        <f>_xlfn.XLOOKUP(B2434,Customers!A2434:A3433,Customers!B2434:B3433,"Customer Not Found",0)</f>
        <v>Customer Not Found</v>
      </c>
      <c r="F2434" s="7" t="str">
        <f>_xlfn.XLOOKUP(Orders!B2434,Customers!A2434:A3433,Customers!C2434:C3433,"Country not Found",0)</f>
        <v>Country not Found</v>
      </c>
      <c r="G2434" s="7" t="str">
        <f>_xlfn.XLOOKUP(C2434,Products!A2434:A2933,Products!B2434:B2933,"Product Missing",0)</f>
        <v>Product Missing</v>
      </c>
      <c r="H2434" s="7" t="str">
        <f>_xlfn.XLOOKUP(C2434,Products!A2434:A2933,Products!C2434:C2933,"Category Missing",0)</f>
        <v>Category Missing</v>
      </c>
      <c r="I2434" s="11" t="str">
        <f>_xlfn.XLOOKUP(Orders!C2434,Products!A2434:A2933,Products!D2434:D2933,"Price Missing",0)</f>
        <v>Price Missing</v>
      </c>
      <c r="J2434" s="19">
        <f t="shared" si="37"/>
        <v>0</v>
      </c>
    </row>
    <row r="2435" spans="1:10" x14ac:dyDescent="0.35">
      <c r="A2435" s="4" t="s">
        <v>6455</v>
      </c>
      <c r="B2435" s="7" t="s">
        <v>1178</v>
      </c>
      <c r="C2435" s="7" t="s">
        <v>3756</v>
      </c>
      <c r="D2435" s="5">
        <v>1</v>
      </c>
      <c r="E2435" s="7" t="str">
        <f>_xlfn.XLOOKUP(B2435,Customers!A2435:A3434,Customers!B2435:B3434,"Customer Not Found",0)</f>
        <v>Customer Not Found</v>
      </c>
      <c r="F2435" s="7" t="str">
        <f>_xlfn.XLOOKUP(Orders!B2435,Customers!A2435:A3434,Customers!C2435:C3434,"Country not Found",0)</f>
        <v>Country not Found</v>
      </c>
      <c r="G2435" s="7" t="str">
        <f>_xlfn.XLOOKUP(C2435,Products!A2435:A2934,Products!B2435:B2934,"Product Missing",0)</f>
        <v>Product Missing</v>
      </c>
      <c r="H2435" s="7" t="str">
        <f>_xlfn.XLOOKUP(C2435,Products!A2435:A2934,Products!C2435:C2934,"Category Missing",0)</f>
        <v>Category Missing</v>
      </c>
      <c r="I2435" s="11" t="str">
        <f>_xlfn.XLOOKUP(Orders!C2435,Products!A2435:A2934,Products!D2435:D2934,"Price Missing",0)</f>
        <v>Price Missing</v>
      </c>
      <c r="J2435" s="19">
        <f t="shared" ref="J2435:J2498" si="38">IFERROR(I2435*D2435,0)</f>
        <v>0</v>
      </c>
    </row>
    <row r="2436" spans="1:10" x14ac:dyDescent="0.35">
      <c r="A2436" s="4" t="s">
        <v>6456</v>
      </c>
      <c r="B2436" s="7" t="s">
        <v>1685</v>
      </c>
      <c r="C2436" s="7" t="s">
        <v>3116</v>
      </c>
      <c r="D2436" s="5">
        <v>8</v>
      </c>
      <c r="E2436" s="7" t="str">
        <f>_xlfn.XLOOKUP(B2436,Customers!A2436:A3435,Customers!B2436:B3435,"Customer Not Found",0)</f>
        <v>Customer Not Found</v>
      </c>
      <c r="F2436" s="7" t="str">
        <f>_xlfn.XLOOKUP(Orders!B2436,Customers!A2436:A3435,Customers!C2436:C3435,"Country not Found",0)</f>
        <v>Country not Found</v>
      </c>
      <c r="G2436" s="7" t="str">
        <f>_xlfn.XLOOKUP(C2436,Products!A2436:A2935,Products!B2436:B2935,"Product Missing",0)</f>
        <v>Product Missing</v>
      </c>
      <c r="H2436" s="7" t="str">
        <f>_xlfn.XLOOKUP(C2436,Products!A2436:A2935,Products!C2436:C2935,"Category Missing",0)</f>
        <v>Category Missing</v>
      </c>
      <c r="I2436" s="11" t="str">
        <f>_xlfn.XLOOKUP(Orders!C2436,Products!A2436:A2935,Products!D2436:D2935,"Price Missing",0)</f>
        <v>Price Missing</v>
      </c>
      <c r="J2436" s="19">
        <f t="shared" si="38"/>
        <v>0</v>
      </c>
    </row>
    <row r="2437" spans="1:10" x14ac:dyDescent="0.35">
      <c r="A2437" s="4" t="s">
        <v>6457</v>
      </c>
      <c r="B2437" s="7" t="s">
        <v>1790</v>
      </c>
      <c r="C2437" s="7" t="s">
        <v>3874</v>
      </c>
      <c r="D2437" s="5">
        <v>10</v>
      </c>
      <c r="E2437" s="7" t="str">
        <f>_xlfn.XLOOKUP(B2437,Customers!A2437:A3436,Customers!B2437:B3436,"Customer Not Found",0)</f>
        <v>Customer Not Found</v>
      </c>
      <c r="F2437" s="7" t="str">
        <f>_xlfn.XLOOKUP(Orders!B2437,Customers!A2437:A3436,Customers!C2437:C3436,"Country not Found",0)</f>
        <v>Country not Found</v>
      </c>
      <c r="G2437" s="7" t="str">
        <f>_xlfn.XLOOKUP(C2437,Products!A2437:A2936,Products!B2437:B2936,"Product Missing",0)</f>
        <v>Product Missing</v>
      </c>
      <c r="H2437" s="7" t="str">
        <f>_xlfn.XLOOKUP(C2437,Products!A2437:A2936,Products!C2437:C2936,"Category Missing",0)</f>
        <v>Category Missing</v>
      </c>
      <c r="I2437" s="11" t="str">
        <f>_xlfn.XLOOKUP(Orders!C2437,Products!A2437:A2936,Products!D2437:D2936,"Price Missing",0)</f>
        <v>Price Missing</v>
      </c>
      <c r="J2437" s="19">
        <f t="shared" si="38"/>
        <v>0</v>
      </c>
    </row>
    <row r="2438" spans="1:10" x14ac:dyDescent="0.35">
      <c r="A2438" s="4" t="s">
        <v>6458</v>
      </c>
      <c r="B2438" s="7" t="s">
        <v>2015</v>
      </c>
      <c r="C2438" s="7" t="s">
        <v>3054</v>
      </c>
      <c r="D2438" s="5">
        <v>4</v>
      </c>
      <c r="E2438" s="7" t="str">
        <f>_xlfn.XLOOKUP(B2438,Customers!A2438:A3437,Customers!B2438:B3437,"Customer Not Found",0)</f>
        <v>Customer Not Found</v>
      </c>
      <c r="F2438" s="7" t="str">
        <f>_xlfn.XLOOKUP(Orders!B2438,Customers!A2438:A3437,Customers!C2438:C3437,"Country not Found",0)</f>
        <v>Country not Found</v>
      </c>
      <c r="G2438" s="7" t="str">
        <f>_xlfn.XLOOKUP(C2438,Products!A2438:A2937,Products!B2438:B2937,"Product Missing",0)</f>
        <v>Product Missing</v>
      </c>
      <c r="H2438" s="7" t="str">
        <f>_xlfn.XLOOKUP(C2438,Products!A2438:A2937,Products!C2438:C2937,"Category Missing",0)</f>
        <v>Category Missing</v>
      </c>
      <c r="I2438" s="11" t="str">
        <f>_xlfn.XLOOKUP(Orders!C2438,Products!A2438:A2937,Products!D2438:D2937,"Price Missing",0)</f>
        <v>Price Missing</v>
      </c>
      <c r="J2438" s="19">
        <f t="shared" si="38"/>
        <v>0</v>
      </c>
    </row>
    <row r="2439" spans="1:10" x14ac:dyDescent="0.35">
      <c r="A2439" s="4" t="s">
        <v>6459</v>
      </c>
      <c r="B2439" s="7" t="s">
        <v>1742</v>
      </c>
      <c r="C2439" s="7" t="s">
        <v>3120</v>
      </c>
      <c r="D2439" s="5">
        <v>10</v>
      </c>
      <c r="E2439" s="7" t="str">
        <f>_xlfn.XLOOKUP(B2439,Customers!A2439:A3438,Customers!B2439:B3438,"Customer Not Found",0)</f>
        <v>Customer Not Found</v>
      </c>
      <c r="F2439" s="7" t="str">
        <f>_xlfn.XLOOKUP(Orders!B2439,Customers!A2439:A3438,Customers!C2439:C3438,"Country not Found",0)</f>
        <v>Country not Found</v>
      </c>
      <c r="G2439" s="7" t="str">
        <f>_xlfn.XLOOKUP(C2439,Products!A2439:A2938,Products!B2439:B2938,"Product Missing",0)</f>
        <v>Product Missing</v>
      </c>
      <c r="H2439" s="7" t="str">
        <f>_xlfn.XLOOKUP(C2439,Products!A2439:A2938,Products!C2439:C2938,"Category Missing",0)</f>
        <v>Category Missing</v>
      </c>
      <c r="I2439" s="11" t="str">
        <f>_xlfn.XLOOKUP(Orders!C2439,Products!A2439:A2938,Products!D2439:D2938,"Price Missing",0)</f>
        <v>Price Missing</v>
      </c>
      <c r="J2439" s="19">
        <f t="shared" si="38"/>
        <v>0</v>
      </c>
    </row>
    <row r="2440" spans="1:10" x14ac:dyDescent="0.35">
      <c r="A2440" s="4" t="s">
        <v>6460</v>
      </c>
      <c r="B2440" s="7" t="s">
        <v>821</v>
      </c>
      <c r="C2440" s="7" t="s">
        <v>3944</v>
      </c>
      <c r="D2440" s="5">
        <v>9</v>
      </c>
      <c r="E2440" s="7" t="str">
        <f>_xlfn.XLOOKUP(B2440,Customers!A2440:A3439,Customers!B2440:B3439,"Customer Not Found",0)</f>
        <v>Customer Not Found</v>
      </c>
      <c r="F2440" s="7" t="str">
        <f>_xlfn.XLOOKUP(Orders!B2440,Customers!A2440:A3439,Customers!C2440:C3439,"Country not Found",0)</f>
        <v>Country not Found</v>
      </c>
      <c r="G2440" s="7" t="str">
        <f>_xlfn.XLOOKUP(C2440,Products!A2440:A2939,Products!B2440:B2939,"Product Missing",0)</f>
        <v>Product Missing</v>
      </c>
      <c r="H2440" s="7" t="str">
        <f>_xlfn.XLOOKUP(C2440,Products!A2440:A2939,Products!C2440:C2939,"Category Missing",0)</f>
        <v>Category Missing</v>
      </c>
      <c r="I2440" s="11" t="str">
        <f>_xlfn.XLOOKUP(Orders!C2440,Products!A2440:A2939,Products!D2440:D2939,"Price Missing",0)</f>
        <v>Price Missing</v>
      </c>
      <c r="J2440" s="19">
        <f t="shared" si="38"/>
        <v>0</v>
      </c>
    </row>
    <row r="2441" spans="1:10" x14ac:dyDescent="0.35">
      <c r="A2441" s="4" t="s">
        <v>6461</v>
      </c>
      <c r="B2441" s="7" t="s">
        <v>158</v>
      </c>
      <c r="C2441" s="7" t="s">
        <v>3494</v>
      </c>
      <c r="D2441" s="5">
        <v>6</v>
      </c>
      <c r="E2441" s="7" t="str">
        <f>_xlfn.XLOOKUP(B2441,Customers!A2441:A3440,Customers!B2441:B3440,"Customer Not Found",0)</f>
        <v>Customer Not Found</v>
      </c>
      <c r="F2441" s="7" t="str">
        <f>_xlfn.XLOOKUP(Orders!B2441,Customers!A2441:A3440,Customers!C2441:C3440,"Country not Found",0)</f>
        <v>Country not Found</v>
      </c>
      <c r="G2441" s="7" t="str">
        <f>_xlfn.XLOOKUP(C2441,Products!A2441:A2940,Products!B2441:B2940,"Product Missing",0)</f>
        <v>Product Missing</v>
      </c>
      <c r="H2441" s="7" t="str">
        <f>_xlfn.XLOOKUP(C2441,Products!A2441:A2940,Products!C2441:C2940,"Category Missing",0)</f>
        <v>Category Missing</v>
      </c>
      <c r="I2441" s="11" t="str">
        <f>_xlfn.XLOOKUP(Orders!C2441,Products!A2441:A2940,Products!D2441:D2940,"Price Missing",0)</f>
        <v>Price Missing</v>
      </c>
      <c r="J2441" s="19">
        <f t="shared" si="38"/>
        <v>0</v>
      </c>
    </row>
    <row r="2442" spans="1:10" x14ac:dyDescent="0.35">
      <c r="A2442" s="4" t="s">
        <v>6462</v>
      </c>
      <c r="B2442" s="7" t="s">
        <v>2069</v>
      </c>
      <c r="C2442" s="7" t="s">
        <v>3692</v>
      </c>
      <c r="D2442" s="5">
        <v>10</v>
      </c>
      <c r="E2442" s="7" t="str">
        <f>_xlfn.XLOOKUP(B2442,Customers!A2442:A3441,Customers!B2442:B3441,"Customer Not Found",0)</f>
        <v>Customer Not Found</v>
      </c>
      <c r="F2442" s="7" t="str">
        <f>_xlfn.XLOOKUP(Orders!B2442,Customers!A2442:A3441,Customers!C2442:C3441,"Country not Found",0)</f>
        <v>Country not Found</v>
      </c>
      <c r="G2442" s="7" t="str">
        <f>_xlfn.XLOOKUP(C2442,Products!A2442:A2941,Products!B2442:B2941,"Product Missing",0)</f>
        <v>Product Missing</v>
      </c>
      <c r="H2442" s="7" t="str">
        <f>_xlfn.XLOOKUP(C2442,Products!A2442:A2941,Products!C2442:C2941,"Category Missing",0)</f>
        <v>Category Missing</v>
      </c>
      <c r="I2442" s="11" t="str">
        <f>_xlfn.XLOOKUP(Orders!C2442,Products!A2442:A2941,Products!D2442:D2941,"Price Missing",0)</f>
        <v>Price Missing</v>
      </c>
      <c r="J2442" s="19">
        <f t="shared" si="38"/>
        <v>0</v>
      </c>
    </row>
    <row r="2443" spans="1:10" x14ac:dyDescent="0.35">
      <c r="A2443" s="4" t="s">
        <v>6463</v>
      </c>
      <c r="B2443" s="7" t="s">
        <v>2717</v>
      </c>
      <c r="C2443" s="7" t="s">
        <v>3516</v>
      </c>
      <c r="D2443" s="5">
        <v>9</v>
      </c>
      <c r="E2443" s="7" t="str">
        <f>_xlfn.XLOOKUP(B2443,Customers!A2443:A3442,Customers!B2443:B3442,"Customer Not Found",0)</f>
        <v>Customer Not Found</v>
      </c>
      <c r="F2443" s="7" t="str">
        <f>_xlfn.XLOOKUP(Orders!B2443,Customers!A2443:A3442,Customers!C2443:C3442,"Country not Found",0)</f>
        <v>Country not Found</v>
      </c>
      <c r="G2443" s="7" t="str">
        <f>_xlfn.XLOOKUP(C2443,Products!A2443:A2942,Products!B2443:B2942,"Product Missing",0)</f>
        <v>Product Missing</v>
      </c>
      <c r="H2443" s="7" t="str">
        <f>_xlfn.XLOOKUP(C2443,Products!A2443:A2942,Products!C2443:C2942,"Category Missing",0)</f>
        <v>Category Missing</v>
      </c>
      <c r="I2443" s="11" t="str">
        <f>_xlfn.XLOOKUP(Orders!C2443,Products!A2443:A2942,Products!D2443:D2942,"Price Missing",0)</f>
        <v>Price Missing</v>
      </c>
      <c r="J2443" s="19">
        <f t="shared" si="38"/>
        <v>0</v>
      </c>
    </row>
    <row r="2444" spans="1:10" x14ac:dyDescent="0.35">
      <c r="A2444" s="4" t="s">
        <v>6464</v>
      </c>
      <c r="B2444" s="7" t="s">
        <v>1484</v>
      </c>
      <c r="C2444" s="7" t="s">
        <v>3702</v>
      </c>
      <c r="D2444" s="5">
        <v>5</v>
      </c>
      <c r="E2444" s="7" t="str">
        <f>_xlfn.XLOOKUP(B2444,Customers!A2444:A3443,Customers!B2444:B3443,"Customer Not Found",0)</f>
        <v>Customer Not Found</v>
      </c>
      <c r="F2444" s="7" t="str">
        <f>_xlfn.XLOOKUP(Orders!B2444,Customers!A2444:A3443,Customers!C2444:C3443,"Country not Found",0)</f>
        <v>Country not Found</v>
      </c>
      <c r="G2444" s="7" t="str">
        <f>_xlfn.XLOOKUP(C2444,Products!A2444:A2943,Products!B2444:B2943,"Product Missing",0)</f>
        <v>Product Missing</v>
      </c>
      <c r="H2444" s="7" t="str">
        <f>_xlfn.XLOOKUP(C2444,Products!A2444:A2943,Products!C2444:C2943,"Category Missing",0)</f>
        <v>Category Missing</v>
      </c>
      <c r="I2444" s="11" t="str">
        <f>_xlfn.XLOOKUP(Orders!C2444,Products!A2444:A2943,Products!D2444:D2943,"Price Missing",0)</f>
        <v>Price Missing</v>
      </c>
      <c r="J2444" s="19">
        <f t="shared" si="38"/>
        <v>0</v>
      </c>
    </row>
    <row r="2445" spans="1:10" x14ac:dyDescent="0.35">
      <c r="A2445" s="4" t="s">
        <v>6465</v>
      </c>
      <c r="B2445" s="7" t="s">
        <v>2225</v>
      </c>
      <c r="C2445" s="7" t="s">
        <v>3648</v>
      </c>
      <c r="D2445" s="5">
        <v>4</v>
      </c>
      <c r="E2445" s="7" t="str">
        <f>_xlfn.XLOOKUP(B2445,Customers!A2445:A3444,Customers!B2445:B3444,"Customer Not Found",0)</f>
        <v>Customer Not Found</v>
      </c>
      <c r="F2445" s="7" t="str">
        <f>_xlfn.XLOOKUP(Orders!B2445,Customers!A2445:A3444,Customers!C2445:C3444,"Country not Found",0)</f>
        <v>Country not Found</v>
      </c>
      <c r="G2445" s="7" t="str">
        <f>_xlfn.XLOOKUP(C2445,Products!A2445:A2944,Products!B2445:B2944,"Product Missing",0)</f>
        <v>Product Missing</v>
      </c>
      <c r="H2445" s="7" t="str">
        <f>_xlfn.XLOOKUP(C2445,Products!A2445:A2944,Products!C2445:C2944,"Category Missing",0)</f>
        <v>Category Missing</v>
      </c>
      <c r="I2445" s="11" t="str">
        <f>_xlfn.XLOOKUP(Orders!C2445,Products!A2445:A2944,Products!D2445:D2944,"Price Missing",0)</f>
        <v>Price Missing</v>
      </c>
      <c r="J2445" s="19">
        <f t="shared" si="38"/>
        <v>0</v>
      </c>
    </row>
    <row r="2446" spans="1:10" x14ac:dyDescent="0.35">
      <c r="A2446" s="4" t="s">
        <v>6466</v>
      </c>
      <c r="B2446" s="7" t="s">
        <v>356</v>
      </c>
      <c r="C2446" s="7" t="s">
        <v>3874</v>
      </c>
      <c r="D2446" s="5">
        <v>5</v>
      </c>
      <c r="E2446" s="7" t="str">
        <f>_xlfn.XLOOKUP(B2446,Customers!A2446:A3445,Customers!B2446:B3445,"Customer Not Found",0)</f>
        <v>Customer Not Found</v>
      </c>
      <c r="F2446" s="7" t="str">
        <f>_xlfn.XLOOKUP(Orders!B2446,Customers!A2446:A3445,Customers!C2446:C3445,"Country not Found",0)</f>
        <v>Country not Found</v>
      </c>
      <c r="G2446" s="7" t="str">
        <f>_xlfn.XLOOKUP(C2446,Products!A2446:A2945,Products!B2446:B2945,"Product Missing",0)</f>
        <v>Product Missing</v>
      </c>
      <c r="H2446" s="7" t="str">
        <f>_xlfn.XLOOKUP(C2446,Products!A2446:A2945,Products!C2446:C2945,"Category Missing",0)</f>
        <v>Category Missing</v>
      </c>
      <c r="I2446" s="11" t="str">
        <f>_xlfn.XLOOKUP(Orders!C2446,Products!A2446:A2945,Products!D2446:D2945,"Price Missing",0)</f>
        <v>Price Missing</v>
      </c>
      <c r="J2446" s="19">
        <f t="shared" si="38"/>
        <v>0</v>
      </c>
    </row>
    <row r="2447" spans="1:10" x14ac:dyDescent="0.35">
      <c r="A2447" s="4" t="s">
        <v>6467</v>
      </c>
      <c r="B2447" s="7" t="s">
        <v>86</v>
      </c>
      <c r="C2447" s="7" t="s">
        <v>3582</v>
      </c>
      <c r="D2447" s="5">
        <v>7</v>
      </c>
      <c r="E2447" s="7" t="str">
        <f>_xlfn.XLOOKUP(B2447,Customers!A2447:A3446,Customers!B2447:B3446,"Customer Not Found",0)</f>
        <v>Customer Not Found</v>
      </c>
      <c r="F2447" s="7" t="str">
        <f>_xlfn.XLOOKUP(Orders!B2447,Customers!A2447:A3446,Customers!C2447:C3446,"Country not Found",0)</f>
        <v>Country not Found</v>
      </c>
      <c r="G2447" s="7" t="str">
        <f>_xlfn.XLOOKUP(C2447,Products!A2447:A2946,Products!B2447:B2946,"Product Missing",0)</f>
        <v>Product Missing</v>
      </c>
      <c r="H2447" s="7" t="str">
        <f>_xlfn.XLOOKUP(C2447,Products!A2447:A2946,Products!C2447:C2946,"Category Missing",0)</f>
        <v>Category Missing</v>
      </c>
      <c r="I2447" s="11" t="str">
        <f>_xlfn.XLOOKUP(Orders!C2447,Products!A2447:A2946,Products!D2447:D2946,"Price Missing",0)</f>
        <v>Price Missing</v>
      </c>
      <c r="J2447" s="19">
        <f t="shared" si="38"/>
        <v>0</v>
      </c>
    </row>
    <row r="2448" spans="1:10" x14ac:dyDescent="0.35">
      <c r="A2448" s="4" t="s">
        <v>6468</v>
      </c>
      <c r="B2448" s="7" t="s">
        <v>2783</v>
      </c>
      <c r="C2448" s="7" t="s">
        <v>3432</v>
      </c>
      <c r="D2448" s="5">
        <v>8</v>
      </c>
      <c r="E2448" s="7" t="str">
        <f>_xlfn.XLOOKUP(B2448,Customers!A2448:A3447,Customers!B2448:B3447,"Customer Not Found",0)</f>
        <v>Customer Not Found</v>
      </c>
      <c r="F2448" s="7" t="str">
        <f>_xlfn.XLOOKUP(Orders!B2448,Customers!A2448:A3447,Customers!C2448:C3447,"Country not Found",0)</f>
        <v>Country not Found</v>
      </c>
      <c r="G2448" s="7" t="str">
        <f>_xlfn.XLOOKUP(C2448,Products!A2448:A2947,Products!B2448:B2947,"Product Missing",0)</f>
        <v>Product Missing</v>
      </c>
      <c r="H2448" s="7" t="str">
        <f>_xlfn.XLOOKUP(C2448,Products!A2448:A2947,Products!C2448:C2947,"Category Missing",0)</f>
        <v>Category Missing</v>
      </c>
      <c r="I2448" s="11" t="str">
        <f>_xlfn.XLOOKUP(Orders!C2448,Products!A2448:A2947,Products!D2448:D2947,"Price Missing",0)</f>
        <v>Price Missing</v>
      </c>
      <c r="J2448" s="19">
        <f t="shared" si="38"/>
        <v>0</v>
      </c>
    </row>
    <row r="2449" spans="1:10" x14ac:dyDescent="0.35">
      <c r="A2449" s="4" t="s">
        <v>6469</v>
      </c>
      <c r="B2449" s="7" t="s">
        <v>1628</v>
      </c>
      <c r="C2449" s="7" t="s">
        <v>3698</v>
      </c>
      <c r="D2449" s="5">
        <v>7</v>
      </c>
      <c r="E2449" s="7" t="str">
        <f>_xlfn.XLOOKUP(B2449,Customers!A2449:A3448,Customers!B2449:B3448,"Customer Not Found",0)</f>
        <v>Customer Not Found</v>
      </c>
      <c r="F2449" s="7" t="str">
        <f>_xlfn.XLOOKUP(Orders!B2449,Customers!A2449:A3448,Customers!C2449:C3448,"Country not Found",0)</f>
        <v>Country not Found</v>
      </c>
      <c r="G2449" s="7" t="str">
        <f>_xlfn.XLOOKUP(C2449,Products!A2449:A2948,Products!B2449:B2948,"Product Missing",0)</f>
        <v>Product Missing</v>
      </c>
      <c r="H2449" s="7" t="str">
        <f>_xlfn.XLOOKUP(C2449,Products!A2449:A2948,Products!C2449:C2948,"Category Missing",0)</f>
        <v>Category Missing</v>
      </c>
      <c r="I2449" s="11" t="str">
        <f>_xlfn.XLOOKUP(Orders!C2449,Products!A2449:A2948,Products!D2449:D2948,"Price Missing",0)</f>
        <v>Price Missing</v>
      </c>
      <c r="J2449" s="19">
        <f t="shared" si="38"/>
        <v>0</v>
      </c>
    </row>
    <row r="2450" spans="1:10" x14ac:dyDescent="0.35">
      <c r="A2450" s="4" t="s">
        <v>6470</v>
      </c>
      <c r="B2450" s="7" t="s">
        <v>551</v>
      </c>
      <c r="C2450" s="7" t="s">
        <v>3778</v>
      </c>
      <c r="D2450" s="5">
        <v>2</v>
      </c>
      <c r="E2450" s="7" t="str">
        <f>_xlfn.XLOOKUP(B2450,Customers!A2450:A3449,Customers!B2450:B3449,"Customer Not Found",0)</f>
        <v>Customer Not Found</v>
      </c>
      <c r="F2450" s="7" t="str">
        <f>_xlfn.XLOOKUP(Orders!B2450,Customers!A2450:A3449,Customers!C2450:C3449,"Country not Found",0)</f>
        <v>Country not Found</v>
      </c>
      <c r="G2450" s="7" t="str">
        <f>_xlfn.XLOOKUP(C2450,Products!A2450:A2949,Products!B2450:B2949,"Product Missing",0)</f>
        <v>Product Missing</v>
      </c>
      <c r="H2450" s="7" t="str">
        <f>_xlfn.XLOOKUP(C2450,Products!A2450:A2949,Products!C2450:C2949,"Category Missing",0)</f>
        <v>Category Missing</v>
      </c>
      <c r="I2450" s="11" t="str">
        <f>_xlfn.XLOOKUP(Orders!C2450,Products!A2450:A2949,Products!D2450:D2949,"Price Missing",0)</f>
        <v>Price Missing</v>
      </c>
      <c r="J2450" s="19">
        <f t="shared" si="38"/>
        <v>0</v>
      </c>
    </row>
    <row r="2451" spans="1:10" x14ac:dyDescent="0.35">
      <c r="A2451" s="4" t="s">
        <v>6471</v>
      </c>
      <c r="B2451" s="7" t="s">
        <v>929</v>
      </c>
      <c r="C2451" s="7" t="s">
        <v>3578</v>
      </c>
      <c r="D2451" s="5">
        <v>1</v>
      </c>
      <c r="E2451" s="7" t="str">
        <f>_xlfn.XLOOKUP(B2451,Customers!A2451:A3450,Customers!B2451:B3450,"Customer Not Found",0)</f>
        <v>Customer Not Found</v>
      </c>
      <c r="F2451" s="7" t="str">
        <f>_xlfn.XLOOKUP(Orders!B2451,Customers!A2451:A3450,Customers!C2451:C3450,"Country not Found",0)</f>
        <v>Country not Found</v>
      </c>
      <c r="G2451" s="7" t="str">
        <f>_xlfn.XLOOKUP(C2451,Products!A2451:A2950,Products!B2451:B2950,"Product Missing",0)</f>
        <v>Product Missing</v>
      </c>
      <c r="H2451" s="7" t="str">
        <f>_xlfn.XLOOKUP(C2451,Products!A2451:A2950,Products!C2451:C2950,"Category Missing",0)</f>
        <v>Category Missing</v>
      </c>
      <c r="I2451" s="11" t="str">
        <f>_xlfn.XLOOKUP(Orders!C2451,Products!A2451:A2950,Products!D2451:D2950,"Price Missing",0)</f>
        <v>Price Missing</v>
      </c>
      <c r="J2451" s="19">
        <f t="shared" si="38"/>
        <v>0</v>
      </c>
    </row>
    <row r="2452" spans="1:10" x14ac:dyDescent="0.35">
      <c r="A2452" s="4" t="s">
        <v>6472</v>
      </c>
      <c r="B2452" s="7" t="s">
        <v>1445</v>
      </c>
      <c r="C2452" s="7" t="s">
        <v>3718</v>
      </c>
      <c r="D2452" s="5">
        <v>2</v>
      </c>
      <c r="E2452" s="7" t="str">
        <f>_xlfn.XLOOKUP(B2452,Customers!A2452:A3451,Customers!B2452:B3451,"Customer Not Found",0)</f>
        <v>Customer Not Found</v>
      </c>
      <c r="F2452" s="7" t="str">
        <f>_xlfn.XLOOKUP(Orders!B2452,Customers!A2452:A3451,Customers!C2452:C3451,"Country not Found",0)</f>
        <v>Country not Found</v>
      </c>
      <c r="G2452" s="7" t="str">
        <f>_xlfn.XLOOKUP(C2452,Products!A2452:A2951,Products!B2452:B2951,"Product Missing",0)</f>
        <v>Product Missing</v>
      </c>
      <c r="H2452" s="7" t="str">
        <f>_xlfn.XLOOKUP(C2452,Products!A2452:A2951,Products!C2452:C2951,"Category Missing",0)</f>
        <v>Category Missing</v>
      </c>
      <c r="I2452" s="11" t="str">
        <f>_xlfn.XLOOKUP(Orders!C2452,Products!A2452:A2951,Products!D2452:D2951,"Price Missing",0)</f>
        <v>Price Missing</v>
      </c>
      <c r="J2452" s="19">
        <f t="shared" si="38"/>
        <v>0</v>
      </c>
    </row>
    <row r="2453" spans="1:10" x14ac:dyDescent="0.35">
      <c r="A2453" s="4" t="s">
        <v>6473</v>
      </c>
      <c r="B2453" s="7" t="s">
        <v>362</v>
      </c>
      <c r="C2453" s="7" t="s">
        <v>3120</v>
      </c>
      <c r="D2453" s="5">
        <v>8</v>
      </c>
      <c r="E2453" s="7" t="str">
        <f>_xlfn.XLOOKUP(B2453,Customers!A2453:A3452,Customers!B2453:B3452,"Customer Not Found",0)</f>
        <v>Customer Not Found</v>
      </c>
      <c r="F2453" s="7" t="str">
        <f>_xlfn.XLOOKUP(Orders!B2453,Customers!A2453:A3452,Customers!C2453:C3452,"Country not Found",0)</f>
        <v>Country not Found</v>
      </c>
      <c r="G2453" s="7" t="str">
        <f>_xlfn.XLOOKUP(C2453,Products!A2453:A2952,Products!B2453:B2952,"Product Missing",0)</f>
        <v>Product Missing</v>
      </c>
      <c r="H2453" s="7" t="str">
        <f>_xlfn.XLOOKUP(C2453,Products!A2453:A2952,Products!C2453:C2952,"Category Missing",0)</f>
        <v>Category Missing</v>
      </c>
      <c r="I2453" s="11" t="str">
        <f>_xlfn.XLOOKUP(Orders!C2453,Products!A2453:A2952,Products!D2453:D2952,"Price Missing",0)</f>
        <v>Price Missing</v>
      </c>
      <c r="J2453" s="19">
        <f t="shared" si="38"/>
        <v>0</v>
      </c>
    </row>
    <row r="2454" spans="1:10" x14ac:dyDescent="0.35">
      <c r="A2454" s="4" t="s">
        <v>6474</v>
      </c>
      <c r="B2454" s="7" t="s">
        <v>2864</v>
      </c>
      <c r="C2454" s="7" t="s">
        <v>3162</v>
      </c>
      <c r="D2454" s="5">
        <v>6</v>
      </c>
      <c r="E2454" s="7" t="str">
        <f>_xlfn.XLOOKUP(B2454,Customers!A2454:A3453,Customers!B2454:B3453,"Customer Not Found",0)</f>
        <v>Customer Not Found</v>
      </c>
      <c r="F2454" s="7" t="str">
        <f>_xlfn.XLOOKUP(Orders!B2454,Customers!A2454:A3453,Customers!C2454:C3453,"Country not Found",0)</f>
        <v>Country not Found</v>
      </c>
      <c r="G2454" s="7" t="str">
        <f>_xlfn.XLOOKUP(C2454,Products!A2454:A2953,Products!B2454:B2953,"Product Missing",0)</f>
        <v>Product Missing</v>
      </c>
      <c r="H2454" s="7" t="str">
        <f>_xlfn.XLOOKUP(C2454,Products!A2454:A2953,Products!C2454:C2953,"Category Missing",0)</f>
        <v>Category Missing</v>
      </c>
      <c r="I2454" s="11" t="str">
        <f>_xlfn.XLOOKUP(Orders!C2454,Products!A2454:A2953,Products!D2454:D2953,"Price Missing",0)</f>
        <v>Price Missing</v>
      </c>
      <c r="J2454" s="19">
        <f t="shared" si="38"/>
        <v>0</v>
      </c>
    </row>
    <row r="2455" spans="1:10" x14ac:dyDescent="0.35">
      <c r="A2455" s="4" t="s">
        <v>6475</v>
      </c>
      <c r="B2455" s="7" t="s">
        <v>86</v>
      </c>
      <c r="C2455" s="7" t="s">
        <v>4006</v>
      </c>
      <c r="D2455" s="5">
        <v>6</v>
      </c>
      <c r="E2455" s="7" t="str">
        <f>_xlfn.XLOOKUP(B2455,Customers!A2455:A3454,Customers!B2455:B3454,"Customer Not Found",0)</f>
        <v>Customer Not Found</v>
      </c>
      <c r="F2455" s="7" t="str">
        <f>_xlfn.XLOOKUP(Orders!B2455,Customers!A2455:A3454,Customers!C2455:C3454,"Country not Found",0)</f>
        <v>Country not Found</v>
      </c>
      <c r="G2455" s="7" t="str">
        <f>_xlfn.XLOOKUP(C2455,Products!A2455:A2954,Products!B2455:B2954,"Product Missing",0)</f>
        <v>Product Missing</v>
      </c>
      <c r="H2455" s="7" t="str">
        <f>_xlfn.XLOOKUP(C2455,Products!A2455:A2954,Products!C2455:C2954,"Category Missing",0)</f>
        <v>Category Missing</v>
      </c>
      <c r="I2455" s="11" t="str">
        <f>_xlfn.XLOOKUP(Orders!C2455,Products!A2455:A2954,Products!D2455:D2954,"Price Missing",0)</f>
        <v>Price Missing</v>
      </c>
      <c r="J2455" s="19">
        <f t="shared" si="38"/>
        <v>0</v>
      </c>
    </row>
    <row r="2456" spans="1:10" x14ac:dyDescent="0.35">
      <c r="A2456" s="4" t="s">
        <v>6476</v>
      </c>
      <c r="B2456" s="7" t="s">
        <v>2711</v>
      </c>
      <c r="C2456" s="7" t="s">
        <v>3628</v>
      </c>
      <c r="D2456" s="5">
        <v>5</v>
      </c>
      <c r="E2456" s="7" t="str">
        <f>_xlfn.XLOOKUP(B2456,Customers!A2456:A3455,Customers!B2456:B3455,"Customer Not Found",0)</f>
        <v>Customer Not Found</v>
      </c>
      <c r="F2456" s="7" t="str">
        <f>_xlfn.XLOOKUP(Orders!B2456,Customers!A2456:A3455,Customers!C2456:C3455,"Country not Found",0)</f>
        <v>Country not Found</v>
      </c>
      <c r="G2456" s="7" t="str">
        <f>_xlfn.XLOOKUP(C2456,Products!A2456:A2955,Products!B2456:B2955,"Product Missing",0)</f>
        <v>Product Missing</v>
      </c>
      <c r="H2456" s="7" t="str">
        <f>_xlfn.XLOOKUP(C2456,Products!A2456:A2955,Products!C2456:C2955,"Category Missing",0)</f>
        <v>Category Missing</v>
      </c>
      <c r="I2456" s="11" t="str">
        <f>_xlfn.XLOOKUP(Orders!C2456,Products!A2456:A2955,Products!D2456:D2955,"Price Missing",0)</f>
        <v>Price Missing</v>
      </c>
      <c r="J2456" s="19">
        <f t="shared" si="38"/>
        <v>0</v>
      </c>
    </row>
    <row r="2457" spans="1:10" x14ac:dyDescent="0.35">
      <c r="A2457" s="4" t="s">
        <v>6477</v>
      </c>
      <c r="B2457" s="7" t="s">
        <v>131</v>
      </c>
      <c r="C2457" s="7" t="s">
        <v>3786</v>
      </c>
      <c r="D2457" s="5">
        <v>1</v>
      </c>
      <c r="E2457" s="7" t="str">
        <f>_xlfn.XLOOKUP(B2457,Customers!A2457:A3456,Customers!B2457:B3456,"Customer Not Found",0)</f>
        <v>Customer Not Found</v>
      </c>
      <c r="F2457" s="7" t="str">
        <f>_xlfn.XLOOKUP(Orders!B2457,Customers!A2457:A3456,Customers!C2457:C3456,"Country not Found",0)</f>
        <v>Country not Found</v>
      </c>
      <c r="G2457" s="7" t="str">
        <f>_xlfn.XLOOKUP(C2457,Products!A2457:A2956,Products!B2457:B2956,"Product Missing",0)</f>
        <v>Product Missing</v>
      </c>
      <c r="H2457" s="7" t="str">
        <f>_xlfn.XLOOKUP(C2457,Products!A2457:A2956,Products!C2457:C2956,"Category Missing",0)</f>
        <v>Category Missing</v>
      </c>
      <c r="I2457" s="11" t="str">
        <f>_xlfn.XLOOKUP(Orders!C2457,Products!A2457:A2956,Products!D2457:D2956,"Price Missing",0)</f>
        <v>Price Missing</v>
      </c>
      <c r="J2457" s="19">
        <f t="shared" si="38"/>
        <v>0</v>
      </c>
    </row>
    <row r="2458" spans="1:10" x14ac:dyDescent="0.35">
      <c r="A2458" s="4" t="s">
        <v>6478</v>
      </c>
      <c r="B2458" s="7" t="s">
        <v>2435</v>
      </c>
      <c r="C2458" s="7" t="s">
        <v>3054</v>
      </c>
      <c r="D2458" s="5">
        <v>10</v>
      </c>
      <c r="E2458" s="7" t="str">
        <f>_xlfn.XLOOKUP(B2458,Customers!A2458:A3457,Customers!B2458:B3457,"Customer Not Found",0)</f>
        <v>Customer Not Found</v>
      </c>
      <c r="F2458" s="7" t="str">
        <f>_xlfn.XLOOKUP(Orders!B2458,Customers!A2458:A3457,Customers!C2458:C3457,"Country not Found",0)</f>
        <v>Country not Found</v>
      </c>
      <c r="G2458" s="7" t="str">
        <f>_xlfn.XLOOKUP(C2458,Products!A2458:A2957,Products!B2458:B2957,"Product Missing",0)</f>
        <v>Product Missing</v>
      </c>
      <c r="H2458" s="7" t="str">
        <f>_xlfn.XLOOKUP(C2458,Products!A2458:A2957,Products!C2458:C2957,"Category Missing",0)</f>
        <v>Category Missing</v>
      </c>
      <c r="I2458" s="11" t="str">
        <f>_xlfn.XLOOKUP(Orders!C2458,Products!A2458:A2957,Products!D2458:D2957,"Price Missing",0)</f>
        <v>Price Missing</v>
      </c>
      <c r="J2458" s="19">
        <f t="shared" si="38"/>
        <v>0</v>
      </c>
    </row>
    <row r="2459" spans="1:10" x14ac:dyDescent="0.35">
      <c r="A2459" s="4" t="s">
        <v>6479</v>
      </c>
      <c r="B2459" s="7" t="s">
        <v>863</v>
      </c>
      <c r="C2459" s="7" t="s">
        <v>3328</v>
      </c>
      <c r="D2459" s="5">
        <v>2</v>
      </c>
      <c r="E2459" s="7" t="str">
        <f>_xlfn.XLOOKUP(B2459,Customers!A2459:A3458,Customers!B2459:B3458,"Customer Not Found",0)</f>
        <v>Customer Not Found</v>
      </c>
      <c r="F2459" s="7" t="str">
        <f>_xlfn.XLOOKUP(Orders!B2459,Customers!A2459:A3458,Customers!C2459:C3458,"Country not Found",0)</f>
        <v>Country not Found</v>
      </c>
      <c r="G2459" s="7" t="str">
        <f>_xlfn.XLOOKUP(C2459,Products!A2459:A2958,Products!B2459:B2958,"Product Missing",0)</f>
        <v>Product Missing</v>
      </c>
      <c r="H2459" s="7" t="str">
        <f>_xlfn.XLOOKUP(C2459,Products!A2459:A2958,Products!C2459:C2958,"Category Missing",0)</f>
        <v>Category Missing</v>
      </c>
      <c r="I2459" s="11" t="str">
        <f>_xlfn.XLOOKUP(Orders!C2459,Products!A2459:A2958,Products!D2459:D2958,"Price Missing",0)</f>
        <v>Price Missing</v>
      </c>
      <c r="J2459" s="19">
        <f t="shared" si="38"/>
        <v>0</v>
      </c>
    </row>
    <row r="2460" spans="1:10" x14ac:dyDescent="0.35">
      <c r="A2460" s="4" t="s">
        <v>6480</v>
      </c>
      <c r="B2460" s="7" t="s">
        <v>728</v>
      </c>
      <c r="C2460" s="7" t="s">
        <v>3182</v>
      </c>
      <c r="D2460" s="5">
        <v>8</v>
      </c>
      <c r="E2460" s="7" t="str">
        <f>_xlfn.XLOOKUP(B2460,Customers!A2460:A3459,Customers!B2460:B3459,"Customer Not Found",0)</f>
        <v>Customer Not Found</v>
      </c>
      <c r="F2460" s="7" t="str">
        <f>_xlfn.XLOOKUP(Orders!B2460,Customers!A2460:A3459,Customers!C2460:C3459,"Country not Found",0)</f>
        <v>Country not Found</v>
      </c>
      <c r="G2460" s="7" t="str">
        <f>_xlfn.XLOOKUP(C2460,Products!A2460:A2959,Products!B2460:B2959,"Product Missing",0)</f>
        <v>Product Missing</v>
      </c>
      <c r="H2460" s="7" t="str">
        <f>_xlfn.XLOOKUP(C2460,Products!A2460:A2959,Products!C2460:C2959,"Category Missing",0)</f>
        <v>Category Missing</v>
      </c>
      <c r="I2460" s="11" t="str">
        <f>_xlfn.XLOOKUP(Orders!C2460,Products!A2460:A2959,Products!D2460:D2959,"Price Missing",0)</f>
        <v>Price Missing</v>
      </c>
      <c r="J2460" s="19">
        <f t="shared" si="38"/>
        <v>0</v>
      </c>
    </row>
    <row r="2461" spans="1:10" x14ac:dyDescent="0.35">
      <c r="A2461" s="4" t="s">
        <v>6481</v>
      </c>
      <c r="B2461" s="7" t="s">
        <v>683</v>
      </c>
      <c r="C2461" s="7" t="s">
        <v>3174</v>
      </c>
      <c r="D2461" s="5">
        <v>10</v>
      </c>
      <c r="E2461" s="7" t="str">
        <f>_xlfn.XLOOKUP(B2461,Customers!A2461:A3460,Customers!B2461:B3460,"Customer Not Found",0)</f>
        <v>Customer Not Found</v>
      </c>
      <c r="F2461" s="7" t="str">
        <f>_xlfn.XLOOKUP(Orders!B2461,Customers!A2461:A3460,Customers!C2461:C3460,"Country not Found",0)</f>
        <v>Country not Found</v>
      </c>
      <c r="G2461" s="7" t="str">
        <f>_xlfn.XLOOKUP(C2461,Products!A2461:A2960,Products!B2461:B2960,"Product Missing",0)</f>
        <v>Product Missing</v>
      </c>
      <c r="H2461" s="7" t="str">
        <f>_xlfn.XLOOKUP(C2461,Products!A2461:A2960,Products!C2461:C2960,"Category Missing",0)</f>
        <v>Category Missing</v>
      </c>
      <c r="I2461" s="11" t="str">
        <f>_xlfn.XLOOKUP(Orders!C2461,Products!A2461:A2960,Products!D2461:D2960,"Price Missing",0)</f>
        <v>Price Missing</v>
      </c>
      <c r="J2461" s="19">
        <f t="shared" si="38"/>
        <v>0</v>
      </c>
    </row>
    <row r="2462" spans="1:10" x14ac:dyDescent="0.35">
      <c r="A2462" s="4" t="s">
        <v>6482</v>
      </c>
      <c r="B2462" s="7" t="s">
        <v>2963</v>
      </c>
      <c r="C2462" s="7" t="s">
        <v>3854</v>
      </c>
      <c r="D2462" s="5">
        <v>2</v>
      </c>
      <c r="E2462" s="7" t="str">
        <f>_xlfn.XLOOKUP(B2462,Customers!A2462:A3461,Customers!B2462:B3461,"Customer Not Found",0)</f>
        <v>Customer Not Found</v>
      </c>
      <c r="F2462" s="7" t="str">
        <f>_xlfn.XLOOKUP(Orders!B2462,Customers!A2462:A3461,Customers!C2462:C3461,"Country not Found",0)</f>
        <v>Country not Found</v>
      </c>
      <c r="G2462" s="7" t="str">
        <f>_xlfn.XLOOKUP(C2462,Products!A2462:A2961,Products!B2462:B2961,"Product Missing",0)</f>
        <v>Product Missing</v>
      </c>
      <c r="H2462" s="7" t="str">
        <f>_xlfn.XLOOKUP(C2462,Products!A2462:A2961,Products!C2462:C2961,"Category Missing",0)</f>
        <v>Category Missing</v>
      </c>
      <c r="I2462" s="11" t="str">
        <f>_xlfn.XLOOKUP(Orders!C2462,Products!A2462:A2961,Products!D2462:D2961,"Price Missing",0)</f>
        <v>Price Missing</v>
      </c>
      <c r="J2462" s="19">
        <f t="shared" si="38"/>
        <v>0</v>
      </c>
    </row>
    <row r="2463" spans="1:10" x14ac:dyDescent="0.35">
      <c r="A2463" s="4" t="s">
        <v>6483</v>
      </c>
      <c r="B2463" s="7" t="s">
        <v>1040</v>
      </c>
      <c r="C2463" s="7" t="s">
        <v>3416</v>
      </c>
      <c r="D2463" s="5">
        <v>6</v>
      </c>
      <c r="E2463" s="7" t="str">
        <f>_xlfn.XLOOKUP(B2463,Customers!A2463:A3462,Customers!B2463:B3462,"Customer Not Found",0)</f>
        <v>Customer Not Found</v>
      </c>
      <c r="F2463" s="7" t="str">
        <f>_xlfn.XLOOKUP(Orders!B2463,Customers!A2463:A3462,Customers!C2463:C3462,"Country not Found",0)</f>
        <v>Country not Found</v>
      </c>
      <c r="G2463" s="7" t="str">
        <f>_xlfn.XLOOKUP(C2463,Products!A2463:A2962,Products!B2463:B2962,"Product Missing",0)</f>
        <v>Product Missing</v>
      </c>
      <c r="H2463" s="7" t="str">
        <f>_xlfn.XLOOKUP(C2463,Products!A2463:A2962,Products!C2463:C2962,"Category Missing",0)</f>
        <v>Category Missing</v>
      </c>
      <c r="I2463" s="11" t="str">
        <f>_xlfn.XLOOKUP(Orders!C2463,Products!A2463:A2962,Products!D2463:D2962,"Price Missing",0)</f>
        <v>Price Missing</v>
      </c>
      <c r="J2463" s="19">
        <f t="shared" si="38"/>
        <v>0</v>
      </c>
    </row>
    <row r="2464" spans="1:10" x14ac:dyDescent="0.35">
      <c r="A2464" s="4" t="s">
        <v>6484</v>
      </c>
      <c r="B2464" s="7" t="s">
        <v>2687</v>
      </c>
      <c r="C2464" s="7" t="s">
        <v>3728</v>
      </c>
      <c r="D2464" s="5">
        <v>1</v>
      </c>
      <c r="E2464" s="7" t="str">
        <f>_xlfn.XLOOKUP(B2464,Customers!A2464:A3463,Customers!B2464:B3463,"Customer Not Found",0)</f>
        <v>Customer Not Found</v>
      </c>
      <c r="F2464" s="7" t="str">
        <f>_xlfn.XLOOKUP(Orders!B2464,Customers!A2464:A3463,Customers!C2464:C3463,"Country not Found",0)</f>
        <v>Country not Found</v>
      </c>
      <c r="G2464" s="7" t="str">
        <f>_xlfn.XLOOKUP(C2464,Products!A2464:A2963,Products!B2464:B2963,"Product Missing",0)</f>
        <v>Product Missing</v>
      </c>
      <c r="H2464" s="7" t="str">
        <f>_xlfn.XLOOKUP(C2464,Products!A2464:A2963,Products!C2464:C2963,"Category Missing",0)</f>
        <v>Category Missing</v>
      </c>
      <c r="I2464" s="11" t="str">
        <f>_xlfn.XLOOKUP(Orders!C2464,Products!A2464:A2963,Products!D2464:D2963,"Price Missing",0)</f>
        <v>Price Missing</v>
      </c>
      <c r="J2464" s="19">
        <f t="shared" si="38"/>
        <v>0</v>
      </c>
    </row>
    <row r="2465" spans="1:10" x14ac:dyDescent="0.35">
      <c r="A2465" s="4" t="s">
        <v>6485</v>
      </c>
      <c r="B2465" s="7" t="s">
        <v>2216</v>
      </c>
      <c r="C2465" s="7" t="s">
        <v>3112</v>
      </c>
      <c r="D2465" s="5">
        <v>5</v>
      </c>
      <c r="E2465" s="7" t="str">
        <f>_xlfn.XLOOKUP(B2465,Customers!A2465:A3464,Customers!B2465:B3464,"Customer Not Found",0)</f>
        <v>Customer Not Found</v>
      </c>
      <c r="F2465" s="7" t="str">
        <f>_xlfn.XLOOKUP(Orders!B2465,Customers!A2465:A3464,Customers!C2465:C3464,"Country not Found",0)</f>
        <v>Country not Found</v>
      </c>
      <c r="G2465" s="7" t="str">
        <f>_xlfn.XLOOKUP(C2465,Products!A2465:A2964,Products!B2465:B2964,"Product Missing",0)</f>
        <v>Product Missing</v>
      </c>
      <c r="H2465" s="7" t="str">
        <f>_xlfn.XLOOKUP(C2465,Products!A2465:A2964,Products!C2465:C2964,"Category Missing",0)</f>
        <v>Category Missing</v>
      </c>
      <c r="I2465" s="11" t="str">
        <f>_xlfn.XLOOKUP(Orders!C2465,Products!A2465:A2964,Products!D2465:D2964,"Price Missing",0)</f>
        <v>Price Missing</v>
      </c>
      <c r="J2465" s="19">
        <f t="shared" si="38"/>
        <v>0</v>
      </c>
    </row>
    <row r="2466" spans="1:10" x14ac:dyDescent="0.35">
      <c r="A2466" s="4" t="s">
        <v>6486</v>
      </c>
      <c r="B2466" s="7" t="s">
        <v>287</v>
      </c>
      <c r="C2466" s="7" t="s">
        <v>3716</v>
      </c>
      <c r="D2466" s="5">
        <v>10</v>
      </c>
      <c r="E2466" s="7" t="str">
        <f>_xlfn.XLOOKUP(B2466,Customers!A2466:A3465,Customers!B2466:B3465,"Customer Not Found",0)</f>
        <v>Customer Not Found</v>
      </c>
      <c r="F2466" s="7" t="str">
        <f>_xlfn.XLOOKUP(Orders!B2466,Customers!A2466:A3465,Customers!C2466:C3465,"Country not Found",0)</f>
        <v>Country not Found</v>
      </c>
      <c r="G2466" s="7" t="str">
        <f>_xlfn.XLOOKUP(C2466,Products!A2466:A2965,Products!B2466:B2965,"Product Missing",0)</f>
        <v>Product Missing</v>
      </c>
      <c r="H2466" s="7" t="str">
        <f>_xlfn.XLOOKUP(C2466,Products!A2466:A2965,Products!C2466:C2965,"Category Missing",0)</f>
        <v>Category Missing</v>
      </c>
      <c r="I2466" s="11" t="str">
        <f>_xlfn.XLOOKUP(Orders!C2466,Products!A2466:A2965,Products!D2466:D2965,"Price Missing",0)</f>
        <v>Price Missing</v>
      </c>
      <c r="J2466" s="19">
        <f t="shared" si="38"/>
        <v>0</v>
      </c>
    </row>
    <row r="2467" spans="1:10" x14ac:dyDescent="0.35">
      <c r="A2467" s="4" t="s">
        <v>6487</v>
      </c>
      <c r="B2467" s="7" t="s">
        <v>2552</v>
      </c>
      <c r="C2467" s="7" t="s">
        <v>3236</v>
      </c>
      <c r="D2467" s="5">
        <v>1</v>
      </c>
      <c r="E2467" s="7" t="str">
        <f>_xlfn.XLOOKUP(B2467,Customers!A2467:A3466,Customers!B2467:B3466,"Customer Not Found",0)</f>
        <v>Customer Not Found</v>
      </c>
      <c r="F2467" s="7" t="str">
        <f>_xlfn.XLOOKUP(Orders!B2467,Customers!A2467:A3466,Customers!C2467:C3466,"Country not Found",0)</f>
        <v>Country not Found</v>
      </c>
      <c r="G2467" s="7" t="str">
        <f>_xlfn.XLOOKUP(C2467,Products!A2467:A2966,Products!B2467:B2966,"Product Missing",0)</f>
        <v>Product Missing</v>
      </c>
      <c r="H2467" s="7" t="str">
        <f>_xlfn.XLOOKUP(C2467,Products!A2467:A2966,Products!C2467:C2966,"Category Missing",0)</f>
        <v>Category Missing</v>
      </c>
      <c r="I2467" s="11" t="str">
        <f>_xlfn.XLOOKUP(Orders!C2467,Products!A2467:A2966,Products!D2467:D2966,"Price Missing",0)</f>
        <v>Price Missing</v>
      </c>
      <c r="J2467" s="19">
        <f t="shared" si="38"/>
        <v>0</v>
      </c>
    </row>
    <row r="2468" spans="1:10" x14ac:dyDescent="0.35">
      <c r="A2468" s="4" t="s">
        <v>6488</v>
      </c>
      <c r="B2468" s="7" t="s">
        <v>245</v>
      </c>
      <c r="C2468" s="7" t="s">
        <v>3242</v>
      </c>
      <c r="D2468" s="5">
        <v>2</v>
      </c>
      <c r="E2468" s="7" t="str">
        <f>_xlfn.XLOOKUP(B2468,Customers!A2468:A3467,Customers!B2468:B3467,"Customer Not Found",0)</f>
        <v>Customer Not Found</v>
      </c>
      <c r="F2468" s="7" t="str">
        <f>_xlfn.XLOOKUP(Orders!B2468,Customers!A2468:A3467,Customers!C2468:C3467,"Country not Found",0)</f>
        <v>Country not Found</v>
      </c>
      <c r="G2468" s="7" t="str">
        <f>_xlfn.XLOOKUP(C2468,Products!A2468:A2967,Products!B2468:B2967,"Product Missing",0)</f>
        <v>Product Missing</v>
      </c>
      <c r="H2468" s="7" t="str">
        <f>_xlfn.XLOOKUP(C2468,Products!A2468:A2967,Products!C2468:C2967,"Category Missing",0)</f>
        <v>Category Missing</v>
      </c>
      <c r="I2468" s="11" t="str">
        <f>_xlfn.XLOOKUP(Orders!C2468,Products!A2468:A2967,Products!D2468:D2967,"Price Missing",0)</f>
        <v>Price Missing</v>
      </c>
      <c r="J2468" s="19">
        <f t="shared" si="38"/>
        <v>0</v>
      </c>
    </row>
    <row r="2469" spans="1:10" x14ac:dyDescent="0.35">
      <c r="A2469" s="4" t="s">
        <v>6489</v>
      </c>
      <c r="B2469" s="7" t="s">
        <v>2726</v>
      </c>
      <c r="C2469" s="7" t="s">
        <v>3702</v>
      </c>
      <c r="D2469" s="5">
        <v>3</v>
      </c>
      <c r="E2469" s="7" t="str">
        <f>_xlfn.XLOOKUP(B2469,Customers!A2469:A3468,Customers!B2469:B3468,"Customer Not Found",0)</f>
        <v>Customer Not Found</v>
      </c>
      <c r="F2469" s="7" t="str">
        <f>_xlfn.XLOOKUP(Orders!B2469,Customers!A2469:A3468,Customers!C2469:C3468,"Country not Found",0)</f>
        <v>Country not Found</v>
      </c>
      <c r="G2469" s="7" t="str">
        <f>_xlfn.XLOOKUP(C2469,Products!A2469:A2968,Products!B2469:B2968,"Product Missing",0)</f>
        <v>Product Missing</v>
      </c>
      <c r="H2469" s="7" t="str">
        <f>_xlfn.XLOOKUP(C2469,Products!A2469:A2968,Products!C2469:C2968,"Category Missing",0)</f>
        <v>Category Missing</v>
      </c>
      <c r="I2469" s="11" t="str">
        <f>_xlfn.XLOOKUP(Orders!C2469,Products!A2469:A2968,Products!D2469:D2968,"Price Missing",0)</f>
        <v>Price Missing</v>
      </c>
      <c r="J2469" s="19">
        <f t="shared" si="38"/>
        <v>0</v>
      </c>
    </row>
    <row r="2470" spans="1:10" x14ac:dyDescent="0.35">
      <c r="A2470" s="4" t="s">
        <v>6490</v>
      </c>
      <c r="B2470" s="7" t="s">
        <v>1082</v>
      </c>
      <c r="C2470" s="7" t="s">
        <v>3648</v>
      </c>
      <c r="D2470" s="5">
        <v>5</v>
      </c>
      <c r="E2470" s="7" t="str">
        <f>_xlfn.XLOOKUP(B2470,Customers!A2470:A3469,Customers!B2470:B3469,"Customer Not Found",0)</f>
        <v>Customer Not Found</v>
      </c>
      <c r="F2470" s="7" t="str">
        <f>_xlfn.XLOOKUP(Orders!B2470,Customers!A2470:A3469,Customers!C2470:C3469,"Country not Found",0)</f>
        <v>Country not Found</v>
      </c>
      <c r="G2470" s="7" t="str">
        <f>_xlfn.XLOOKUP(C2470,Products!A2470:A2969,Products!B2470:B2969,"Product Missing",0)</f>
        <v>Product Missing</v>
      </c>
      <c r="H2470" s="7" t="str">
        <f>_xlfn.XLOOKUP(C2470,Products!A2470:A2969,Products!C2470:C2969,"Category Missing",0)</f>
        <v>Category Missing</v>
      </c>
      <c r="I2470" s="11" t="str">
        <f>_xlfn.XLOOKUP(Orders!C2470,Products!A2470:A2969,Products!D2470:D2969,"Price Missing",0)</f>
        <v>Price Missing</v>
      </c>
      <c r="J2470" s="19">
        <f t="shared" si="38"/>
        <v>0</v>
      </c>
    </row>
    <row r="2471" spans="1:10" x14ac:dyDescent="0.35">
      <c r="A2471" s="4" t="s">
        <v>6491</v>
      </c>
      <c r="B2471" s="7" t="s">
        <v>2171</v>
      </c>
      <c r="C2471" s="7" t="s">
        <v>3270</v>
      </c>
      <c r="D2471" s="5">
        <v>8</v>
      </c>
      <c r="E2471" s="7" t="str">
        <f>_xlfn.XLOOKUP(B2471,Customers!A2471:A3470,Customers!B2471:B3470,"Customer Not Found",0)</f>
        <v>Customer Not Found</v>
      </c>
      <c r="F2471" s="7" t="str">
        <f>_xlfn.XLOOKUP(Orders!B2471,Customers!A2471:A3470,Customers!C2471:C3470,"Country not Found",0)</f>
        <v>Country not Found</v>
      </c>
      <c r="G2471" s="7" t="str">
        <f>_xlfn.XLOOKUP(C2471,Products!A2471:A2970,Products!B2471:B2970,"Product Missing",0)</f>
        <v>Product Missing</v>
      </c>
      <c r="H2471" s="7" t="str">
        <f>_xlfn.XLOOKUP(C2471,Products!A2471:A2970,Products!C2471:C2970,"Category Missing",0)</f>
        <v>Category Missing</v>
      </c>
      <c r="I2471" s="11" t="str">
        <f>_xlfn.XLOOKUP(Orders!C2471,Products!A2471:A2970,Products!D2471:D2970,"Price Missing",0)</f>
        <v>Price Missing</v>
      </c>
      <c r="J2471" s="19">
        <f t="shared" si="38"/>
        <v>0</v>
      </c>
    </row>
    <row r="2472" spans="1:10" x14ac:dyDescent="0.35">
      <c r="A2472" s="4" t="s">
        <v>6492</v>
      </c>
      <c r="B2472" s="7" t="s">
        <v>938</v>
      </c>
      <c r="C2472" s="7" t="s">
        <v>3904</v>
      </c>
      <c r="D2472" s="5">
        <v>3</v>
      </c>
      <c r="E2472" s="7" t="str">
        <f>_xlfn.XLOOKUP(B2472,Customers!A2472:A3471,Customers!B2472:B3471,"Customer Not Found",0)</f>
        <v>Customer Not Found</v>
      </c>
      <c r="F2472" s="7" t="str">
        <f>_xlfn.XLOOKUP(Orders!B2472,Customers!A2472:A3471,Customers!C2472:C3471,"Country not Found",0)</f>
        <v>Country not Found</v>
      </c>
      <c r="G2472" s="7" t="str">
        <f>_xlfn.XLOOKUP(C2472,Products!A2472:A2971,Products!B2472:B2971,"Product Missing",0)</f>
        <v>Product Missing</v>
      </c>
      <c r="H2472" s="7" t="str">
        <f>_xlfn.XLOOKUP(C2472,Products!A2472:A2971,Products!C2472:C2971,"Category Missing",0)</f>
        <v>Category Missing</v>
      </c>
      <c r="I2472" s="11" t="str">
        <f>_xlfn.XLOOKUP(Orders!C2472,Products!A2472:A2971,Products!D2472:D2971,"Price Missing",0)</f>
        <v>Price Missing</v>
      </c>
      <c r="J2472" s="19">
        <f t="shared" si="38"/>
        <v>0</v>
      </c>
    </row>
    <row r="2473" spans="1:10" x14ac:dyDescent="0.35">
      <c r="A2473" s="4" t="s">
        <v>6493</v>
      </c>
      <c r="B2473" s="7" t="s">
        <v>1799</v>
      </c>
      <c r="C2473" s="7" t="s">
        <v>3366</v>
      </c>
      <c r="D2473" s="5">
        <v>3</v>
      </c>
      <c r="E2473" s="7" t="str">
        <f>_xlfn.XLOOKUP(B2473,Customers!A2473:A3472,Customers!B2473:B3472,"Customer Not Found",0)</f>
        <v>Customer Not Found</v>
      </c>
      <c r="F2473" s="7" t="str">
        <f>_xlfn.XLOOKUP(Orders!B2473,Customers!A2473:A3472,Customers!C2473:C3472,"Country not Found",0)</f>
        <v>Country not Found</v>
      </c>
      <c r="G2473" s="7" t="str">
        <f>_xlfn.XLOOKUP(C2473,Products!A2473:A2972,Products!B2473:B2972,"Product Missing",0)</f>
        <v>Product Missing</v>
      </c>
      <c r="H2473" s="7" t="str">
        <f>_xlfn.XLOOKUP(C2473,Products!A2473:A2972,Products!C2473:C2972,"Category Missing",0)</f>
        <v>Category Missing</v>
      </c>
      <c r="I2473" s="11" t="str">
        <f>_xlfn.XLOOKUP(Orders!C2473,Products!A2473:A2972,Products!D2473:D2972,"Price Missing",0)</f>
        <v>Price Missing</v>
      </c>
      <c r="J2473" s="19">
        <f t="shared" si="38"/>
        <v>0</v>
      </c>
    </row>
    <row r="2474" spans="1:10" x14ac:dyDescent="0.35">
      <c r="A2474" s="4" t="s">
        <v>6494</v>
      </c>
      <c r="B2474" s="7" t="s">
        <v>1652</v>
      </c>
      <c r="C2474" s="7" t="s">
        <v>3756</v>
      </c>
      <c r="D2474" s="5">
        <v>5</v>
      </c>
      <c r="E2474" s="7" t="str">
        <f>_xlfn.XLOOKUP(B2474,Customers!A2474:A3473,Customers!B2474:B3473,"Customer Not Found",0)</f>
        <v>Customer Not Found</v>
      </c>
      <c r="F2474" s="7" t="str">
        <f>_xlfn.XLOOKUP(Orders!B2474,Customers!A2474:A3473,Customers!C2474:C3473,"Country not Found",0)</f>
        <v>Country not Found</v>
      </c>
      <c r="G2474" s="7" t="str">
        <f>_xlfn.XLOOKUP(C2474,Products!A2474:A2973,Products!B2474:B2973,"Product Missing",0)</f>
        <v>Product Missing</v>
      </c>
      <c r="H2474" s="7" t="str">
        <f>_xlfn.XLOOKUP(C2474,Products!A2474:A2973,Products!C2474:C2973,"Category Missing",0)</f>
        <v>Category Missing</v>
      </c>
      <c r="I2474" s="11" t="str">
        <f>_xlfn.XLOOKUP(Orders!C2474,Products!A2474:A2973,Products!D2474:D2973,"Price Missing",0)</f>
        <v>Price Missing</v>
      </c>
      <c r="J2474" s="19">
        <f t="shared" si="38"/>
        <v>0</v>
      </c>
    </row>
    <row r="2475" spans="1:10" x14ac:dyDescent="0.35">
      <c r="A2475" s="4" t="s">
        <v>6495</v>
      </c>
      <c r="B2475" s="7" t="s">
        <v>1625</v>
      </c>
      <c r="C2475" s="7" t="s">
        <v>3876</v>
      </c>
      <c r="D2475" s="5">
        <v>9</v>
      </c>
      <c r="E2475" s="7" t="str">
        <f>_xlfn.XLOOKUP(B2475,Customers!A2475:A3474,Customers!B2475:B3474,"Customer Not Found",0)</f>
        <v>Customer Not Found</v>
      </c>
      <c r="F2475" s="7" t="str">
        <f>_xlfn.XLOOKUP(Orders!B2475,Customers!A2475:A3474,Customers!C2475:C3474,"Country not Found",0)</f>
        <v>Country not Found</v>
      </c>
      <c r="G2475" s="7" t="str">
        <f>_xlfn.XLOOKUP(C2475,Products!A2475:A2974,Products!B2475:B2974,"Product Missing",0)</f>
        <v>Product Missing</v>
      </c>
      <c r="H2475" s="7" t="str">
        <f>_xlfn.XLOOKUP(C2475,Products!A2475:A2974,Products!C2475:C2974,"Category Missing",0)</f>
        <v>Category Missing</v>
      </c>
      <c r="I2475" s="11" t="str">
        <f>_xlfn.XLOOKUP(Orders!C2475,Products!A2475:A2974,Products!D2475:D2974,"Price Missing",0)</f>
        <v>Price Missing</v>
      </c>
      <c r="J2475" s="19">
        <f t="shared" si="38"/>
        <v>0</v>
      </c>
    </row>
    <row r="2476" spans="1:10" x14ac:dyDescent="0.35">
      <c r="A2476" s="4" t="s">
        <v>6496</v>
      </c>
      <c r="B2476" s="7" t="s">
        <v>2456</v>
      </c>
      <c r="C2476" s="7" t="s">
        <v>3582</v>
      </c>
      <c r="D2476" s="5">
        <v>2</v>
      </c>
      <c r="E2476" s="7" t="str">
        <f>_xlfn.XLOOKUP(B2476,Customers!A2476:A3475,Customers!B2476:B3475,"Customer Not Found",0)</f>
        <v>Customer Not Found</v>
      </c>
      <c r="F2476" s="7" t="str">
        <f>_xlfn.XLOOKUP(Orders!B2476,Customers!A2476:A3475,Customers!C2476:C3475,"Country not Found",0)</f>
        <v>Country not Found</v>
      </c>
      <c r="G2476" s="7" t="str">
        <f>_xlfn.XLOOKUP(C2476,Products!A2476:A2975,Products!B2476:B2975,"Product Missing",0)</f>
        <v>Product Missing</v>
      </c>
      <c r="H2476" s="7" t="str">
        <f>_xlfn.XLOOKUP(C2476,Products!A2476:A2975,Products!C2476:C2975,"Category Missing",0)</f>
        <v>Category Missing</v>
      </c>
      <c r="I2476" s="11" t="str">
        <f>_xlfn.XLOOKUP(Orders!C2476,Products!A2476:A2975,Products!D2476:D2975,"Price Missing",0)</f>
        <v>Price Missing</v>
      </c>
      <c r="J2476" s="19">
        <f t="shared" si="38"/>
        <v>0</v>
      </c>
    </row>
    <row r="2477" spans="1:10" x14ac:dyDescent="0.35">
      <c r="A2477" s="4" t="s">
        <v>6497</v>
      </c>
      <c r="B2477" s="7" t="s">
        <v>1025</v>
      </c>
      <c r="C2477" s="7" t="s">
        <v>3592</v>
      </c>
      <c r="D2477" s="5">
        <v>6</v>
      </c>
      <c r="E2477" s="7" t="str">
        <f>_xlfn.XLOOKUP(B2477,Customers!A2477:A3476,Customers!B2477:B3476,"Customer Not Found",0)</f>
        <v>Customer Not Found</v>
      </c>
      <c r="F2477" s="7" t="str">
        <f>_xlfn.XLOOKUP(Orders!B2477,Customers!A2477:A3476,Customers!C2477:C3476,"Country not Found",0)</f>
        <v>Country not Found</v>
      </c>
      <c r="G2477" s="7" t="str">
        <f>_xlfn.XLOOKUP(C2477,Products!A2477:A2976,Products!B2477:B2976,"Product Missing",0)</f>
        <v>Product Missing</v>
      </c>
      <c r="H2477" s="7" t="str">
        <f>_xlfn.XLOOKUP(C2477,Products!A2477:A2976,Products!C2477:C2976,"Category Missing",0)</f>
        <v>Category Missing</v>
      </c>
      <c r="I2477" s="11" t="str">
        <f>_xlfn.XLOOKUP(Orders!C2477,Products!A2477:A2976,Products!D2477:D2976,"Price Missing",0)</f>
        <v>Price Missing</v>
      </c>
      <c r="J2477" s="19">
        <f t="shared" si="38"/>
        <v>0</v>
      </c>
    </row>
    <row r="2478" spans="1:10" x14ac:dyDescent="0.35">
      <c r="A2478" s="4" t="s">
        <v>6498</v>
      </c>
      <c r="B2478" s="7" t="s">
        <v>1781</v>
      </c>
      <c r="C2478" s="7" t="s">
        <v>3288</v>
      </c>
      <c r="D2478" s="5">
        <v>10</v>
      </c>
      <c r="E2478" s="7" t="str">
        <f>_xlfn.XLOOKUP(B2478,Customers!A2478:A3477,Customers!B2478:B3477,"Customer Not Found",0)</f>
        <v>Customer Not Found</v>
      </c>
      <c r="F2478" s="7" t="str">
        <f>_xlfn.XLOOKUP(Orders!B2478,Customers!A2478:A3477,Customers!C2478:C3477,"Country not Found",0)</f>
        <v>Country not Found</v>
      </c>
      <c r="G2478" s="7" t="str">
        <f>_xlfn.XLOOKUP(C2478,Products!A2478:A2977,Products!B2478:B2977,"Product Missing",0)</f>
        <v>Product Missing</v>
      </c>
      <c r="H2478" s="7" t="str">
        <f>_xlfn.XLOOKUP(C2478,Products!A2478:A2977,Products!C2478:C2977,"Category Missing",0)</f>
        <v>Category Missing</v>
      </c>
      <c r="I2478" s="11" t="str">
        <f>_xlfn.XLOOKUP(Orders!C2478,Products!A2478:A2977,Products!D2478:D2977,"Price Missing",0)</f>
        <v>Price Missing</v>
      </c>
      <c r="J2478" s="19">
        <f t="shared" si="38"/>
        <v>0</v>
      </c>
    </row>
    <row r="2479" spans="1:10" x14ac:dyDescent="0.35">
      <c r="A2479" s="4" t="s">
        <v>6499</v>
      </c>
      <c r="B2479" s="7" t="s">
        <v>2309</v>
      </c>
      <c r="C2479" s="7" t="s">
        <v>3210</v>
      </c>
      <c r="D2479" s="5">
        <v>1</v>
      </c>
      <c r="E2479" s="7" t="str">
        <f>_xlfn.XLOOKUP(B2479,Customers!A2479:A3478,Customers!B2479:B3478,"Customer Not Found",0)</f>
        <v>Customer Not Found</v>
      </c>
      <c r="F2479" s="7" t="str">
        <f>_xlfn.XLOOKUP(Orders!B2479,Customers!A2479:A3478,Customers!C2479:C3478,"Country not Found",0)</f>
        <v>Country not Found</v>
      </c>
      <c r="G2479" s="7" t="str">
        <f>_xlfn.XLOOKUP(C2479,Products!A2479:A2978,Products!B2479:B2978,"Product Missing",0)</f>
        <v>Product Missing</v>
      </c>
      <c r="H2479" s="7" t="str">
        <f>_xlfn.XLOOKUP(C2479,Products!A2479:A2978,Products!C2479:C2978,"Category Missing",0)</f>
        <v>Category Missing</v>
      </c>
      <c r="I2479" s="11" t="str">
        <f>_xlfn.XLOOKUP(Orders!C2479,Products!A2479:A2978,Products!D2479:D2978,"Price Missing",0)</f>
        <v>Price Missing</v>
      </c>
      <c r="J2479" s="19">
        <f t="shared" si="38"/>
        <v>0</v>
      </c>
    </row>
    <row r="2480" spans="1:10" x14ac:dyDescent="0.35">
      <c r="A2480" s="4" t="s">
        <v>6500</v>
      </c>
      <c r="B2480" s="7" t="s">
        <v>209</v>
      </c>
      <c r="C2480" s="7" t="s">
        <v>3704</v>
      </c>
      <c r="D2480" s="5">
        <v>10</v>
      </c>
      <c r="E2480" s="7" t="str">
        <f>_xlfn.XLOOKUP(B2480,Customers!A2480:A3479,Customers!B2480:B3479,"Customer Not Found",0)</f>
        <v>Customer Not Found</v>
      </c>
      <c r="F2480" s="7" t="str">
        <f>_xlfn.XLOOKUP(Orders!B2480,Customers!A2480:A3479,Customers!C2480:C3479,"Country not Found",0)</f>
        <v>Country not Found</v>
      </c>
      <c r="G2480" s="7" t="str">
        <f>_xlfn.XLOOKUP(C2480,Products!A2480:A2979,Products!B2480:B2979,"Product Missing",0)</f>
        <v>Product Missing</v>
      </c>
      <c r="H2480" s="7" t="str">
        <f>_xlfn.XLOOKUP(C2480,Products!A2480:A2979,Products!C2480:C2979,"Category Missing",0)</f>
        <v>Category Missing</v>
      </c>
      <c r="I2480" s="11" t="str">
        <f>_xlfn.XLOOKUP(Orders!C2480,Products!A2480:A2979,Products!D2480:D2979,"Price Missing",0)</f>
        <v>Price Missing</v>
      </c>
      <c r="J2480" s="19">
        <f t="shared" si="38"/>
        <v>0</v>
      </c>
    </row>
    <row r="2481" spans="1:10" x14ac:dyDescent="0.35">
      <c r="A2481" s="4" t="s">
        <v>6501</v>
      </c>
      <c r="B2481" s="7" t="s">
        <v>1196</v>
      </c>
      <c r="C2481" s="7" t="s">
        <v>3822</v>
      </c>
      <c r="D2481" s="5">
        <v>4</v>
      </c>
      <c r="E2481" s="7" t="str">
        <f>_xlfn.XLOOKUP(B2481,Customers!A2481:A3480,Customers!B2481:B3480,"Customer Not Found",0)</f>
        <v>Customer Not Found</v>
      </c>
      <c r="F2481" s="7" t="str">
        <f>_xlfn.XLOOKUP(Orders!B2481,Customers!A2481:A3480,Customers!C2481:C3480,"Country not Found",0)</f>
        <v>Country not Found</v>
      </c>
      <c r="G2481" s="7" t="str">
        <f>_xlfn.XLOOKUP(C2481,Products!A2481:A2980,Products!B2481:B2980,"Product Missing",0)</f>
        <v>Product Missing</v>
      </c>
      <c r="H2481" s="7" t="str">
        <f>_xlfn.XLOOKUP(C2481,Products!A2481:A2980,Products!C2481:C2980,"Category Missing",0)</f>
        <v>Category Missing</v>
      </c>
      <c r="I2481" s="11" t="str">
        <f>_xlfn.XLOOKUP(Orders!C2481,Products!A2481:A2980,Products!D2481:D2980,"Price Missing",0)</f>
        <v>Price Missing</v>
      </c>
      <c r="J2481" s="19">
        <f t="shared" si="38"/>
        <v>0</v>
      </c>
    </row>
    <row r="2482" spans="1:10" x14ac:dyDescent="0.35">
      <c r="A2482" s="4" t="s">
        <v>6502</v>
      </c>
      <c r="B2482" s="7" t="s">
        <v>1205</v>
      </c>
      <c r="C2482" s="7" t="s">
        <v>3330</v>
      </c>
      <c r="D2482" s="5">
        <v>9</v>
      </c>
      <c r="E2482" s="7" t="str">
        <f>_xlfn.XLOOKUP(B2482,Customers!A2482:A3481,Customers!B2482:B3481,"Customer Not Found",0)</f>
        <v>Customer Not Found</v>
      </c>
      <c r="F2482" s="7" t="str">
        <f>_xlfn.XLOOKUP(Orders!B2482,Customers!A2482:A3481,Customers!C2482:C3481,"Country not Found",0)</f>
        <v>Country not Found</v>
      </c>
      <c r="G2482" s="7" t="str">
        <f>_xlfn.XLOOKUP(C2482,Products!A2482:A2981,Products!B2482:B2981,"Product Missing",0)</f>
        <v>Product Missing</v>
      </c>
      <c r="H2482" s="7" t="str">
        <f>_xlfn.XLOOKUP(C2482,Products!A2482:A2981,Products!C2482:C2981,"Category Missing",0)</f>
        <v>Category Missing</v>
      </c>
      <c r="I2482" s="11" t="str">
        <f>_xlfn.XLOOKUP(Orders!C2482,Products!A2482:A2981,Products!D2482:D2981,"Price Missing",0)</f>
        <v>Price Missing</v>
      </c>
      <c r="J2482" s="19">
        <f t="shared" si="38"/>
        <v>0</v>
      </c>
    </row>
    <row r="2483" spans="1:10" x14ac:dyDescent="0.35">
      <c r="A2483" s="4" t="s">
        <v>6503</v>
      </c>
      <c r="B2483" s="7" t="s">
        <v>4</v>
      </c>
      <c r="C2483" s="7" t="s">
        <v>3700</v>
      </c>
      <c r="D2483" s="5">
        <v>6</v>
      </c>
      <c r="E2483" s="7" t="str">
        <f>_xlfn.XLOOKUP(B2483,Customers!A2483:A3482,Customers!B2483:B3482,"Customer Not Found",0)</f>
        <v>Customer Not Found</v>
      </c>
      <c r="F2483" s="7" t="str">
        <f>_xlfn.XLOOKUP(Orders!B2483,Customers!A2483:A3482,Customers!C2483:C3482,"Country not Found",0)</f>
        <v>Country not Found</v>
      </c>
      <c r="G2483" s="7" t="str">
        <f>_xlfn.XLOOKUP(C2483,Products!A2483:A2982,Products!B2483:B2982,"Product Missing",0)</f>
        <v>Product Missing</v>
      </c>
      <c r="H2483" s="7" t="str">
        <f>_xlfn.XLOOKUP(C2483,Products!A2483:A2982,Products!C2483:C2982,"Category Missing",0)</f>
        <v>Category Missing</v>
      </c>
      <c r="I2483" s="11" t="str">
        <f>_xlfn.XLOOKUP(Orders!C2483,Products!A2483:A2982,Products!D2483:D2982,"Price Missing",0)</f>
        <v>Price Missing</v>
      </c>
      <c r="J2483" s="19">
        <f t="shared" si="38"/>
        <v>0</v>
      </c>
    </row>
    <row r="2484" spans="1:10" x14ac:dyDescent="0.35">
      <c r="A2484" s="4" t="s">
        <v>6504</v>
      </c>
      <c r="B2484" s="7" t="s">
        <v>2804</v>
      </c>
      <c r="C2484" s="7" t="s">
        <v>3460</v>
      </c>
      <c r="D2484" s="5">
        <v>3</v>
      </c>
      <c r="E2484" s="7" t="str">
        <f>_xlfn.XLOOKUP(B2484,Customers!A2484:A3483,Customers!B2484:B3483,"Customer Not Found",0)</f>
        <v>Customer Not Found</v>
      </c>
      <c r="F2484" s="7" t="str">
        <f>_xlfn.XLOOKUP(Orders!B2484,Customers!A2484:A3483,Customers!C2484:C3483,"Country not Found",0)</f>
        <v>Country not Found</v>
      </c>
      <c r="G2484" s="7" t="str">
        <f>_xlfn.XLOOKUP(C2484,Products!A2484:A2983,Products!B2484:B2983,"Product Missing",0)</f>
        <v>Product Missing</v>
      </c>
      <c r="H2484" s="7" t="str">
        <f>_xlfn.XLOOKUP(C2484,Products!A2484:A2983,Products!C2484:C2983,"Category Missing",0)</f>
        <v>Category Missing</v>
      </c>
      <c r="I2484" s="11" t="str">
        <f>_xlfn.XLOOKUP(Orders!C2484,Products!A2484:A2983,Products!D2484:D2983,"Price Missing",0)</f>
        <v>Price Missing</v>
      </c>
      <c r="J2484" s="19">
        <f t="shared" si="38"/>
        <v>0</v>
      </c>
    </row>
    <row r="2485" spans="1:10" x14ac:dyDescent="0.35">
      <c r="A2485" s="4" t="s">
        <v>6505</v>
      </c>
      <c r="B2485" s="7" t="s">
        <v>2615</v>
      </c>
      <c r="C2485" s="7" t="s">
        <v>3015</v>
      </c>
      <c r="D2485" s="5">
        <v>7</v>
      </c>
      <c r="E2485" s="7" t="str">
        <f>_xlfn.XLOOKUP(B2485,Customers!A2485:A3484,Customers!B2485:B3484,"Customer Not Found",0)</f>
        <v>Customer Not Found</v>
      </c>
      <c r="F2485" s="7" t="str">
        <f>_xlfn.XLOOKUP(Orders!B2485,Customers!A2485:A3484,Customers!C2485:C3484,"Country not Found",0)</f>
        <v>Country not Found</v>
      </c>
      <c r="G2485" s="7" t="str">
        <f>_xlfn.XLOOKUP(C2485,Products!A2485:A2984,Products!B2485:B2984,"Product Missing",0)</f>
        <v>Product Missing</v>
      </c>
      <c r="H2485" s="7" t="str">
        <f>_xlfn.XLOOKUP(C2485,Products!A2485:A2984,Products!C2485:C2984,"Category Missing",0)</f>
        <v>Category Missing</v>
      </c>
      <c r="I2485" s="11" t="str">
        <f>_xlfn.XLOOKUP(Orders!C2485,Products!A2485:A2984,Products!D2485:D2984,"Price Missing",0)</f>
        <v>Price Missing</v>
      </c>
      <c r="J2485" s="19">
        <f t="shared" si="38"/>
        <v>0</v>
      </c>
    </row>
    <row r="2486" spans="1:10" x14ac:dyDescent="0.35">
      <c r="A2486" s="4" t="s">
        <v>6506</v>
      </c>
      <c r="B2486" s="7" t="s">
        <v>2933</v>
      </c>
      <c r="C2486" s="7" t="s">
        <v>3486</v>
      </c>
      <c r="D2486" s="5">
        <v>4</v>
      </c>
      <c r="E2486" s="7" t="str">
        <f>_xlfn.XLOOKUP(B2486,Customers!A2486:A3485,Customers!B2486:B3485,"Customer Not Found",0)</f>
        <v>Customer Not Found</v>
      </c>
      <c r="F2486" s="7" t="str">
        <f>_xlfn.XLOOKUP(Orders!B2486,Customers!A2486:A3485,Customers!C2486:C3485,"Country not Found",0)</f>
        <v>Country not Found</v>
      </c>
      <c r="G2486" s="7" t="str">
        <f>_xlfn.XLOOKUP(C2486,Products!A2486:A2985,Products!B2486:B2985,"Product Missing",0)</f>
        <v>Product Missing</v>
      </c>
      <c r="H2486" s="7" t="str">
        <f>_xlfn.XLOOKUP(C2486,Products!A2486:A2985,Products!C2486:C2985,"Category Missing",0)</f>
        <v>Category Missing</v>
      </c>
      <c r="I2486" s="11" t="str">
        <f>_xlfn.XLOOKUP(Orders!C2486,Products!A2486:A2985,Products!D2486:D2985,"Price Missing",0)</f>
        <v>Price Missing</v>
      </c>
      <c r="J2486" s="19">
        <f t="shared" si="38"/>
        <v>0</v>
      </c>
    </row>
    <row r="2487" spans="1:10" x14ac:dyDescent="0.35">
      <c r="A2487" s="4" t="s">
        <v>6507</v>
      </c>
      <c r="B2487" s="7" t="s">
        <v>2588</v>
      </c>
      <c r="C2487" s="7" t="s">
        <v>3224</v>
      </c>
      <c r="D2487" s="5">
        <v>4</v>
      </c>
      <c r="E2487" s="7" t="str">
        <f>_xlfn.XLOOKUP(B2487,Customers!A2487:A3486,Customers!B2487:B3486,"Customer Not Found",0)</f>
        <v>Customer Not Found</v>
      </c>
      <c r="F2487" s="7" t="str">
        <f>_xlfn.XLOOKUP(Orders!B2487,Customers!A2487:A3486,Customers!C2487:C3486,"Country not Found",0)</f>
        <v>Country not Found</v>
      </c>
      <c r="G2487" s="7" t="str">
        <f>_xlfn.XLOOKUP(C2487,Products!A2487:A2986,Products!B2487:B2986,"Product Missing",0)</f>
        <v>Product Missing</v>
      </c>
      <c r="H2487" s="7" t="str">
        <f>_xlfn.XLOOKUP(C2487,Products!A2487:A2986,Products!C2487:C2986,"Category Missing",0)</f>
        <v>Category Missing</v>
      </c>
      <c r="I2487" s="11" t="str">
        <f>_xlfn.XLOOKUP(Orders!C2487,Products!A2487:A2986,Products!D2487:D2986,"Price Missing",0)</f>
        <v>Price Missing</v>
      </c>
      <c r="J2487" s="19">
        <f t="shared" si="38"/>
        <v>0</v>
      </c>
    </row>
    <row r="2488" spans="1:10" x14ac:dyDescent="0.35">
      <c r="A2488" s="4" t="s">
        <v>6508</v>
      </c>
      <c r="B2488" s="7" t="s">
        <v>389</v>
      </c>
      <c r="C2488" s="7" t="s">
        <v>3204</v>
      </c>
      <c r="D2488" s="5">
        <v>8</v>
      </c>
      <c r="E2488" s="7" t="str">
        <f>_xlfn.XLOOKUP(B2488,Customers!A2488:A3487,Customers!B2488:B3487,"Customer Not Found",0)</f>
        <v>Customer Not Found</v>
      </c>
      <c r="F2488" s="7" t="str">
        <f>_xlfn.XLOOKUP(Orders!B2488,Customers!A2488:A3487,Customers!C2488:C3487,"Country not Found",0)</f>
        <v>Country not Found</v>
      </c>
      <c r="G2488" s="7" t="str">
        <f>_xlfn.XLOOKUP(C2488,Products!A2488:A2987,Products!B2488:B2987,"Product Missing",0)</f>
        <v>Product Missing</v>
      </c>
      <c r="H2488" s="7" t="str">
        <f>_xlfn.XLOOKUP(C2488,Products!A2488:A2987,Products!C2488:C2987,"Category Missing",0)</f>
        <v>Category Missing</v>
      </c>
      <c r="I2488" s="11" t="str">
        <f>_xlfn.XLOOKUP(Orders!C2488,Products!A2488:A2987,Products!D2488:D2987,"Price Missing",0)</f>
        <v>Price Missing</v>
      </c>
      <c r="J2488" s="19">
        <f t="shared" si="38"/>
        <v>0</v>
      </c>
    </row>
    <row r="2489" spans="1:10" x14ac:dyDescent="0.35">
      <c r="A2489" s="4" t="s">
        <v>6509</v>
      </c>
      <c r="B2489" s="7" t="s">
        <v>1334</v>
      </c>
      <c r="C2489" s="7" t="s">
        <v>3826</v>
      </c>
      <c r="D2489" s="5">
        <v>6</v>
      </c>
      <c r="E2489" s="7" t="str">
        <f>_xlfn.XLOOKUP(B2489,Customers!A2489:A3488,Customers!B2489:B3488,"Customer Not Found",0)</f>
        <v>Customer Not Found</v>
      </c>
      <c r="F2489" s="7" t="str">
        <f>_xlfn.XLOOKUP(Orders!B2489,Customers!A2489:A3488,Customers!C2489:C3488,"Country not Found",0)</f>
        <v>Country not Found</v>
      </c>
      <c r="G2489" s="7" t="str">
        <f>_xlfn.XLOOKUP(C2489,Products!A2489:A2988,Products!B2489:B2988,"Product Missing",0)</f>
        <v>Product Missing</v>
      </c>
      <c r="H2489" s="7" t="str">
        <f>_xlfn.XLOOKUP(C2489,Products!A2489:A2988,Products!C2489:C2988,"Category Missing",0)</f>
        <v>Category Missing</v>
      </c>
      <c r="I2489" s="11" t="str">
        <f>_xlfn.XLOOKUP(Orders!C2489,Products!A2489:A2988,Products!D2489:D2988,"Price Missing",0)</f>
        <v>Price Missing</v>
      </c>
      <c r="J2489" s="19">
        <f t="shared" si="38"/>
        <v>0</v>
      </c>
    </row>
    <row r="2490" spans="1:10" x14ac:dyDescent="0.35">
      <c r="A2490" s="4" t="s">
        <v>6510</v>
      </c>
      <c r="B2490" s="7" t="s">
        <v>2489</v>
      </c>
      <c r="C2490" s="7" t="s">
        <v>3576</v>
      </c>
      <c r="D2490" s="5">
        <v>1</v>
      </c>
      <c r="E2490" s="7" t="str">
        <f>_xlfn.XLOOKUP(B2490,Customers!A2490:A3489,Customers!B2490:B3489,"Customer Not Found",0)</f>
        <v>Customer Not Found</v>
      </c>
      <c r="F2490" s="7" t="str">
        <f>_xlfn.XLOOKUP(Orders!B2490,Customers!A2490:A3489,Customers!C2490:C3489,"Country not Found",0)</f>
        <v>Country not Found</v>
      </c>
      <c r="G2490" s="7" t="str">
        <f>_xlfn.XLOOKUP(C2490,Products!A2490:A2989,Products!B2490:B2989,"Product Missing",0)</f>
        <v>Product Missing</v>
      </c>
      <c r="H2490" s="7" t="str">
        <f>_xlfn.XLOOKUP(C2490,Products!A2490:A2989,Products!C2490:C2989,"Category Missing",0)</f>
        <v>Category Missing</v>
      </c>
      <c r="I2490" s="11" t="str">
        <f>_xlfn.XLOOKUP(Orders!C2490,Products!A2490:A2989,Products!D2490:D2989,"Price Missing",0)</f>
        <v>Price Missing</v>
      </c>
      <c r="J2490" s="19">
        <f t="shared" si="38"/>
        <v>0</v>
      </c>
    </row>
    <row r="2491" spans="1:10" x14ac:dyDescent="0.35">
      <c r="A2491" s="4" t="s">
        <v>6511</v>
      </c>
      <c r="B2491" s="7" t="s">
        <v>527</v>
      </c>
      <c r="C2491" s="7" t="s">
        <v>3182</v>
      </c>
      <c r="D2491" s="5">
        <v>7</v>
      </c>
      <c r="E2491" s="7" t="str">
        <f>_xlfn.XLOOKUP(B2491,Customers!A2491:A3490,Customers!B2491:B3490,"Customer Not Found",0)</f>
        <v>Customer Not Found</v>
      </c>
      <c r="F2491" s="7" t="str">
        <f>_xlfn.XLOOKUP(Orders!B2491,Customers!A2491:A3490,Customers!C2491:C3490,"Country not Found",0)</f>
        <v>Country not Found</v>
      </c>
      <c r="G2491" s="7" t="str">
        <f>_xlfn.XLOOKUP(C2491,Products!A2491:A2990,Products!B2491:B2990,"Product Missing",0)</f>
        <v>Product Missing</v>
      </c>
      <c r="H2491" s="7" t="str">
        <f>_xlfn.XLOOKUP(C2491,Products!A2491:A2990,Products!C2491:C2990,"Category Missing",0)</f>
        <v>Category Missing</v>
      </c>
      <c r="I2491" s="11" t="str">
        <f>_xlfn.XLOOKUP(Orders!C2491,Products!A2491:A2990,Products!D2491:D2990,"Price Missing",0)</f>
        <v>Price Missing</v>
      </c>
      <c r="J2491" s="19">
        <f t="shared" si="38"/>
        <v>0</v>
      </c>
    </row>
    <row r="2492" spans="1:10" x14ac:dyDescent="0.35">
      <c r="A2492" s="4" t="s">
        <v>6512</v>
      </c>
      <c r="B2492" s="7" t="s">
        <v>1313</v>
      </c>
      <c r="C2492" s="7" t="s">
        <v>3892</v>
      </c>
      <c r="D2492" s="5">
        <v>7</v>
      </c>
      <c r="E2492" s="7" t="str">
        <f>_xlfn.XLOOKUP(B2492,Customers!A2492:A3491,Customers!B2492:B3491,"Customer Not Found",0)</f>
        <v>Customer Not Found</v>
      </c>
      <c r="F2492" s="7" t="str">
        <f>_xlfn.XLOOKUP(Orders!B2492,Customers!A2492:A3491,Customers!C2492:C3491,"Country not Found",0)</f>
        <v>Country not Found</v>
      </c>
      <c r="G2492" s="7" t="str">
        <f>_xlfn.XLOOKUP(C2492,Products!A2492:A2991,Products!B2492:B2991,"Product Missing",0)</f>
        <v>Product Missing</v>
      </c>
      <c r="H2492" s="7" t="str">
        <f>_xlfn.XLOOKUP(C2492,Products!A2492:A2991,Products!C2492:C2991,"Category Missing",0)</f>
        <v>Category Missing</v>
      </c>
      <c r="I2492" s="11" t="str">
        <f>_xlfn.XLOOKUP(Orders!C2492,Products!A2492:A2991,Products!D2492:D2991,"Price Missing",0)</f>
        <v>Price Missing</v>
      </c>
      <c r="J2492" s="19">
        <f t="shared" si="38"/>
        <v>0</v>
      </c>
    </row>
    <row r="2493" spans="1:10" x14ac:dyDescent="0.35">
      <c r="A2493" s="4" t="s">
        <v>6513</v>
      </c>
      <c r="B2493" s="7" t="s">
        <v>1013</v>
      </c>
      <c r="C2493" s="7" t="s">
        <v>3222</v>
      </c>
      <c r="D2493" s="5">
        <v>2</v>
      </c>
      <c r="E2493" s="7" t="str">
        <f>_xlfn.XLOOKUP(B2493,Customers!A2493:A3492,Customers!B2493:B3492,"Customer Not Found",0)</f>
        <v>Customer Not Found</v>
      </c>
      <c r="F2493" s="7" t="str">
        <f>_xlfn.XLOOKUP(Orders!B2493,Customers!A2493:A3492,Customers!C2493:C3492,"Country not Found",0)</f>
        <v>Country not Found</v>
      </c>
      <c r="G2493" s="7" t="str">
        <f>_xlfn.XLOOKUP(C2493,Products!A2493:A2992,Products!B2493:B2992,"Product Missing",0)</f>
        <v>Product Missing</v>
      </c>
      <c r="H2493" s="7" t="str">
        <f>_xlfn.XLOOKUP(C2493,Products!A2493:A2992,Products!C2493:C2992,"Category Missing",0)</f>
        <v>Category Missing</v>
      </c>
      <c r="I2493" s="11" t="str">
        <f>_xlfn.XLOOKUP(Orders!C2493,Products!A2493:A2992,Products!D2493:D2992,"Price Missing",0)</f>
        <v>Price Missing</v>
      </c>
      <c r="J2493" s="19">
        <f t="shared" si="38"/>
        <v>0</v>
      </c>
    </row>
    <row r="2494" spans="1:10" x14ac:dyDescent="0.35">
      <c r="A2494" s="4" t="s">
        <v>6514</v>
      </c>
      <c r="B2494" s="7" t="s">
        <v>1517</v>
      </c>
      <c r="C2494" s="7" t="s">
        <v>3880</v>
      </c>
      <c r="D2494" s="5">
        <v>1</v>
      </c>
      <c r="E2494" s="7" t="str">
        <f>_xlfn.XLOOKUP(B2494,Customers!A2494:A3493,Customers!B2494:B3493,"Customer Not Found",0)</f>
        <v>Customer Not Found</v>
      </c>
      <c r="F2494" s="7" t="str">
        <f>_xlfn.XLOOKUP(Orders!B2494,Customers!A2494:A3493,Customers!C2494:C3493,"Country not Found",0)</f>
        <v>Country not Found</v>
      </c>
      <c r="G2494" s="7" t="str">
        <f>_xlfn.XLOOKUP(C2494,Products!A2494:A2993,Products!B2494:B2993,"Product Missing",0)</f>
        <v>Product Missing</v>
      </c>
      <c r="H2494" s="7" t="str">
        <f>_xlfn.XLOOKUP(C2494,Products!A2494:A2993,Products!C2494:C2993,"Category Missing",0)</f>
        <v>Category Missing</v>
      </c>
      <c r="I2494" s="11" t="str">
        <f>_xlfn.XLOOKUP(Orders!C2494,Products!A2494:A2993,Products!D2494:D2993,"Price Missing",0)</f>
        <v>Price Missing</v>
      </c>
      <c r="J2494" s="19">
        <f t="shared" si="38"/>
        <v>0</v>
      </c>
    </row>
    <row r="2495" spans="1:10" x14ac:dyDescent="0.35">
      <c r="A2495" s="4" t="s">
        <v>6515</v>
      </c>
      <c r="B2495" s="7" t="s">
        <v>1106</v>
      </c>
      <c r="C2495" s="7" t="s">
        <v>3270</v>
      </c>
      <c r="D2495" s="5">
        <v>9</v>
      </c>
      <c r="E2495" s="7" t="str">
        <f>_xlfn.XLOOKUP(B2495,Customers!A2495:A3494,Customers!B2495:B3494,"Customer Not Found",0)</f>
        <v>Customer Not Found</v>
      </c>
      <c r="F2495" s="7" t="str">
        <f>_xlfn.XLOOKUP(Orders!B2495,Customers!A2495:A3494,Customers!C2495:C3494,"Country not Found",0)</f>
        <v>Country not Found</v>
      </c>
      <c r="G2495" s="7" t="str">
        <f>_xlfn.XLOOKUP(C2495,Products!A2495:A2994,Products!B2495:B2994,"Product Missing",0)</f>
        <v>Product Missing</v>
      </c>
      <c r="H2495" s="7" t="str">
        <f>_xlfn.XLOOKUP(C2495,Products!A2495:A2994,Products!C2495:C2994,"Category Missing",0)</f>
        <v>Category Missing</v>
      </c>
      <c r="I2495" s="11" t="str">
        <f>_xlfn.XLOOKUP(Orders!C2495,Products!A2495:A2994,Products!D2495:D2994,"Price Missing",0)</f>
        <v>Price Missing</v>
      </c>
      <c r="J2495" s="19">
        <f t="shared" si="38"/>
        <v>0</v>
      </c>
    </row>
    <row r="2496" spans="1:10" x14ac:dyDescent="0.35">
      <c r="A2496" s="4" t="s">
        <v>6516</v>
      </c>
      <c r="B2496" s="7" t="s">
        <v>905</v>
      </c>
      <c r="C2496" s="7" t="s">
        <v>3184</v>
      </c>
      <c r="D2496" s="5">
        <v>7</v>
      </c>
      <c r="E2496" s="7" t="str">
        <f>_xlfn.XLOOKUP(B2496,Customers!A2496:A3495,Customers!B2496:B3495,"Customer Not Found",0)</f>
        <v>Customer Not Found</v>
      </c>
      <c r="F2496" s="7" t="str">
        <f>_xlfn.XLOOKUP(Orders!B2496,Customers!A2496:A3495,Customers!C2496:C3495,"Country not Found",0)</f>
        <v>Country not Found</v>
      </c>
      <c r="G2496" s="7" t="str">
        <f>_xlfn.XLOOKUP(C2496,Products!A2496:A2995,Products!B2496:B2995,"Product Missing",0)</f>
        <v>Product Missing</v>
      </c>
      <c r="H2496" s="7" t="str">
        <f>_xlfn.XLOOKUP(C2496,Products!A2496:A2995,Products!C2496:C2995,"Category Missing",0)</f>
        <v>Category Missing</v>
      </c>
      <c r="I2496" s="11" t="str">
        <f>_xlfn.XLOOKUP(Orders!C2496,Products!A2496:A2995,Products!D2496:D2995,"Price Missing",0)</f>
        <v>Price Missing</v>
      </c>
      <c r="J2496" s="19">
        <f t="shared" si="38"/>
        <v>0</v>
      </c>
    </row>
    <row r="2497" spans="1:10" x14ac:dyDescent="0.35">
      <c r="A2497" s="4" t="s">
        <v>6517</v>
      </c>
      <c r="B2497" s="7" t="s">
        <v>1358</v>
      </c>
      <c r="C2497" s="7" t="s">
        <v>3530</v>
      </c>
      <c r="D2497" s="5">
        <v>9</v>
      </c>
      <c r="E2497" s="7" t="str">
        <f>_xlfn.XLOOKUP(B2497,Customers!A2497:A3496,Customers!B2497:B3496,"Customer Not Found",0)</f>
        <v>Customer Not Found</v>
      </c>
      <c r="F2497" s="7" t="str">
        <f>_xlfn.XLOOKUP(Orders!B2497,Customers!A2497:A3496,Customers!C2497:C3496,"Country not Found",0)</f>
        <v>Country not Found</v>
      </c>
      <c r="G2497" s="7" t="str">
        <f>_xlfn.XLOOKUP(C2497,Products!A2497:A2996,Products!B2497:B2996,"Product Missing",0)</f>
        <v>Product Missing</v>
      </c>
      <c r="H2497" s="7" t="str">
        <f>_xlfn.XLOOKUP(C2497,Products!A2497:A2996,Products!C2497:C2996,"Category Missing",0)</f>
        <v>Category Missing</v>
      </c>
      <c r="I2497" s="11" t="str">
        <f>_xlfn.XLOOKUP(Orders!C2497,Products!A2497:A2996,Products!D2497:D2996,"Price Missing",0)</f>
        <v>Price Missing</v>
      </c>
      <c r="J2497" s="19">
        <f t="shared" si="38"/>
        <v>0</v>
      </c>
    </row>
    <row r="2498" spans="1:10" x14ac:dyDescent="0.35">
      <c r="A2498" s="4" t="s">
        <v>6518</v>
      </c>
      <c r="B2498" s="7" t="s">
        <v>806</v>
      </c>
      <c r="C2498" s="7" t="s">
        <v>3150</v>
      </c>
      <c r="D2498" s="5">
        <v>10</v>
      </c>
      <c r="E2498" s="7" t="str">
        <f>_xlfn.XLOOKUP(B2498,Customers!A2498:A3497,Customers!B2498:B3497,"Customer Not Found",0)</f>
        <v>Customer Not Found</v>
      </c>
      <c r="F2498" s="7" t="str">
        <f>_xlfn.XLOOKUP(Orders!B2498,Customers!A2498:A3497,Customers!C2498:C3497,"Country not Found",0)</f>
        <v>Country not Found</v>
      </c>
      <c r="G2498" s="7" t="str">
        <f>_xlfn.XLOOKUP(C2498,Products!A2498:A2997,Products!B2498:B2997,"Product Missing",0)</f>
        <v>Product Missing</v>
      </c>
      <c r="H2498" s="7" t="str">
        <f>_xlfn.XLOOKUP(C2498,Products!A2498:A2997,Products!C2498:C2997,"Category Missing",0)</f>
        <v>Category Missing</v>
      </c>
      <c r="I2498" s="11" t="str">
        <f>_xlfn.XLOOKUP(Orders!C2498,Products!A2498:A2997,Products!D2498:D2997,"Price Missing",0)</f>
        <v>Price Missing</v>
      </c>
      <c r="J2498" s="19">
        <f t="shared" si="38"/>
        <v>0</v>
      </c>
    </row>
    <row r="2499" spans="1:10" x14ac:dyDescent="0.35">
      <c r="A2499" s="4" t="s">
        <v>6519</v>
      </c>
      <c r="B2499" s="7" t="s">
        <v>2783</v>
      </c>
      <c r="C2499" s="7" t="s">
        <v>3856</v>
      </c>
      <c r="D2499" s="5">
        <v>7</v>
      </c>
      <c r="E2499" s="7" t="str">
        <f>_xlfn.XLOOKUP(B2499,Customers!A2499:A3498,Customers!B2499:B3498,"Customer Not Found",0)</f>
        <v>Customer Not Found</v>
      </c>
      <c r="F2499" s="7" t="str">
        <f>_xlfn.XLOOKUP(Orders!B2499,Customers!A2499:A3498,Customers!C2499:C3498,"Country not Found",0)</f>
        <v>Country not Found</v>
      </c>
      <c r="G2499" s="7" t="str">
        <f>_xlfn.XLOOKUP(C2499,Products!A2499:A2998,Products!B2499:B2998,"Product Missing",0)</f>
        <v>Product Missing</v>
      </c>
      <c r="H2499" s="7" t="str">
        <f>_xlfn.XLOOKUP(C2499,Products!A2499:A2998,Products!C2499:C2998,"Category Missing",0)</f>
        <v>Category Missing</v>
      </c>
      <c r="I2499" s="11" t="str">
        <f>_xlfn.XLOOKUP(Orders!C2499,Products!A2499:A2998,Products!D2499:D2998,"Price Missing",0)</f>
        <v>Price Missing</v>
      </c>
      <c r="J2499" s="19">
        <f t="shared" ref="J2499:J2562" si="39">IFERROR(I2499*D2499,0)</f>
        <v>0</v>
      </c>
    </row>
    <row r="2500" spans="1:10" x14ac:dyDescent="0.35">
      <c r="A2500" s="4" t="s">
        <v>6520</v>
      </c>
      <c r="B2500" s="7" t="s">
        <v>2486</v>
      </c>
      <c r="C2500" s="7" t="s">
        <v>3094</v>
      </c>
      <c r="D2500" s="5">
        <v>2</v>
      </c>
      <c r="E2500" s="7" t="str">
        <f>_xlfn.XLOOKUP(B2500,Customers!A2500:A3499,Customers!B2500:B3499,"Customer Not Found",0)</f>
        <v>Customer Not Found</v>
      </c>
      <c r="F2500" s="7" t="str">
        <f>_xlfn.XLOOKUP(Orders!B2500,Customers!A2500:A3499,Customers!C2500:C3499,"Country not Found",0)</f>
        <v>Country not Found</v>
      </c>
      <c r="G2500" s="7" t="str">
        <f>_xlfn.XLOOKUP(C2500,Products!A2500:A2999,Products!B2500:B2999,"Product Missing",0)</f>
        <v>Product Missing</v>
      </c>
      <c r="H2500" s="7" t="str">
        <f>_xlfn.XLOOKUP(C2500,Products!A2500:A2999,Products!C2500:C2999,"Category Missing",0)</f>
        <v>Category Missing</v>
      </c>
      <c r="I2500" s="11" t="str">
        <f>_xlfn.XLOOKUP(Orders!C2500,Products!A2500:A2999,Products!D2500:D2999,"Price Missing",0)</f>
        <v>Price Missing</v>
      </c>
      <c r="J2500" s="19">
        <f t="shared" si="39"/>
        <v>0</v>
      </c>
    </row>
    <row r="2501" spans="1:10" x14ac:dyDescent="0.35">
      <c r="A2501" s="4" t="s">
        <v>6521</v>
      </c>
      <c r="B2501" s="7" t="s">
        <v>1631</v>
      </c>
      <c r="C2501" s="7" t="s">
        <v>3570</v>
      </c>
      <c r="D2501" s="5">
        <v>2</v>
      </c>
      <c r="E2501" s="7" t="str">
        <f>_xlfn.XLOOKUP(B2501,Customers!A2501:A3500,Customers!B2501:B3500,"Customer Not Found",0)</f>
        <v>Customer Not Found</v>
      </c>
      <c r="F2501" s="7" t="str">
        <f>_xlfn.XLOOKUP(Orders!B2501,Customers!A2501:A3500,Customers!C2501:C3500,"Country not Found",0)</f>
        <v>Country not Found</v>
      </c>
      <c r="G2501" s="7" t="str">
        <f>_xlfn.XLOOKUP(C2501,Products!A2501:A3000,Products!B2501:B3000,"Product Missing",0)</f>
        <v>Product Missing</v>
      </c>
      <c r="H2501" s="7" t="str">
        <f>_xlfn.XLOOKUP(C2501,Products!A2501:A3000,Products!C2501:C3000,"Category Missing",0)</f>
        <v>Category Missing</v>
      </c>
      <c r="I2501" s="11" t="str">
        <f>_xlfn.XLOOKUP(Orders!C2501,Products!A2501:A3000,Products!D2501:D3000,"Price Missing",0)</f>
        <v>Price Missing</v>
      </c>
      <c r="J2501" s="19">
        <f t="shared" si="39"/>
        <v>0</v>
      </c>
    </row>
    <row r="2502" spans="1:10" x14ac:dyDescent="0.35">
      <c r="A2502" s="4" t="s">
        <v>6522</v>
      </c>
      <c r="B2502" s="7" t="s">
        <v>1118</v>
      </c>
      <c r="C2502" s="7" t="s">
        <v>3184</v>
      </c>
      <c r="D2502" s="5">
        <v>10</v>
      </c>
      <c r="E2502" s="7" t="str">
        <f>_xlfn.XLOOKUP(B2502,Customers!A2502:A3501,Customers!B2502:B3501,"Customer Not Found",0)</f>
        <v>Customer Not Found</v>
      </c>
      <c r="F2502" s="7" t="str">
        <f>_xlfn.XLOOKUP(Orders!B2502,Customers!A2502:A3501,Customers!C2502:C3501,"Country not Found",0)</f>
        <v>Country not Found</v>
      </c>
      <c r="G2502" s="7" t="str">
        <f>_xlfn.XLOOKUP(C2502,Products!A2502:A3001,Products!B2502:B3001,"Product Missing",0)</f>
        <v>Product Missing</v>
      </c>
      <c r="H2502" s="7" t="str">
        <f>_xlfn.XLOOKUP(C2502,Products!A2502:A3001,Products!C2502:C3001,"Category Missing",0)</f>
        <v>Category Missing</v>
      </c>
      <c r="I2502" s="11" t="str">
        <f>_xlfn.XLOOKUP(Orders!C2502,Products!A2502:A3001,Products!D2502:D3001,"Price Missing",0)</f>
        <v>Price Missing</v>
      </c>
      <c r="J2502" s="19">
        <f t="shared" si="39"/>
        <v>0</v>
      </c>
    </row>
    <row r="2503" spans="1:10" x14ac:dyDescent="0.35">
      <c r="A2503" s="4" t="s">
        <v>6523</v>
      </c>
      <c r="B2503" s="7" t="s">
        <v>1652</v>
      </c>
      <c r="C2503" s="7" t="s">
        <v>3434</v>
      </c>
      <c r="D2503" s="5">
        <v>10</v>
      </c>
      <c r="E2503" s="7" t="str">
        <f>_xlfn.XLOOKUP(B2503,Customers!A2503:A3502,Customers!B2503:B3502,"Customer Not Found",0)</f>
        <v>Customer Not Found</v>
      </c>
      <c r="F2503" s="7" t="str">
        <f>_xlfn.XLOOKUP(Orders!B2503,Customers!A2503:A3502,Customers!C2503:C3502,"Country not Found",0)</f>
        <v>Country not Found</v>
      </c>
      <c r="G2503" s="7" t="str">
        <f>_xlfn.XLOOKUP(C2503,Products!A2503:A3002,Products!B2503:B3002,"Product Missing",0)</f>
        <v>Product Missing</v>
      </c>
      <c r="H2503" s="7" t="str">
        <f>_xlfn.XLOOKUP(C2503,Products!A2503:A3002,Products!C2503:C3002,"Category Missing",0)</f>
        <v>Category Missing</v>
      </c>
      <c r="I2503" s="11" t="str">
        <f>_xlfn.XLOOKUP(Orders!C2503,Products!A2503:A3002,Products!D2503:D3002,"Price Missing",0)</f>
        <v>Price Missing</v>
      </c>
      <c r="J2503" s="19">
        <f t="shared" si="39"/>
        <v>0</v>
      </c>
    </row>
    <row r="2504" spans="1:10" x14ac:dyDescent="0.35">
      <c r="A2504" s="4" t="s">
        <v>6524</v>
      </c>
      <c r="B2504" s="7" t="s">
        <v>2408</v>
      </c>
      <c r="C2504" s="7" t="s">
        <v>3760</v>
      </c>
      <c r="D2504" s="5">
        <v>1</v>
      </c>
      <c r="E2504" s="7" t="str">
        <f>_xlfn.XLOOKUP(B2504,Customers!A2504:A3503,Customers!B2504:B3503,"Customer Not Found",0)</f>
        <v>Customer Not Found</v>
      </c>
      <c r="F2504" s="7" t="str">
        <f>_xlfn.XLOOKUP(Orders!B2504,Customers!A2504:A3503,Customers!C2504:C3503,"Country not Found",0)</f>
        <v>Country not Found</v>
      </c>
      <c r="G2504" s="7" t="str">
        <f>_xlfn.XLOOKUP(C2504,Products!A2504:A3003,Products!B2504:B3003,"Product Missing",0)</f>
        <v>Product Missing</v>
      </c>
      <c r="H2504" s="7" t="str">
        <f>_xlfn.XLOOKUP(C2504,Products!A2504:A3003,Products!C2504:C3003,"Category Missing",0)</f>
        <v>Category Missing</v>
      </c>
      <c r="I2504" s="11" t="str">
        <f>_xlfn.XLOOKUP(Orders!C2504,Products!A2504:A3003,Products!D2504:D3003,"Price Missing",0)</f>
        <v>Price Missing</v>
      </c>
      <c r="J2504" s="19">
        <f t="shared" si="39"/>
        <v>0</v>
      </c>
    </row>
    <row r="2505" spans="1:10" x14ac:dyDescent="0.35">
      <c r="A2505" s="4" t="s">
        <v>6525</v>
      </c>
      <c r="B2505" s="7" t="s">
        <v>2627</v>
      </c>
      <c r="C2505" s="7" t="s">
        <v>3856</v>
      </c>
      <c r="D2505" s="5">
        <v>10</v>
      </c>
      <c r="E2505" s="7" t="str">
        <f>_xlfn.XLOOKUP(B2505,Customers!A2505:A3504,Customers!B2505:B3504,"Customer Not Found",0)</f>
        <v>Customer Not Found</v>
      </c>
      <c r="F2505" s="7" t="str">
        <f>_xlfn.XLOOKUP(Orders!B2505,Customers!A2505:A3504,Customers!C2505:C3504,"Country not Found",0)</f>
        <v>Country not Found</v>
      </c>
      <c r="G2505" s="7" t="str">
        <f>_xlfn.XLOOKUP(C2505,Products!A2505:A3004,Products!B2505:B3004,"Product Missing",0)</f>
        <v>Product Missing</v>
      </c>
      <c r="H2505" s="7" t="str">
        <f>_xlfn.XLOOKUP(C2505,Products!A2505:A3004,Products!C2505:C3004,"Category Missing",0)</f>
        <v>Category Missing</v>
      </c>
      <c r="I2505" s="11" t="str">
        <f>_xlfn.XLOOKUP(Orders!C2505,Products!A2505:A3004,Products!D2505:D3004,"Price Missing",0)</f>
        <v>Price Missing</v>
      </c>
      <c r="J2505" s="19">
        <f t="shared" si="39"/>
        <v>0</v>
      </c>
    </row>
    <row r="2506" spans="1:10" x14ac:dyDescent="0.35">
      <c r="A2506" s="4" t="s">
        <v>6526</v>
      </c>
      <c r="B2506" s="7" t="s">
        <v>1691</v>
      </c>
      <c r="C2506" s="7" t="s">
        <v>3654</v>
      </c>
      <c r="D2506" s="5">
        <v>1</v>
      </c>
      <c r="E2506" s="7" t="str">
        <f>_xlfn.XLOOKUP(B2506,Customers!A2506:A3505,Customers!B2506:B3505,"Customer Not Found",0)</f>
        <v>Customer Not Found</v>
      </c>
      <c r="F2506" s="7" t="str">
        <f>_xlfn.XLOOKUP(Orders!B2506,Customers!A2506:A3505,Customers!C2506:C3505,"Country not Found",0)</f>
        <v>Country not Found</v>
      </c>
      <c r="G2506" s="7" t="str">
        <f>_xlfn.XLOOKUP(C2506,Products!A2506:A3005,Products!B2506:B3005,"Product Missing",0)</f>
        <v>Product Missing</v>
      </c>
      <c r="H2506" s="7" t="str">
        <f>_xlfn.XLOOKUP(C2506,Products!A2506:A3005,Products!C2506:C3005,"Category Missing",0)</f>
        <v>Category Missing</v>
      </c>
      <c r="I2506" s="11" t="str">
        <f>_xlfn.XLOOKUP(Orders!C2506,Products!A2506:A3005,Products!D2506:D3005,"Price Missing",0)</f>
        <v>Price Missing</v>
      </c>
      <c r="J2506" s="19">
        <f t="shared" si="39"/>
        <v>0</v>
      </c>
    </row>
    <row r="2507" spans="1:10" x14ac:dyDescent="0.35">
      <c r="A2507" s="4" t="s">
        <v>6527</v>
      </c>
      <c r="B2507" s="7" t="s">
        <v>128</v>
      </c>
      <c r="C2507" s="7" t="s">
        <v>3602</v>
      </c>
      <c r="D2507" s="5">
        <v>5</v>
      </c>
      <c r="E2507" s="7" t="str">
        <f>_xlfn.XLOOKUP(B2507,Customers!A2507:A3506,Customers!B2507:B3506,"Customer Not Found",0)</f>
        <v>Customer Not Found</v>
      </c>
      <c r="F2507" s="7" t="str">
        <f>_xlfn.XLOOKUP(Orders!B2507,Customers!A2507:A3506,Customers!C2507:C3506,"Country not Found",0)</f>
        <v>Country not Found</v>
      </c>
      <c r="G2507" s="7" t="str">
        <f>_xlfn.XLOOKUP(C2507,Products!A2507:A3006,Products!B2507:B3006,"Product Missing",0)</f>
        <v>Product Missing</v>
      </c>
      <c r="H2507" s="7" t="str">
        <f>_xlfn.XLOOKUP(C2507,Products!A2507:A3006,Products!C2507:C3006,"Category Missing",0)</f>
        <v>Category Missing</v>
      </c>
      <c r="I2507" s="11" t="str">
        <f>_xlfn.XLOOKUP(Orders!C2507,Products!A2507:A3006,Products!D2507:D3006,"Price Missing",0)</f>
        <v>Price Missing</v>
      </c>
      <c r="J2507" s="19">
        <f t="shared" si="39"/>
        <v>0</v>
      </c>
    </row>
    <row r="2508" spans="1:10" x14ac:dyDescent="0.35">
      <c r="A2508" s="4" t="s">
        <v>6528</v>
      </c>
      <c r="B2508" s="7" t="s">
        <v>1583</v>
      </c>
      <c r="C2508" s="7" t="s">
        <v>3878</v>
      </c>
      <c r="D2508" s="5">
        <v>3</v>
      </c>
      <c r="E2508" s="7" t="str">
        <f>_xlfn.XLOOKUP(B2508,Customers!A2508:A3507,Customers!B2508:B3507,"Customer Not Found",0)</f>
        <v>Customer Not Found</v>
      </c>
      <c r="F2508" s="7" t="str">
        <f>_xlfn.XLOOKUP(Orders!B2508,Customers!A2508:A3507,Customers!C2508:C3507,"Country not Found",0)</f>
        <v>Country not Found</v>
      </c>
      <c r="G2508" s="7" t="str">
        <f>_xlfn.XLOOKUP(C2508,Products!A2508:A3007,Products!B2508:B3007,"Product Missing",0)</f>
        <v>Product Missing</v>
      </c>
      <c r="H2508" s="7" t="str">
        <f>_xlfn.XLOOKUP(C2508,Products!A2508:A3007,Products!C2508:C3007,"Category Missing",0)</f>
        <v>Category Missing</v>
      </c>
      <c r="I2508" s="11" t="str">
        <f>_xlfn.XLOOKUP(Orders!C2508,Products!A2508:A3007,Products!D2508:D3007,"Price Missing",0)</f>
        <v>Price Missing</v>
      </c>
      <c r="J2508" s="19">
        <f t="shared" si="39"/>
        <v>0</v>
      </c>
    </row>
    <row r="2509" spans="1:10" x14ac:dyDescent="0.35">
      <c r="A2509" s="4" t="s">
        <v>6529</v>
      </c>
      <c r="B2509" s="7" t="s">
        <v>1364</v>
      </c>
      <c r="C2509" s="7" t="s">
        <v>4002</v>
      </c>
      <c r="D2509" s="5">
        <v>6</v>
      </c>
      <c r="E2509" s="7" t="str">
        <f>_xlfn.XLOOKUP(B2509,Customers!A2509:A3508,Customers!B2509:B3508,"Customer Not Found",0)</f>
        <v>Customer Not Found</v>
      </c>
      <c r="F2509" s="7" t="str">
        <f>_xlfn.XLOOKUP(Orders!B2509,Customers!A2509:A3508,Customers!C2509:C3508,"Country not Found",0)</f>
        <v>Country not Found</v>
      </c>
      <c r="G2509" s="7" t="str">
        <f>_xlfn.XLOOKUP(C2509,Products!A2509:A3008,Products!B2509:B3008,"Product Missing",0)</f>
        <v>Product Missing</v>
      </c>
      <c r="H2509" s="7" t="str">
        <f>_xlfn.XLOOKUP(C2509,Products!A2509:A3008,Products!C2509:C3008,"Category Missing",0)</f>
        <v>Category Missing</v>
      </c>
      <c r="I2509" s="11" t="str">
        <f>_xlfn.XLOOKUP(Orders!C2509,Products!A2509:A3008,Products!D2509:D3008,"Price Missing",0)</f>
        <v>Price Missing</v>
      </c>
      <c r="J2509" s="19">
        <f t="shared" si="39"/>
        <v>0</v>
      </c>
    </row>
    <row r="2510" spans="1:10" x14ac:dyDescent="0.35">
      <c r="A2510" s="4" t="s">
        <v>6530</v>
      </c>
      <c r="B2510" s="7" t="s">
        <v>1115</v>
      </c>
      <c r="C2510" s="7" t="s">
        <v>3316</v>
      </c>
      <c r="D2510" s="5">
        <v>2</v>
      </c>
      <c r="E2510" s="7" t="str">
        <f>_xlfn.XLOOKUP(B2510,Customers!A2510:A3509,Customers!B2510:B3509,"Customer Not Found",0)</f>
        <v>Customer Not Found</v>
      </c>
      <c r="F2510" s="7" t="str">
        <f>_xlfn.XLOOKUP(Orders!B2510,Customers!A2510:A3509,Customers!C2510:C3509,"Country not Found",0)</f>
        <v>Country not Found</v>
      </c>
      <c r="G2510" s="7" t="str">
        <f>_xlfn.XLOOKUP(C2510,Products!A2510:A3009,Products!B2510:B3009,"Product Missing",0)</f>
        <v>Product Missing</v>
      </c>
      <c r="H2510" s="7" t="str">
        <f>_xlfn.XLOOKUP(C2510,Products!A2510:A3009,Products!C2510:C3009,"Category Missing",0)</f>
        <v>Category Missing</v>
      </c>
      <c r="I2510" s="11" t="str">
        <f>_xlfn.XLOOKUP(Orders!C2510,Products!A2510:A3009,Products!D2510:D3009,"Price Missing",0)</f>
        <v>Price Missing</v>
      </c>
      <c r="J2510" s="19">
        <f t="shared" si="39"/>
        <v>0</v>
      </c>
    </row>
    <row r="2511" spans="1:10" x14ac:dyDescent="0.35">
      <c r="A2511" s="4" t="s">
        <v>6531</v>
      </c>
      <c r="B2511" s="7" t="s">
        <v>797</v>
      </c>
      <c r="C2511" s="7" t="s">
        <v>3162</v>
      </c>
      <c r="D2511" s="5">
        <v>2</v>
      </c>
      <c r="E2511" s="7" t="str">
        <f>_xlfn.XLOOKUP(B2511,Customers!A2511:A3510,Customers!B2511:B3510,"Customer Not Found",0)</f>
        <v>Customer Not Found</v>
      </c>
      <c r="F2511" s="7" t="str">
        <f>_xlfn.XLOOKUP(Orders!B2511,Customers!A2511:A3510,Customers!C2511:C3510,"Country not Found",0)</f>
        <v>Country not Found</v>
      </c>
      <c r="G2511" s="7" t="str">
        <f>_xlfn.XLOOKUP(C2511,Products!A2511:A3010,Products!B2511:B3010,"Product Missing",0)</f>
        <v>Product Missing</v>
      </c>
      <c r="H2511" s="7" t="str">
        <f>_xlfn.XLOOKUP(C2511,Products!A2511:A3010,Products!C2511:C3010,"Category Missing",0)</f>
        <v>Category Missing</v>
      </c>
      <c r="I2511" s="11" t="str">
        <f>_xlfn.XLOOKUP(Orders!C2511,Products!A2511:A3010,Products!D2511:D3010,"Price Missing",0)</f>
        <v>Price Missing</v>
      </c>
      <c r="J2511" s="19">
        <f t="shared" si="39"/>
        <v>0</v>
      </c>
    </row>
    <row r="2512" spans="1:10" x14ac:dyDescent="0.35">
      <c r="A2512" s="4" t="s">
        <v>6532</v>
      </c>
      <c r="B2512" s="7" t="s">
        <v>1340</v>
      </c>
      <c r="C2512" s="7" t="s">
        <v>3836</v>
      </c>
      <c r="D2512" s="5">
        <v>2</v>
      </c>
      <c r="E2512" s="7" t="str">
        <f>_xlfn.XLOOKUP(B2512,Customers!A2512:A3511,Customers!B2512:B3511,"Customer Not Found",0)</f>
        <v>Customer Not Found</v>
      </c>
      <c r="F2512" s="7" t="str">
        <f>_xlfn.XLOOKUP(Orders!B2512,Customers!A2512:A3511,Customers!C2512:C3511,"Country not Found",0)</f>
        <v>Country not Found</v>
      </c>
      <c r="G2512" s="7" t="str">
        <f>_xlfn.XLOOKUP(C2512,Products!A2512:A3011,Products!B2512:B3011,"Product Missing",0)</f>
        <v>Product Missing</v>
      </c>
      <c r="H2512" s="7" t="str">
        <f>_xlfn.XLOOKUP(C2512,Products!A2512:A3011,Products!C2512:C3011,"Category Missing",0)</f>
        <v>Category Missing</v>
      </c>
      <c r="I2512" s="11" t="str">
        <f>_xlfn.XLOOKUP(Orders!C2512,Products!A2512:A3011,Products!D2512:D3011,"Price Missing",0)</f>
        <v>Price Missing</v>
      </c>
      <c r="J2512" s="19">
        <f t="shared" si="39"/>
        <v>0</v>
      </c>
    </row>
    <row r="2513" spans="1:10" x14ac:dyDescent="0.35">
      <c r="A2513" s="4" t="s">
        <v>6533</v>
      </c>
      <c r="B2513" s="7" t="s">
        <v>161</v>
      </c>
      <c r="C2513" s="7" t="s">
        <v>3778</v>
      </c>
      <c r="D2513" s="5">
        <v>7</v>
      </c>
      <c r="E2513" s="7" t="str">
        <f>_xlfn.XLOOKUP(B2513,Customers!A2513:A3512,Customers!B2513:B3512,"Customer Not Found",0)</f>
        <v>Customer Not Found</v>
      </c>
      <c r="F2513" s="7" t="str">
        <f>_xlfn.XLOOKUP(Orders!B2513,Customers!A2513:A3512,Customers!C2513:C3512,"Country not Found",0)</f>
        <v>Country not Found</v>
      </c>
      <c r="G2513" s="7" t="str">
        <f>_xlfn.XLOOKUP(C2513,Products!A2513:A3012,Products!B2513:B3012,"Product Missing",0)</f>
        <v>Product Missing</v>
      </c>
      <c r="H2513" s="7" t="str">
        <f>_xlfn.XLOOKUP(C2513,Products!A2513:A3012,Products!C2513:C3012,"Category Missing",0)</f>
        <v>Category Missing</v>
      </c>
      <c r="I2513" s="11" t="str">
        <f>_xlfn.XLOOKUP(Orders!C2513,Products!A2513:A3012,Products!D2513:D3012,"Price Missing",0)</f>
        <v>Price Missing</v>
      </c>
      <c r="J2513" s="19">
        <f t="shared" si="39"/>
        <v>0</v>
      </c>
    </row>
    <row r="2514" spans="1:10" x14ac:dyDescent="0.35">
      <c r="A2514" s="4" t="s">
        <v>6534</v>
      </c>
      <c r="B2514" s="7" t="s">
        <v>866</v>
      </c>
      <c r="C2514" s="7" t="s">
        <v>3360</v>
      </c>
      <c r="D2514" s="5">
        <v>7</v>
      </c>
      <c r="E2514" s="7" t="str">
        <f>_xlfn.XLOOKUP(B2514,Customers!A2514:A3513,Customers!B2514:B3513,"Customer Not Found",0)</f>
        <v>Customer Not Found</v>
      </c>
      <c r="F2514" s="7" t="str">
        <f>_xlfn.XLOOKUP(Orders!B2514,Customers!A2514:A3513,Customers!C2514:C3513,"Country not Found",0)</f>
        <v>Country not Found</v>
      </c>
      <c r="G2514" s="7" t="str">
        <f>_xlfn.XLOOKUP(C2514,Products!A2514:A3013,Products!B2514:B3013,"Product Missing",0)</f>
        <v>Product Missing</v>
      </c>
      <c r="H2514" s="7" t="str">
        <f>_xlfn.XLOOKUP(C2514,Products!A2514:A3013,Products!C2514:C3013,"Category Missing",0)</f>
        <v>Category Missing</v>
      </c>
      <c r="I2514" s="11" t="str">
        <f>_xlfn.XLOOKUP(Orders!C2514,Products!A2514:A3013,Products!D2514:D3013,"Price Missing",0)</f>
        <v>Price Missing</v>
      </c>
      <c r="J2514" s="19">
        <f t="shared" si="39"/>
        <v>0</v>
      </c>
    </row>
    <row r="2515" spans="1:10" x14ac:dyDescent="0.35">
      <c r="A2515" s="4" t="s">
        <v>6535</v>
      </c>
      <c r="B2515" s="7" t="s">
        <v>1493</v>
      </c>
      <c r="C2515" s="7" t="s">
        <v>3624</v>
      </c>
      <c r="D2515" s="5">
        <v>9</v>
      </c>
      <c r="E2515" s="7" t="str">
        <f>_xlfn.XLOOKUP(B2515,Customers!A2515:A3514,Customers!B2515:B3514,"Customer Not Found",0)</f>
        <v>Customer Not Found</v>
      </c>
      <c r="F2515" s="7" t="str">
        <f>_xlfn.XLOOKUP(Orders!B2515,Customers!A2515:A3514,Customers!C2515:C3514,"Country not Found",0)</f>
        <v>Country not Found</v>
      </c>
      <c r="G2515" s="7" t="str">
        <f>_xlfn.XLOOKUP(C2515,Products!A2515:A3014,Products!B2515:B3014,"Product Missing",0)</f>
        <v>Product Missing</v>
      </c>
      <c r="H2515" s="7" t="str">
        <f>_xlfn.XLOOKUP(C2515,Products!A2515:A3014,Products!C2515:C3014,"Category Missing",0)</f>
        <v>Category Missing</v>
      </c>
      <c r="I2515" s="11" t="str">
        <f>_xlfn.XLOOKUP(Orders!C2515,Products!A2515:A3014,Products!D2515:D3014,"Price Missing",0)</f>
        <v>Price Missing</v>
      </c>
      <c r="J2515" s="19">
        <f t="shared" si="39"/>
        <v>0</v>
      </c>
    </row>
    <row r="2516" spans="1:10" x14ac:dyDescent="0.35">
      <c r="A2516" s="4" t="s">
        <v>6536</v>
      </c>
      <c r="B2516" s="7" t="s">
        <v>2654</v>
      </c>
      <c r="C2516" s="7" t="s">
        <v>3592</v>
      </c>
      <c r="D2516" s="5">
        <v>4</v>
      </c>
      <c r="E2516" s="7" t="str">
        <f>_xlfn.XLOOKUP(B2516,Customers!A2516:A3515,Customers!B2516:B3515,"Customer Not Found",0)</f>
        <v>Customer Not Found</v>
      </c>
      <c r="F2516" s="7" t="str">
        <f>_xlfn.XLOOKUP(Orders!B2516,Customers!A2516:A3515,Customers!C2516:C3515,"Country not Found",0)</f>
        <v>Country not Found</v>
      </c>
      <c r="G2516" s="7" t="str">
        <f>_xlfn.XLOOKUP(C2516,Products!A2516:A3015,Products!B2516:B3015,"Product Missing",0)</f>
        <v>Product Missing</v>
      </c>
      <c r="H2516" s="7" t="str">
        <f>_xlfn.XLOOKUP(C2516,Products!A2516:A3015,Products!C2516:C3015,"Category Missing",0)</f>
        <v>Category Missing</v>
      </c>
      <c r="I2516" s="11" t="str">
        <f>_xlfn.XLOOKUP(Orders!C2516,Products!A2516:A3015,Products!D2516:D3015,"Price Missing",0)</f>
        <v>Price Missing</v>
      </c>
      <c r="J2516" s="19">
        <f t="shared" si="39"/>
        <v>0</v>
      </c>
    </row>
    <row r="2517" spans="1:10" x14ac:dyDescent="0.35">
      <c r="A2517" s="4" t="s">
        <v>6537</v>
      </c>
      <c r="B2517" s="7" t="s">
        <v>1013</v>
      </c>
      <c r="C2517" s="7" t="s">
        <v>3350</v>
      </c>
      <c r="D2517" s="5">
        <v>3</v>
      </c>
      <c r="E2517" s="7" t="str">
        <f>_xlfn.XLOOKUP(B2517,Customers!A2517:A3516,Customers!B2517:B3516,"Customer Not Found",0)</f>
        <v>Customer Not Found</v>
      </c>
      <c r="F2517" s="7" t="str">
        <f>_xlfn.XLOOKUP(Orders!B2517,Customers!A2517:A3516,Customers!C2517:C3516,"Country not Found",0)</f>
        <v>Country not Found</v>
      </c>
      <c r="G2517" s="7" t="str">
        <f>_xlfn.XLOOKUP(C2517,Products!A2517:A3016,Products!B2517:B3016,"Product Missing",0)</f>
        <v>Product Missing</v>
      </c>
      <c r="H2517" s="7" t="str">
        <f>_xlfn.XLOOKUP(C2517,Products!A2517:A3016,Products!C2517:C3016,"Category Missing",0)</f>
        <v>Category Missing</v>
      </c>
      <c r="I2517" s="11" t="str">
        <f>_xlfn.XLOOKUP(Orders!C2517,Products!A2517:A3016,Products!D2517:D3016,"Price Missing",0)</f>
        <v>Price Missing</v>
      </c>
      <c r="J2517" s="19">
        <f t="shared" si="39"/>
        <v>0</v>
      </c>
    </row>
    <row r="2518" spans="1:10" x14ac:dyDescent="0.35">
      <c r="A2518" s="4" t="s">
        <v>6538</v>
      </c>
      <c r="B2518" s="7" t="s">
        <v>1895</v>
      </c>
      <c r="C2518" s="7" t="s">
        <v>3990</v>
      </c>
      <c r="D2518" s="5">
        <v>7</v>
      </c>
      <c r="E2518" s="7" t="str">
        <f>_xlfn.XLOOKUP(B2518,Customers!A2518:A3517,Customers!B2518:B3517,"Customer Not Found",0)</f>
        <v>Customer Not Found</v>
      </c>
      <c r="F2518" s="7" t="str">
        <f>_xlfn.XLOOKUP(Orders!B2518,Customers!A2518:A3517,Customers!C2518:C3517,"Country not Found",0)</f>
        <v>Country not Found</v>
      </c>
      <c r="G2518" s="7" t="str">
        <f>_xlfn.XLOOKUP(C2518,Products!A2518:A3017,Products!B2518:B3017,"Product Missing",0)</f>
        <v>Product Missing</v>
      </c>
      <c r="H2518" s="7" t="str">
        <f>_xlfn.XLOOKUP(C2518,Products!A2518:A3017,Products!C2518:C3017,"Category Missing",0)</f>
        <v>Category Missing</v>
      </c>
      <c r="I2518" s="11" t="str">
        <f>_xlfn.XLOOKUP(Orders!C2518,Products!A2518:A3017,Products!D2518:D3017,"Price Missing",0)</f>
        <v>Price Missing</v>
      </c>
      <c r="J2518" s="19">
        <f t="shared" si="39"/>
        <v>0</v>
      </c>
    </row>
    <row r="2519" spans="1:10" x14ac:dyDescent="0.35">
      <c r="A2519" s="4" t="s">
        <v>6539</v>
      </c>
      <c r="B2519" s="7" t="s">
        <v>2762</v>
      </c>
      <c r="C2519" s="7" t="s">
        <v>3648</v>
      </c>
      <c r="D2519" s="5">
        <v>5</v>
      </c>
      <c r="E2519" s="7" t="str">
        <f>_xlfn.XLOOKUP(B2519,Customers!A2519:A3518,Customers!B2519:B3518,"Customer Not Found",0)</f>
        <v>Customer Not Found</v>
      </c>
      <c r="F2519" s="7" t="str">
        <f>_xlfn.XLOOKUP(Orders!B2519,Customers!A2519:A3518,Customers!C2519:C3518,"Country not Found",0)</f>
        <v>Country not Found</v>
      </c>
      <c r="G2519" s="7" t="str">
        <f>_xlfn.XLOOKUP(C2519,Products!A2519:A3018,Products!B2519:B3018,"Product Missing",0)</f>
        <v>Product Missing</v>
      </c>
      <c r="H2519" s="7" t="str">
        <f>_xlfn.XLOOKUP(C2519,Products!A2519:A3018,Products!C2519:C3018,"Category Missing",0)</f>
        <v>Category Missing</v>
      </c>
      <c r="I2519" s="11" t="str">
        <f>_xlfn.XLOOKUP(Orders!C2519,Products!A2519:A3018,Products!D2519:D3018,"Price Missing",0)</f>
        <v>Price Missing</v>
      </c>
      <c r="J2519" s="19">
        <f t="shared" si="39"/>
        <v>0</v>
      </c>
    </row>
    <row r="2520" spans="1:10" x14ac:dyDescent="0.35">
      <c r="A2520" s="4" t="s">
        <v>6540</v>
      </c>
      <c r="B2520" s="7" t="s">
        <v>2738</v>
      </c>
      <c r="C2520" s="7" t="s">
        <v>3732</v>
      </c>
      <c r="D2520" s="5">
        <v>2</v>
      </c>
      <c r="E2520" s="7" t="str">
        <f>_xlfn.XLOOKUP(B2520,Customers!A2520:A3519,Customers!B2520:B3519,"Customer Not Found",0)</f>
        <v>Customer Not Found</v>
      </c>
      <c r="F2520" s="7" t="str">
        <f>_xlfn.XLOOKUP(Orders!B2520,Customers!A2520:A3519,Customers!C2520:C3519,"Country not Found",0)</f>
        <v>Country not Found</v>
      </c>
      <c r="G2520" s="7" t="str">
        <f>_xlfn.XLOOKUP(C2520,Products!A2520:A3019,Products!B2520:B3019,"Product Missing",0)</f>
        <v>Product Missing</v>
      </c>
      <c r="H2520" s="7" t="str">
        <f>_xlfn.XLOOKUP(C2520,Products!A2520:A3019,Products!C2520:C3019,"Category Missing",0)</f>
        <v>Category Missing</v>
      </c>
      <c r="I2520" s="11" t="str">
        <f>_xlfn.XLOOKUP(Orders!C2520,Products!A2520:A3019,Products!D2520:D3019,"Price Missing",0)</f>
        <v>Price Missing</v>
      </c>
      <c r="J2520" s="19">
        <f t="shared" si="39"/>
        <v>0</v>
      </c>
    </row>
    <row r="2521" spans="1:10" x14ac:dyDescent="0.35">
      <c r="A2521" s="4" t="s">
        <v>6541</v>
      </c>
      <c r="B2521" s="7" t="s">
        <v>1109</v>
      </c>
      <c r="C2521" s="7" t="s">
        <v>3980</v>
      </c>
      <c r="D2521" s="5">
        <v>5</v>
      </c>
      <c r="E2521" s="7" t="str">
        <f>_xlfn.XLOOKUP(B2521,Customers!A2521:A3520,Customers!B2521:B3520,"Customer Not Found",0)</f>
        <v>Customer Not Found</v>
      </c>
      <c r="F2521" s="7" t="str">
        <f>_xlfn.XLOOKUP(Orders!B2521,Customers!A2521:A3520,Customers!C2521:C3520,"Country not Found",0)</f>
        <v>Country not Found</v>
      </c>
      <c r="G2521" s="7" t="str">
        <f>_xlfn.XLOOKUP(C2521,Products!A2521:A3020,Products!B2521:B3020,"Product Missing",0)</f>
        <v>Product Missing</v>
      </c>
      <c r="H2521" s="7" t="str">
        <f>_xlfn.XLOOKUP(C2521,Products!A2521:A3020,Products!C2521:C3020,"Category Missing",0)</f>
        <v>Category Missing</v>
      </c>
      <c r="I2521" s="11" t="str">
        <f>_xlfn.XLOOKUP(Orders!C2521,Products!A2521:A3020,Products!D2521:D3020,"Price Missing",0)</f>
        <v>Price Missing</v>
      </c>
      <c r="J2521" s="19">
        <f t="shared" si="39"/>
        <v>0</v>
      </c>
    </row>
    <row r="2522" spans="1:10" x14ac:dyDescent="0.35">
      <c r="A2522" s="4" t="s">
        <v>6542</v>
      </c>
      <c r="B2522" s="7" t="s">
        <v>1136</v>
      </c>
      <c r="C2522" s="7" t="s">
        <v>3948</v>
      </c>
      <c r="D2522" s="5">
        <v>3</v>
      </c>
      <c r="E2522" s="7" t="str">
        <f>_xlfn.XLOOKUP(B2522,Customers!A2522:A3521,Customers!B2522:B3521,"Customer Not Found",0)</f>
        <v>Customer Not Found</v>
      </c>
      <c r="F2522" s="7" t="str">
        <f>_xlfn.XLOOKUP(Orders!B2522,Customers!A2522:A3521,Customers!C2522:C3521,"Country not Found",0)</f>
        <v>Country not Found</v>
      </c>
      <c r="G2522" s="7" t="str">
        <f>_xlfn.XLOOKUP(C2522,Products!A2522:A3021,Products!B2522:B3021,"Product Missing",0)</f>
        <v>Product Missing</v>
      </c>
      <c r="H2522" s="7" t="str">
        <f>_xlfn.XLOOKUP(C2522,Products!A2522:A3021,Products!C2522:C3021,"Category Missing",0)</f>
        <v>Category Missing</v>
      </c>
      <c r="I2522" s="11" t="str">
        <f>_xlfn.XLOOKUP(Orders!C2522,Products!A2522:A3021,Products!D2522:D3021,"Price Missing",0)</f>
        <v>Price Missing</v>
      </c>
      <c r="J2522" s="19">
        <f t="shared" si="39"/>
        <v>0</v>
      </c>
    </row>
    <row r="2523" spans="1:10" x14ac:dyDescent="0.35">
      <c r="A2523" s="4" t="s">
        <v>6543</v>
      </c>
      <c r="B2523" s="7" t="s">
        <v>1394</v>
      </c>
      <c r="C2523" s="7" t="s">
        <v>3518</v>
      </c>
      <c r="D2523" s="5">
        <v>9</v>
      </c>
      <c r="E2523" s="7" t="str">
        <f>_xlfn.XLOOKUP(B2523,Customers!A2523:A3522,Customers!B2523:B3522,"Customer Not Found",0)</f>
        <v>Customer Not Found</v>
      </c>
      <c r="F2523" s="7" t="str">
        <f>_xlfn.XLOOKUP(Orders!B2523,Customers!A2523:A3522,Customers!C2523:C3522,"Country not Found",0)</f>
        <v>Country not Found</v>
      </c>
      <c r="G2523" s="7" t="str">
        <f>_xlfn.XLOOKUP(C2523,Products!A2523:A3022,Products!B2523:B3022,"Product Missing",0)</f>
        <v>Product Missing</v>
      </c>
      <c r="H2523" s="7" t="str">
        <f>_xlfn.XLOOKUP(C2523,Products!A2523:A3022,Products!C2523:C3022,"Category Missing",0)</f>
        <v>Category Missing</v>
      </c>
      <c r="I2523" s="11" t="str">
        <f>_xlfn.XLOOKUP(Orders!C2523,Products!A2523:A3022,Products!D2523:D3022,"Price Missing",0)</f>
        <v>Price Missing</v>
      </c>
      <c r="J2523" s="19">
        <f t="shared" si="39"/>
        <v>0</v>
      </c>
    </row>
    <row r="2524" spans="1:10" x14ac:dyDescent="0.35">
      <c r="A2524" s="4" t="s">
        <v>6544</v>
      </c>
      <c r="B2524" s="7" t="s">
        <v>476</v>
      </c>
      <c r="C2524" s="7" t="s">
        <v>3808</v>
      </c>
      <c r="D2524" s="5">
        <v>7</v>
      </c>
      <c r="E2524" s="7" t="str">
        <f>_xlfn.XLOOKUP(B2524,Customers!A2524:A3523,Customers!B2524:B3523,"Customer Not Found",0)</f>
        <v>Customer Not Found</v>
      </c>
      <c r="F2524" s="7" t="str">
        <f>_xlfn.XLOOKUP(Orders!B2524,Customers!A2524:A3523,Customers!C2524:C3523,"Country not Found",0)</f>
        <v>Country not Found</v>
      </c>
      <c r="G2524" s="7" t="str">
        <f>_xlfn.XLOOKUP(C2524,Products!A2524:A3023,Products!B2524:B3023,"Product Missing",0)</f>
        <v>Product Missing</v>
      </c>
      <c r="H2524" s="7" t="str">
        <f>_xlfn.XLOOKUP(C2524,Products!A2524:A3023,Products!C2524:C3023,"Category Missing",0)</f>
        <v>Category Missing</v>
      </c>
      <c r="I2524" s="11" t="str">
        <f>_xlfn.XLOOKUP(Orders!C2524,Products!A2524:A3023,Products!D2524:D3023,"Price Missing",0)</f>
        <v>Price Missing</v>
      </c>
      <c r="J2524" s="19">
        <f t="shared" si="39"/>
        <v>0</v>
      </c>
    </row>
    <row r="2525" spans="1:10" x14ac:dyDescent="0.35">
      <c r="A2525" s="4" t="s">
        <v>6545</v>
      </c>
      <c r="B2525" s="7" t="s">
        <v>1064</v>
      </c>
      <c r="C2525" s="7" t="s">
        <v>3112</v>
      </c>
      <c r="D2525" s="5">
        <v>5</v>
      </c>
      <c r="E2525" s="7" t="str">
        <f>_xlfn.XLOOKUP(B2525,Customers!A2525:A3524,Customers!B2525:B3524,"Customer Not Found",0)</f>
        <v>Customer Not Found</v>
      </c>
      <c r="F2525" s="7" t="str">
        <f>_xlfn.XLOOKUP(Orders!B2525,Customers!A2525:A3524,Customers!C2525:C3524,"Country not Found",0)</f>
        <v>Country not Found</v>
      </c>
      <c r="G2525" s="7" t="str">
        <f>_xlfn.XLOOKUP(C2525,Products!A2525:A3024,Products!B2525:B3024,"Product Missing",0)</f>
        <v>Product Missing</v>
      </c>
      <c r="H2525" s="7" t="str">
        <f>_xlfn.XLOOKUP(C2525,Products!A2525:A3024,Products!C2525:C3024,"Category Missing",0)</f>
        <v>Category Missing</v>
      </c>
      <c r="I2525" s="11" t="str">
        <f>_xlfn.XLOOKUP(Orders!C2525,Products!A2525:A3024,Products!D2525:D3024,"Price Missing",0)</f>
        <v>Price Missing</v>
      </c>
      <c r="J2525" s="19">
        <f t="shared" si="39"/>
        <v>0</v>
      </c>
    </row>
    <row r="2526" spans="1:10" x14ac:dyDescent="0.35">
      <c r="A2526" s="4" t="s">
        <v>6546</v>
      </c>
      <c r="B2526" s="7" t="s">
        <v>713</v>
      </c>
      <c r="C2526" s="7" t="s">
        <v>3844</v>
      </c>
      <c r="D2526" s="5">
        <v>5</v>
      </c>
      <c r="E2526" s="7" t="str">
        <f>_xlfn.XLOOKUP(B2526,Customers!A2526:A3525,Customers!B2526:B3525,"Customer Not Found",0)</f>
        <v>Customer Not Found</v>
      </c>
      <c r="F2526" s="7" t="str">
        <f>_xlfn.XLOOKUP(Orders!B2526,Customers!A2526:A3525,Customers!C2526:C3525,"Country not Found",0)</f>
        <v>Country not Found</v>
      </c>
      <c r="G2526" s="7" t="str">
        <f>_xlfn.XLOOKUP(C2526,Products!A2526:A3025,Products!B2526:B3025,"Product Missing",0)</f>
        <v>Product Missing</v>
      </c>
      <c r="H2526" s="7" t="str">
        <f>_xlfn.XLOOKUP(C2526,Products!A2526:A3025,Products!C2526:C3025,"Category Missing",0)</f>
        <v>Category Missing</v>
      </c>
      <c r="I2526" s="11" t="str">
        <f>_xlfn.XLOOKUP(Orders!C2526,Products!A2526:A3025,Products!D2526:D3025,"Price Missing",0)</f>
        <v>Price Missing</v>
      </c>
      <c r="J2526" s="19">
        <f t="shared" si="39"/>
        <v>0</v>
      </c>
    </row>
    <row r="2527" spans="1:10" x14ac:dyDescent="0.35">
      <c r="A2527" s="4" t="s">
        <v>6547</v>
      </c>
      <c r="B2527" s="7" t="s">
        <v>998</v>
      </c>
      <c r="C2527" s="7" t="s">
        <v>3430</v>
      </c>
      <c r="D2527" s="5">
        <v>10</v>
      </c>
      <c r="E2527" s="7" t="str">
        <f>_xlfn.XLOOKUP(B2527,Customers!A2527:A3526,Customers!B2527:B3526,"Customer Not Found",0)</f>
        <v>Customer Not Found</v>
      </c>
      <c r="F2527" s="7" t="str">
        <f>_xlfn.XLOOKUP(Orders!B2527,Customers!A2527:A3526,Customers!C2527:C3526,"Country not Found",0)</f>
        <v>Country not Found</v>
      </c>
      <c r="G2527" s="7" t="str">
        <f>_xlfn.XLOOKUP(C2527,Products!A2527:A3026,Products!B2527:B3026,"Product Missing",0)</f>
        <v>Product Missing</v>
      </c>
      <c r="H2527" s="7" t="str">
        <f>_xlfn.XLOOKUP(C2527,Products!A2527:A3026,Products!C2527:C3026,"Category Missing",0)</f>
        <v>Category Missing</v>
      </c>
      <c r="I2527" s="11" t="str">
        <f>_xlfn.XLOOKUP(Orders!C2527,Products!A2527:A3026,Products!D2527:D3026,"Price Missing",0)</f>
        <v>Price Missing</v>
      </c>
      <c r="J2527" s="19">
        <f t="shared" si="39"/>
        <v>0</v>
      </c>
    </row>
    <row r="2528" spans="1:10" x14ac:dyDescent="0.35">
      <c r="A2528" s="4" t="s">
        <v>6548</v>
      </c>
      <c r="B2528" s="7" t="s">
        <v>1514</v>
      </c>
      <c r="C2528" s="7" t="s">
        <v>3944</v>
      </c>
      <c r="D2528" s="5">
        <v>9</v>
      </c>
      <c r="E2528" s="7" t="str">
        <f>_xlfn.XLOOKUP(B2528,Customers!A2528:A3527,Customers!B2528:B3527,"Customer Not Found",0)</f>
        <v>Customer Not Found</v>
      </c>
      <c r="F2528" s="7" t="str">
        <f>_xlfn.XLOOKUP(Orders!B2528,Customers!A2528:A3527,Customers!C2528:C3527,"Country not Found",0)</f>
        <v>Country not Found</v>
      </c>
      <c r="G2528" s="7" t="str">
        <f>_xlfn.XLOOKUP(C2528,Products!A2528:A3027,Products!B2528:B3027,"Product Missing",0)</f>
        <v>Product Missing</v>
      </c>
      <c r="H2528" s="7" t="str">
        <f>_xlfn.XLOOKUP(C2528,Products!A2528:A3027,Products!C2528:C3027,"Category Missing",0)</f>
        <v>Category Missing</v>
      </c>
      <c r="I2528" s="11" t="str">
        <f>_xlfn.XLOOKUP(Orders!C2528,Products!A2528:A3027,Products!D2528:D3027,"Price Missing",0)</f>
        <v>Price Missing</v>
      </c>
      <c r="J2528" s="19">
        <f t="shared" si="39"/>
        <v>0</v>
      </c>
    </row>
    <row r="2529" spans="1:10" x14ac:dyDescent="0.35">
      <c r="A2529" s="4" t="s">
        <v>6549</v>
      </c>
      <c r="B2529" s="7" t="s">
        <v>2360</v>
      </c>
      <c r="C2529" s="7" t="s">
        <v>3320</v>
      </c>
      <c r="D2529" s="5">
        <v>8</v>
      </c>
      <c r="E2529" s="7" t="str">
        <f>_xlfn.XLOOKUP(B2529,Customers!A2529:A3528,Customers!B2529:B3528,"Customer Not Found",0)</f>
        <v>Customer Not Found</v>
      </c>
      <c r="F2529" s="7" t="str">
        <f>_xlfn.XLOOKUP(Orders!B2529,Customers!A2529:A3528,Customers!C2529:C3528,"Country not Found",0)</f>
        <v>Country not Found</v>
      </c>
      <c r="G2529" s="7" t="str">
        <f>_xlfn.XLOOKUP(C2529,Products!A2529:A3028,Products!B2529:B3028,"Product Missing",0)</f>
        <v>Product Missing</v>
      </c>
      <c r="H2529" s="7" t="str">
        <f>_xlfn.XLOOKUP(C2529,Products!A2529:A3028,Products!C2529:C3028,"Category Missing",0)</f>
        <v>Category Missing</v>
      </c>
      <c r="I2529" s="11" t="str">
        <f>_xlfn.XLOOKUP(Orders!C2529,Products!A2529:A3028,Products!D2529:D3028,"Price Missing",0)</f>
        <v>Price Missing</v>
      </c>
      <c r="J2529" s="19">
        <f t="shared" si="39"/>
        <v>0</v>
      </c>
    </row>
    <row r="2530" spans="1:10" x14ac:dyDescent="0.35">
      <c r="A2530" s="4" t="s">
        <v>6550</v>
      </c>
      <c r="B2530" s="7" t="s">
        <v>2183</v>
      </c>
      <c r="C2530" s="7" t="s">
        <v>3132</v>
      </c>
      <c r="D2530" s="5">
        <v>5</v>
      </c>
      <c r="E2530" s="7" t="str">
        <f>_xlfn.XLOOKUP(B2530,Customers!A2530:A3529,Customers!B2530:B3529,"Customer Not Found",0)</f>
        <v>Customer Not Found</v>
      </c>
      <c r="F2530" s="7" t="str">
        <f>_xlfn.XLOOKUP(Orders!B2530,Customers!A2530:A3529,Customers!C2530:C3529,"Country not Found",0)</f>
        <v>Country not Found</v>
      </c>
      <c r="G2530" s="7" t="str">
        <f>_xlfn.XLOOKUP(C2530,Products!A2530:A3029,Products!B2530:B3029,"Product Missing",0)</f>
        <v>Product Missing</v>
      </c>
      <c r="H2530" s="7" t="str">
        <f>_xlfn.XLOOKUP(C2530,Products!A2530:A3029,Products!C2530:C3029,"Category Missing",0)</f>
        <v>Category Missing</v>
      </c>
      <c r="I2530" s="11" t="str">
        <f>_xlfn.XLOOKUP(Orders!C2530,Products!A2530:A3029,Products!D2530:D3029,"Price Missing",0)</f>
        <v>Price Missing</v>
      </c>
      <c r="J2530" s="19">
        <f t="shared" si="39"/>
        <v>0</v>
      </c>
    </row>
    <row r="2531" spans="1:10" x14ac:dyDescent="0.35">
      <c r="A2531" s="4" t="s">
        <v>6551</v>
      </c>
      <c r="B2531" s="7" t="s">
        <v>2942</v>
      </c>
      <c r="C2531" s="7" t="s">
        <v>3504</v>
      </c>
      <c r="D2531" s="5">
        <v>10</v>
      </c>
      <c r="E2531" s="7" t="str">
        <f>_xlfn.XLOOKUP(B2531,Customers!A2531:A3530,Customers!B2531:B3530,"Customer Not Found",0)</f>
        <v>Customer Not Found</v>
      </c>
      <c r="F2531" s="7" t="str">
        <f>_xlfn.XLOOKUP(Orders!B2531,Customers!A2531:A3530,Customers!C2531:C3530,"Country not Found",0)</f>
        <v>Country not Found</v>
      </c>
      <c r="G2531" s="7" t="str">
        <f>_xlfn.XLOOKUP(C2531,Products!A2531:A3030,Products!B2531:B3030,"Product Missing",0)</f>
        <v>Product Missing</v>
      </c>
      <c r="H2531" s="7" t="str">
        <f>_xlfn.XLOOKUP(C2531,Products!A2531:A3030,Products!C2531:C3030,"Category Missing",0)</f>
        <v>Category Missing</v>
      </c>
      <c r="I2531" s="11" t="str">
        <f>_xlfn.XLOOKUP(Orders!C2531,Products!A2531:A3030,Products!D2531:D3030,"Price Missing",0)</f>
        <v>Price Missing</v>
      </c>
      <c r="J2531" s="19">
        <f t="shared" si="39"/>
        <v>0</v>
      </c>
    </row>
    <row r="2532" spans="1:10" x14ac:dyDescent="0.35">
      <c r="A2532" s="4" t="s">
        <v>6552</v>
      </c>
      <c r="B2532" s="7" t="s">
        <v>1163</v>
      </c>
      <c r="C2532" s="7" t="s">
        <v>3798</v>
      </c>
      <c r="D2532" s="5">
        <v>10</v>
      </c>
      <c r="E2532" s="7" t="str">
        <f>_xlfn.XLOOKUP(B2532,Customers!A2532:A3531,Customers!B2532:B3531,"Customer Not Found",0)</f>
        <v>Customer Not Found</v>
      </c>
      <c r="F2532" s="7" t="str">
        <f>_xlfn.XLOOKUP(Orders!B2532,Customers!A2532:A3531,Customers!C2532:C3531,"Country not Found",0)</f>
        <v>Country not Found</v>
      </c>
      <c r="G2532" s="7" t="str">
        <f>_xlfn.XLOOKUP(C2532,Products!A2532:A3031,Products!B2532:B3031,"Product Missing",0)</f>
        <v>Product Missing</v>
      </c>
      <c r="H2532" s="7" t="str">
        <f>_xlfn.XLOOKUP(C2532,Products!A2532:A3031,Products!C2532:C3031,"Category Missing",0)</f>
        <v>Category Missing</v>
      </c>
      <c r="I2532" s="11" t="str">
        <f>_xlfn.XLOOKUP(Orders!C2532,Products!A2532:A3031,Products!D2532:D3031,"Price Missing",0)</f>
        <v>Price Missing</v>
      </c>
      <c r="J2532" s="19">
        <f t="shared" si="39"/>
        <v>0</v>
      </c>
    </row>
    <row r="2533" spans="1:10" x14ac:dyDescent="0.35">
      <c r="A2533" s="4" t="s">
        <v>6553</v>
      </c>
      <c r="B2533" s="7" t="s">
        <v>1451</v>
      </c>
      <c r="C2533" s="7" t="s">
        <v>3776</v>
      </c>
      <c r="D2533" s="5">
        <v>8</v>
      </c>
      <c r="E2533" s="7" t="str">
        <f>_xlfn.XLOOKUP(B2533,Customers!A2533:A3532,Customers!B2533:B3532,"Customer Not Found",0)</f>
        <v>Customer Not Found</v>
      </c>
      <c r="F2533" s="7" t="str">
        <f>_xlfn.XLOOKUP(Orders!B2533,Customers!A2533:A3532,Customers!C2533:C3532,"Country not Found",0)</f>
        <v>Country not Found</v>
      </c>
      <c r="G2533" s="7" t="str">
        <f>_xlfn.XLOOKUP(C2533,Products!A2533:A3032,Products!B2533:B3032,"Product Missing",0)</f>
        <v>Product Missing</v>
      </c>
      <c r="H2533" s="7" t="str">
        <f>_xlfn.XLOOKUP(C2533,Products!A2533:A3032,Products!C2533:C3032,"Category Missing",0)</f>
        <v>Category Missing</v>
      </c>
      <c r="I2533" s="11" t="str">
        <f>_xlfn.XLOOKUP(Orders!C2533,Products!A2533:A3032,Products!D2533:D3032,"Price Missing",0)</f>
        <v>Price Missing</v>
      </c>
      <c r="J2533" s="19">
        <f t="shared" si="39"/>
        <v>0</v>
      </c>
    </row>
    <row r="2534" spans="1:10" x14ac:dyDescent="0.35">
      <c r="A2534" s="4" t="s">
        <v>6554</v>
      </c>
      <c r="B2534" s="7" t="s">
        <v>2057</v>
      </c>
      <c r="C2534" s="7" t="s">
        <v>3904</v>
      </c>
      <c r="D2534" s="5">
        <v>6</v>
      </c>
      <c r="E2534" s="7" t="str">
        <f>_xlfn.XLOOKUP(B2534,Customers!A2534:A3533,Customers!B2534:B3533,"Customer Not Found",0)</f>
        <v>Customer Not Found</v>
      </c>
      <c r="F2534" s="7" t="str">
        <f>_xlfn.XLOOKUP(Orders!B2534,Customers!A2534:A3533,Customers!C2534:C3533,"Country not Found",0)</f>
        <v>Country not Found</v>
      </c>
      <c r="G2534" s="7" t="str">
        <f>_xlfn.XLOOKUP(C2534,Products!A2534:A3033,Products!B2534:B3033,"Product Missing",0)</f>
        <v>Product Missing</v>
      </c>
      <c r="H2534" s="7" t="str">
        <f>_xlfn.XLOOKUP(C2534,Products!A2534:A3033,Products!C2534:C3033,"Category Missing",0)</f>
        <v>Category Missing</v>
      </c>
      <c r="I2534" s="11" t="str">
        <f>_xlfn.XLOOKUP(Orders!C2534,Products!A2534:A3033,Products!D2534:D3033,"Price Missing",0)</f>
        <v>Price Missing</v>
      </c>
      <c r="J2534" s="19">
        <f t="shared" si="39"/>
        <v>0</v>
      </c>
    </row>
    <row r="2535" spans="1:10" x14ac:dyDescent="0.35">
      <c r="A2535" s="4" t="s">
        <v>6555</v>
      </c>
      <c r="B2535" s="7" t="s">
        <v>2144</v>
      </c>
      <c r="C2535" s="7" t="s">
        <v>3112</v>
      </c>
      <c r="D2535" s="5">
        <v>9</v>
      </c>
      <c r="E2535" s="7" t="str">
        <f>_xlfn.XLOOKUP(B2535,Customers!A2535:A3534,Customers!B2535:B3534,"Customer Not Found",0)</f>
        <v>Customer Not Found</v>
      </c>
      <c r="F2535" s="7" t="str">
        <f>_xlfn.XLOOKUP(Orders!B2535,Customers!A2535:A3534,Customers!C2535:C3534,"Country not Found",0)</f>
        <v>Country not Found</v>
      </c>
      <c r="G2535" s="7" t="str">
        <f>_xlfn.XLOOKUP(C2535,Products!A2535:A3034,Products!B2535:B3034,"Product Missing",0)</f>
        <v>Product Missing</v>
      </c>
      <c r="H2535" s="7" t="str">
        <f>_xlfn.XLOOKUP(C2535,Products!A2535:A3034,Products!C2535:C3034,"Category Missing",0)</f>
        <v>Category Missing</v>
      </c>
      <c r="I2535" s="11" t="str">
        <f>_xlfn.XLOOKUP(Orders!C2535,Products!A2535:A3034,Products!D2535:D3034,"Price Missing",0)</f>
        <v>Price Missing</v>
      </c>
      <c r="J2535" s="19">
        <f t="shared" si="39"/>
        <v>0</v>
      </c>
    </row>
    <row r="2536" spans="1:10" x14ac:dyDescent="0.35">
      <c r="A2536" s="4" t="s">
        <v>6556</v>
      </c>
      <c r="B2536" s="7" t="s">
        <v>2543</v>
      </c>
      <c r="C2536" s="7" t="s">
        <v>3736</v>
      </c>
      <c r="D2536" s="5">
        <v>10</v>
      </c>
      <c r="E2536" s="7" t="str">
        <f>_xlfn.XLOOKUP(B2536,Customers!A2536:A3535,Customers!B2536:B3535,"Customer Not Found",0)</f>
        <v>Customer Not Found</v>
      </c>
      <c r="F2536" s="7" t="str">
        <f>_xlfn.XLOOKUP(Orders!B2536,Customers!A2536:A3535,Customers!C2536:C3535,"Country not Found",0)</f>
        <v>Country not Found</v>
      </c>
      <c r="G2536" s="7" t="str">
        <f>_xlfn.XLOOKUP(C2536,Products!A2536:A3035,Products!B2536:B3035,"Product Missing",0)</f>
        <v>Product Missing</v>
      </c>
      <c r="H2536" s="7" t="str">
        <f>_xlfn.XLOOKUP(C2536,Products!A2536:A3035,Products!C2536:C3035,"Category Missing",0)</f>
        <v>Category Missing</v>
      </c>
      <c r="I2536" s="11" t="str">
        <f>_xlfn.XLOOKUP(Orders!C2536,Products!A2536:A3035,Products!D2536:D3035,"Price Missing",0)</f>
        <v>Price Missing</v>
      </c>
      <c r="J2536" s="19">
        <f t="shared" si="39"/>
        <v>0</v>
      </c>
    </row>
    <row r="2537" spans="1:10" x14ac:dyDescent="0.35">
      <c r="A2537" s="4" t="s">
        <v>6557</v>
      </c>
      <c r="B2537" s="7" t="s">
        <v>704</v>
      </c>
      <c r="C2537" s="7" t="s">
        <v>3998</v>
      </c>
      <c r="D2537" s="5">
        <v>1</v>
      </c>
      <c r="E2537" s="7" t="str">
        <f>_xlfn.XLOOKUP(B2537,Customers!A2537:A3536,Customers!B2537:B3536,"Customer Not Found",0)</f>
        <v>Customer Not Found</v>
      </c>
      <c r="F2537" s="7" t="str">
        <f>_xlfn.XLOOKUP(Orders!B2537,Customers!A2537:A3536,Customers!C2537:C3536,"Country not Found",0)</f>
        <v>Country not Found</v>
      </c>
      <c r="G2537" s="7" t="str">
        <f>_xlfn.XLOOKUP(C2537,Products!A2537:A3036,Products!B2537:B3036,"Product Missing",0)</f>
        <v>Product Missing</v>
      </c>
      <c r="H2537" s="7" t="str">
        <f>_xlfn.XLOOKUP(C2537,Products!A2537:A3036,Products!C2537:C3036,"Category Missing",0)</f>
        <v>Category Missing</v>
      </c>
      <c r="I2537" s="11" t="str">
        <f>_xlfn.XLOOKUP(Orders!C2537,Products!A2537:A3036,Products!D2537:D3036,"Price Missing",0)</f>
        <v>Price Missing</v>
      </c>
      <c r="J2537" s="19">
        <f t="shared" si="39"/>
        <v>0</v>
      </c>
    </row>
    <row r="2538" spans="1:10" x14ac:dyDescent="0.35">
      <c r="A2538" s="4" t="s">
        <v>6558</v>
      </c>
      <c r="B2538" s="7" t="s">
        <v>653</v>
      </c>
      <c r="C2538" s="7" t="s">
        <v>3552</v>
      </c>
      <c r="D2538" s="5">
        <v>5</v>
      </c>
      <c r="E2538" s="7" t="str">
        <f>_xlfn.XLOOKUP(B2538,Customers!A2538:A3537,Customers!B2538:B3537,"Customer Not Found",0)</f>
        <v>Customer Not Found</v>
      </c>
      <c r="F2538" s="7" t="str">
        <f>_xlfn.XLOOKUP(Orders!B2538,Customers!A2538:A3537,Customers!C2538:C3537,"Country not Found",0)</f>
        <v>Country not Found</v>
      </c>
      <c r="G2538" s="7" t="str">
        <f>_xlfn.XLOOKUP(C2538,Products!A2538:A3037,Products!B2538:B3037,"Product Missing",0)</f>
        <v>Product Missing</v>
      </c>
      <c r="H2538" s="7" t="str">
        <f>_xlfn.XLOOKUP(C2538,Products!A2538:A3037,Products!C2538:C3037,"Category Missing",0)</f>
        <v>Category Missing</v>
      </c>
      <c r="I2538" s="11" t="str">
        <f>_xlfn.XLOOKUP(Orders!C2538,Products!A2538:A3037,Products!D2538:D3037,"Price Missing",0)</f>
        <v>Price Missing</v>
      </c>
      <c r="J2538" s="19">
        <f t="shared" si="39"/>
        <v>0</v>
      </c>
    </row>
    <row r="2539" spans="1:10" x14ac:dyDescent="0.35">
      <c r="A2539" s="4" t="s">
        <v>6559</v>
      </c>
      <c r="B2539" s="7" t="s">
        <v>1271</v>
      </c>
      <c r="C2539" s="7" t="s">
        <v>3270</v>
      </c>
      <c r="D2539" s="5">
        <v>1</v>
      </c>
      <c r="E2539" s="7" t="str">
        <f>_xlfn.XLOOKUP(B2539,Customers!A2539:A3538,Customers!B2539:B3538,"Customer Not Found",0)</f>
        <v>Customer Not Found</v>
      </c>
      <c r="F2539" s="7" t="str">
        <f>_xlfn.XLOOKUP(Orders!B2539,Customers!A2539:A3538,Customers!C2539:C3538,"Country not Found",0)</f>
        <v>Country not Found</v>
      </c>
      <c r="G2539" s="7" t="str">
        <f>_xlfn.XLOOKUP(C2539,Products!A2539:A3038,Products!B2539:B3038,"Product Missing",0)</f>
        <v>Product Missing</v>
      </c>
      <c r="H2539" s="7" t="str">
        <f>_xlfn.XLOOKUP(C2539,Products!A2539:A3038,Products!C2539:C3038,"Category Missing",0)</f>
        <v>Category Missing</v>
      </c>
      <c r="I2539" s="11" t="str">
        <f>_xlfn.XLOOKUP(Orders!C2539,Products!A2539:A3038,Products!D2539:D3038,"Price Missing",0)</f>
        <v>Price Missing</v>
      </c>
      <c r="J2539" s="19">
        <f t="shared" si="39"/>
        <v>0</v>
      </c>
    </row>
    <row r="2540" spans="1:10" x14ac:dyDescent="0.35">
      <c r="A2540" s="4" t="s">
        <v>6560</v>
      </c>
      <c r="B2540" s="7" t="s">
        <v>2249</v>
      </c>
      <c r="C2540" s="7" t="s">
        <v>3642</v>
      </c>
      <c r="D2540" s="5">
        <v>5</v>
      </c>
      <c r="E2540" s="7" t="str">
        <f>_xlfn.XLOOKUP(B2540,Customers!A2540:A3539,Customers!B2540:B3539,"Customer Not Found",0)</f>
        <v>Customer Not Found</v>
      </c>
      <c r="F2540" s="7" t="str">
        <f>_xlfn.XLOOKUP(Orders!B2540,Customers!A2540:A3539,Customers!C2540:C3539,"Country not Found",0)</f>
        <v>Country not Found</v>
      </c>
      <c r="G2540" s="7" t="str">
        <f>_xlfn.XLOOKUP(C2540,Products!A2540:A3039,Products!B2540:B3039,"Product Missing",0)</f>
        <v>Product Missing</v>
      </c>
      <c r="H2540" s="7" t="str">
        <f>_xlfn.XLOOKUP(C2540,Products!A2540:A3039,Products!C2540:C3039,"Category Missing",0)</f>
        <v>Category Missing</v>
      </c>
      <c r="I2540" s="11" t="str">
        <f>_xlfn.XLOOKUP(Orders!C2540,Products!A2540:A3039,Products!D2540:D3039,"Price Missing",0)</f>
        <v>Price Missing</v>
      </c>
      <c r="J2540" s="19">
        <f t="shared" si="39"/>
        <v>0</v>
      </c>
    </row>
    <row r="2541" spans="1:10" x14ac:dyDescent="0.35">
      <c r="A2541" s="4" t="s">
        <v>6561</v>
      </c>
      <c r="B2541" s="7" t="s">
        <v>2282</v>
      </c>
      <c r="C2541" s="7" t="s">
        <v>3954</v>
      </c>
      <c r="D2541" s="5">
        <v>3</v>
      </c>
      <c r="E2541" s="7" t="str">
        <f>_xlfn.XLOOKUP(B2541,Customers!A2541:A3540,Customers!B2541:B3540,"Customer Not Found",0)</f>
        <v>Customer Not Found</v>
      </c>
      <c r="F2541" s="7" t="str">
        <f>_xlfn.XLOOKUP(Orders!B2541,Customers!A2541:A3540,Customers!C2541:C3540,"Country not Found",0)</f>
        <v>Country not Found</v>
      </c>
      <c r="G2541" s="7" t="str">
        <f>_xlfn.XLOOKUP(C2541,Products!A2541:A3040,Products!B2541:B3040,"Product Missing",0)</f>
        <v>Product Missing</v>
      </c>
      <c r="H2541" s="7" t="str">
        <f>_xlfn.XLOOKUP(C2541,Products!A2541:A3040,Products!C2541:C3040,"Category Missing",0)</f>
        <v>Category Missing</v>
      </c>
      <c r="I2541" s="11" t="str">
        <f>_xlfn.XLOOKUP(Orders!C2541,Products!A2541:A3040,Products!D2541:D3040,"Price Missing",0)</f>
        <v>Price Missing</v>
      </c>
      <c r="J2541" s="19">
        <f t="shared" si="39"/>
        <v>0</v>
      </c>
    </row>
    <row r="2542" spans="1:10" x14ac:dyDescent="0.35">
      <c r="A2542" s="4" t="s">
        <v>6562</v>
      </c>
      <c r="B2542" s="7" t="s">
        <v>1184</v>
      </c>
      <c r="C2542" s="7" t="s">
        <v>3340</v>
      </c>
      <c r="D2542" s="5">
        <v>10</v>
      </c>
      <c r="E2542" s="7" t="str">
        <f>_xlfn.XLOOKUP(B2542,Customers!A2542:A3541,Customers!B2542:B3541,"Customer Not Found",0)</f>
        <v>Customer Not Found</v>
      </c>
      <c r="F2542" s="7" t="str">
        <f>_xlfn.XLOOKUP(Orders!B2542,Customers!A2542:A3541,Customers!C2542:C3541,"Country not Found",0)</f>
        <v>Country not Found</v>
      </c>
      <c r="G2542" s="7" t="str">
        <f>_xlfn.XLOOKUP(C2542,Products!A2542:A3041,Products!B2542:B3041,"Product Missing",0)</f>
        <v>Product Missing</v>
      </c>
      <c r="H2542" s="7" t="str">
        <f>_xlfn.XLOOKUP(C2542,Products!A2542:A3041,Products!C2542:C3041,"Category Missing",0)</f>
        <v>Category Missing</v>
      </c>
      <c r="I2542" s="11" t="str">
        <f>_xlfn.XLOOKUP(Orders!C2542,Products!A2542:A3041,Products!D2542:D3041,"Price Missing",0)</f>
        <v>Price Missing</v>
      </c>
      <c r="J2542" s="19">
        <f t="shared" si="39"/>
        <v>0</v>
      </c>
    </row>
    <row r="2543" spans="1:10" x14ac:dyDescent="0.35">
      <c r="A2543" s="4" t="s">
        <v>6563</v>
      </c>
      <c r="B2543" s="7" t="s">
        <v>2156</v>
      </c>
      <c r="C2543" s="7" t="s">
        <v>3716</v>
      </c>
      <c r="D2543" s="5">
        <v>4</v>
      </c>
      <c r="E2543" s="7" t="str">
        <f>_xlfn.XLOOKUP(B2543,Customers!A2543:A3542,Customers!B2543:B3542,"Customer Not Found",0)</f>
        <v>Customer Not Found</v>
      </c>
      <c r="F2543" s="7" t="str">
        <f>_xlfn.XLOOKUP(Orders!B2543,Customers!A2543:A3542,Customers!C2543:C3542,"Country not Found",0)</f>
        <v>Country not Found</v>
      </c>
      <c r="G2543" s="7" t="str">
        <f>_xlfn.XLOOKUP(C2543,Products!A2543:A3042,Products!B2543:B3042,"Product Missing",0)</f>
        <v>Product Missing</v>
      </c>
      <c r="H2543" s="7" t="str">
        <f>_xlfn.XLOOKUP(C2543,Products!A2543:A3042,Products!C2543:C3042,"Category Missing",0)</f>
        <v>Category Missing</v>
      </c>
      <c r="I2543" s="11" t="str">
        <f>_xlfn.XLOOKUP(Orders!C2543,Products!A2543:A3042,Products!D2543:D3042,"Price Missing",0)</f>
        <v>Price Missing</v>
      </c>
      <c r="J2543" s="19">
        <f t="shared" si="39"/>
        <v>0</v>
      </c>
    </row>
    <row r="2544" spans="1:10" x14ac:dyDescent="0.35">
      <c r="A2544" s="4" t="s">
        <v>6564</v>
      </c>
      <c r="B2544" s="7" t="s">
        <v>248</v>
      </c>
      <c r="C2544" s="7" t="s">
        <v>3752</v>
      </c>
      <c r="D2544" s="5">
        <v>7</v>
      </c>
      <c r="E2544" s="7" t="str">
        <f>_xlfn.XLOOKUP(B2544,Customers!A2544:A3543,Customers!B2544:B3543,"Customer Not Found",0)</f>
        <v>Customer Not Found</v>
      </c>
      <c r="F2544" s="7" t="str">
        <f>_xlfn.XLOOKUP(Orders!B2544,Customers!A2544:A3543,Customers!C2544:C3543,"Country not Found",0)</f>
        <v>Country not Found</v>
      </c>
      <c r="G2544" s="7" t="str">
        <f>_xlfn.XLOOKUP(C2544,Products!A2544:A3043,Products!B2544:B3043,"Product Missing",0)</f>
        <v>Product Missing</v>
      </c>
      <c r="H2544" s="7" t="str">
        <f>_xlfn.XLOOKUP(C2544,Products!A2544:A3043,Products!C2544:C3043,"Category Missing",0)</f>
        <v>Category Missing</v>
      </c>
      <c r="I2544" s="11" t="str">
        <f>_xlfn.XLOOKUP(Orders!C2544,Products!A2544:A3043,Products!D2544:D3043,"Price Missing",0)</f>
        <v>Price Missing</v>
      </c>
      <c r="J2544" s="19">
        <f t="shared" si="39"/>
        <v>0</v>
      </c>
    </row>
    <row r="2545" spans="1:10" x14ac:dyDescent="0.35">
      <c r="A2545" s="4" t="s">
        <v>6565</v>
      </c>
      <c r="B2545" s="7" t="s">
        <v>635</v>
      </c>
      <c r="C2545" s="7" t="s">
        <v>3068</v>
      </c>
      <c r="D2545" s="5">
        <v>6</v>
      </c>
      <c r="E2545" s="7" t="str">
        <f>_xlfn.XLOOKUP(B2545,Customers!A2545:A3544,Customers!B2545:B3544,"Customer Not Found",0)</f>
        <v>Customer Not Found</v>
      </c>
      <c r="F2545" s="7" t="str">
        <f>_xlfn.XLOOKUP(Orders!B2545,Customers!A2545:A3544,Customers!C2545:C3544,"Country not Found",0)</f>
        <v>Country not Found</v>
      </c>
      <c r="G2545" s="7" t="str">
        <f>_xlfn.XLOOKUP(C2545,Products!A2545:A3044,Products!B2545:B3044,"Product Missing",0)</f>
        <v>Product Missing</v>
      </c>
      <c r="H2545" s="7" t="str">
        <f>_xlfn.XLOOKUP(C2545,Products!A2545:A3044,Products!C2545:C3044,"Category Missing",0)</f>
        <v>Category Missing</v>
      </c>
      <c r="I2545" s="11" t="str">
        <f>_xlfn.XLOOKUP(Orders!C2545,Products!A2545:A3044,Products!D2545:D3044,"Price Missing",0)</f>
        <v>Price Missing</v>
      </c>
      <c r="J2545" s="19">
        <f t="shared" si="39"/>
        <v>0</v>
      </c>
    </row>
    <row r="2546" spans="1:10" x14ac:dyDescent="0.35">
      <c r="A2546" s="4" t="s">
        <v>6566</v>
      </c>
      <c r="B2546" s="7" t="s">
        <v>8</v>
      </c>
      <c r="C2546" s="7" t="s">
        <v>3668</v>
      </c>
      <c r="D2546" s="5">
        <v>8</v>
      </c>
      <c r="E2546" s="7" t="str">
        <f>_xlfn.XLOOKUP(B2546,Customers!A2546:A3545,Customers!B2546:B3545,"Customer Not Found",0)</f>
        <v>Customer Not Found</v>
      </c>
      <c r="F2546" s="7" t="str">
        <f>_xlfn.XLOOKUP(Orders!B2546,Customers!A2546:A3545,Customers!C2546:C3545,"Country not Found",0)</f>
        <v>Country not Found</v>
      </c>
      <c r="G2546" s="7" t="str">
        <f>_xlfn.XLOOKUP(C2546,Products!A2546:A3045,Products!B2546:B3045,"Product Missing",0)</f>
        <v>Product Missing</v>
      </c>
      <c r="H2546" s="7" t="str">
        <f>_xlfn.XLOOKUP(C2546,Products!A2546:A3045,Products!C2546:C3045,"Category Missing",0)</f>
        <v>Category Missing</v>
      </c>
      <c r="I2546" s="11" t="str">
        <f>_xlfn.XLOOKUP(Orders!C2546,Products!A2546:A3045,Products!D2546:D3045,"Price Missing",0)</f>
        <v>Price Missing</v>
      </c>
      <c r="J2546" s="19">
        <f t="shared" si="39"/>
        <v>0</v>
      </c>
    </row>
    <row r="2547" spans="1:10" x14ac:dyDescent="0.35">
      <c r="A2547" s="4" t="s">
        <v>6567</v>
      </c>
      <c r="B2547" s="7" t="s">
        <v>215</v>
      </c>
      <c r="C2547" s="7" t="s">
        <v>3718</v>
      </c>
      <c r="D2547" s="5">
        <v>8</v>
      </c>
      <c r="E2547" s="7" t="str">
        <f>_xlfn.XLOOKUP(B2547,Customers!A2547:A3546,Customers!B2547:B3546,"Customer Not Found",0)</f>
        <v>Customer Not Found</v>
      </c>
      <c r="F2547" s="7" t="str">
        <f>_xlfn.XLOOKUP(Orders!B2547,Customers!A2547:A3546,Customers!C2547:C3546,"Country not Found",0)</f>
        <v>Country not Found</v>
      </c>
      <c r="G2547" s="7" t="str">
        <f>_xlfn.XLOOKUP(C2547,Products!A2547:A3046,Products!B2547:B3046,"Product Missing",0)</f>
        <v>Product Missing</v>
      </c>
      <c r="H2547" s="7" t="str">
        <f>_xlfn.XLOOKUP(C2547,Products!A2547:A3046,Products!C2547:C3046,"Category Missing",0)</f>
        <v>Category Missing</v>
      </c>
      <c r="I2547" s="11" t="str">
        <f>_xlfn.XLOOKUP(Orders!C2547,Products!A2547:A3046,Products!D2547:D3046,"Price Missing",0)</f>
        <v>Price Missing</v>
      </c>
      <c r="J2547" s="19">
        <f t="shared" si="39"/>
        <v>0</v>
      </c>
    </row>
    <row r="2548" spans="1:10" x14ac:dyDescent="0.35">
      <c r="A2548" s="4" t="s">
        <v>6568</v>
      </c>
      <c r="B2548" s="7" t="s">
        <v>938</v>
      </c>
      <c r="C2548" s="7" t="s">
        <v>3238</v>
      </c>
      <c r="D2548" s="5">
        <v>4</v>
      </c>
      <c r="E2548" s="7" t="str">
        <f>_xlfn.XLOOKUP(B2548,Customers!A2548:A3547,Customers!B2548:B3547,"Customer Not Found",0)</f>
        <v>Customer Not Found</v>
      </c>
      <c r="F2548" s="7" t="str">
        <f>_xlfn.XLOOKUP(Orders!B2548,Customers!A2548:A3547,Customers!C2548:C3547,"Country not Found",0)</f>
        <v>Country not Found</v>
      </c>
      <c r="G2548" s="7" t="str">
        <f>_xlfn.XLOOKUP(C2548,Products!A2548:A3047,Products!B2548:B3047,"Product Missing",0)</f>
        <v>Product Missing</v>
      </c>
      <c r="H2548" s="7" t="str">
        <f>_xlfn.XLOOKUP(C2548,Products!A2548:A3047,Products!C2548:C3047,"Category Missing",0)</f>
        <v>Category Missing</v>
      </c>
      <c r="I2548" s="11" t="str">
        <f>_xlfn.XLOOKUP(Orders!C2548,Products!A2548:A3047,Products!D2548:D3047,"Price Missing",0)</f>
        <v>Price Missing</v>
      </c>
      <c r="J2548" s="19">
        <f t="shared" si="39"/>
        <v>0</v>
      </c>
    </row>
    <row r="2549" spans="1:10" x14ac:dyDescent="0.35">
      <c r="A2549" s="4" t="s">
        <v>6569</v>
      </c>
      <c r="B2549" s="7" t="s">
        <v>602</v>
      </c>
      <c r="C2549" s="7" t="s">
        <v>3420</v>
      </c>
      <c r="D2549" s="5">
        <v>10</v>
      </c>
      <c r="E2549" s="7" t="str">
        <f>_xlfn.XLOOKUP(B2549,Customers!A2549:A3548,Customers!B2549:B3548,"Customer Not Found",0)</f>
        <v>Customer Not Found</v>
      </c>
      <c r="F2549" s="7" t="str">
        <f>_xlfn.XLOOKUP(Orders!B2549,Customers!A2549:A3548,Customers!C2549:C3548,"Country not Found",0)</f>
        <v>Country not Found</v>
      </c>
      <c r="G2549" s="7" t="str">
        <f>_xlfn.XLOOKUP(C2549,Products!A2549:A3048,Products!B2549:B3048,"Product Missing",0)</f>
        <v>Product Missing</v>
      </c>
      <c r="H2549" s="7" t="str">
        <f>_xlfn.XLOOKUP(C2549,Products!A2549:A3048,Products!C2549:C3048,"Category Missing",0)</f>
        <v>Category Missing</v>
      </c>
      <c r="I2549" s="11" t="str">
        <f>_xlfn.XLOOKUP(Orders!C2549,Products!A2549:A3048,Products!D2549:D3048,"Price Missing",0)</f>
        <v>Price Missing</v>
      </c>
      <c r="J2549" s="19">
        <f t="shared" si="39"/>
        <v>0</v>
      </c>
    </row>
    <row r="2550" spans="1:10" x14ac:dyDescent="0.35">
      <c r="A2550" s="4" t="s">
        <v>6570</v>
      </c>
      <c r="B2550" s="7" t="s">
        <v>2831</v>
      </c>
      <c r="C2550" s="7" t="s">
        <v>3244</v>
      </c>
      <c r="D2550" s="5">
        <v>7</v>
      </c>
      <c r="E2550" s="7" t="str">
        <f>_xlfn.XLOOKUP(B2550,Customers!A2550:A3549,Customers!B2550:B3549,"Customer Not Found",0)</f>
        <v>Customer Not Found</v>
      </c>
      <c r="F2550" s="7" t="str">
        <f>_xlfn.XLOOKUP(Orders!B2550,Customers!A2550:A3549,Customers!C2550:C3549,"Country not Found",0)</f>
        <v>Country not Found</v>
      </c>
      <c r="G2550" s="7" t="str">
        <f>_xlfn.XLOOKUP(C2550,Products!A2550:A3049,Products!B2550:B3049,"Product Missing",0)</f>
        <v>Product Missing</v>
      </c>
      <c r="H2550" s="7" t="str">
        <f>_xlfn.XLOOKUP(C2550,Products!A2550:A3049,Products!C2550:C3049,"Category Missing",0)</f>
        <v>Category Missing</v>
      </c>
      <c r="I2550" s="11" t="str">
        <f>_xlfn.XLOOKUP(Orders!C2550,Products!A2550:A3049,Products!D2550:D3049,"Price Missing",0)</f>
        <v>Price Missing</v>
      </c>
      <c r="J2550" s="19">
        <f t="shared" si="39"/>
        <v>0</v>
      </c>
    </row>
    <row r="2551" spans="1:10" x14ac:dyDescent="0.35">
      <c r="A2551" s="4" t="s">
        <v>6571</v>
      </c>
      <c r="B2551" s="7" t="s">
        <v>332</v>
      </c>
      <c r="C2551" s="7" t="s">
        <v>3152</v>
      </c>
      <c r="D2551" s="5">
        <v>3</v>
      </c>
      <c r="E2551" s="7" t="str">
        <f>_xlfn.XLOOKUP(B2551,Customers!A2551:A3550,Customers!B2551:B3550,"Customer Not Found",0)</f>
        <v>Customer Not Found</v>
      </c>
      <c r="F2551" s="7" t="str">
        <f>_xlfn.XLOOKUP(Orders!B2551,Customers!A2551:A3550,Customers!C2551:C3550,"Country not Found",0)</f>
        <v>Country not Found</v>
      </c>
      <c r="G2551" s="7" t="str">
        <f>_xlfn.XLOOKUP(C2551,Products!A2551:A3050,Products!B2551:B3050,"Product Missing",0)</f>
        <v>Product Missing</v>
      </c>
      <c r="H2551" s="7" t="str">
        <f>_xlfn.XLOOKUP(C2551,Products!A2551:A3050,Products!C2551:C3050,"Category Missing",0)</f>
        <v>Category Missing</v>
      </c>
      <c r="I2551" s="11" t="str">
        <f>_xlfn.XLOOKUP(Orders!C2551,Products!A2551:A3050,Products!D2551:D3050,"Price Missing",0)</f>
        <v>Price Missing</v>
      </c>
      <c r="J2551" s="19">
        <f t="shared" si="39"/>
        <v>0</v>
      </c>
    </row>
    <row r="2552" spans="1:10" x14ac:dyDescent="0.35">
      <c r="A2552" s="4" t="s">
        <v>6572</v>
      </c>
      <c r="B2552" s="7" t="s">
        <v>1523</v>
      </c>
      <c r="C2552" s="7" t="s">
        <v>3990</v>
      </c>
      <c r="D2552" s="5">
        <v>9</v>
      </c>
      <c r="E2552" s="7" t="str">
        <f>_xlfn.XLOOKUP(B2552,Customers!A2552:A3551,Customers!B2552:B3551,"Customer Not Found",0)</f>
        <v>Customer Not Found</v>
      </c>
      <c r="F2552" s="7" t="str">
        <f>_xlfn.XLOOKUP(Orders!B2552,Customers!A2552:A3551,Customers!C2552:C3551,"Country not Found",0)</f>
        <v>Country not Found</v>
      </c>
      <c r="G2552" s="7" t="str">
        <f>_xlfn.XLOOKUP(C2552,Products!A2552:A3051,Products!B2552:B3051,"Product Missing",0)</f>
        <v>Product Missing</v>
      </c>
      <c r="H2552" s="7" t="str">
        <f>_xlfn.XLOOKUP(C2552,Products!A2552:A3051,Products!C2552:C3051,"Category Missing",0)</f>
        <v>Category Missing</v>
      </c>
      <c r="I2552" s="11" t="str">
        <f>_xlfn.XLOOKUP(Orders!C2552,Products!A2552:A3051,Products!D2552:D3051,"Price Missing",0)</f>
        <v>Price Missing</v>
      </c>
      <c r="J2552" s="19">
        <f t="shared" si="39"/>
        <v>0</v>
      </c>
    </row>
    <row r="2553" spans="1:10" x14ac:dyDescent="0.35">
      <c r="A2553" s="4" t="s">
        <v>6573</v>
      </c>
      <c r="B2553" s="7" t="s">
        <v>2726</v>
      </c>
      <c r="C2553" s="7" t="s">
        <v>3108</v>
      </c>
      <c r="D2553" s="5">
        <v>1</v>
      </c>
      <c r="E2553" s="7" t="str">
        <f>_xlfn.XLOOKUP(B2553,Customers!A2553:A3552,Customers!B2553:B3552,"Customer Not Found",0)</f>
        <v>Customer Not Found</v>
      </c>
      <c r="F2553" s="7" t="str">
        <f>_xlfn.XLOOKUP(Orders!B2553,Customers!A2553:A3552,Customers!C2553:C3552,"Country not Found",0)</f>
        <v>Country not Found</v>
      </c>
      <c r="G2553" s="7" t="str">
        <f>_xlfn.XLOOKUP(C2553,Products!A2553:A3052,Products!B2553:B3052,"Product Missing",0)</f>
        <v>Product Missing</v>
      </c>
      <c r="H2553" s="7" t="str">
        <f>_xlfn.XLOOKUP(C2553,Products!A2553:A3052,Products!C2553:C3052,"Category Missing",0)</f>
        <v>Category Missing</v>
      </c>
      <c r="I2553" s="11" t="str">
        <f>_xlfn.XLOOKUP(Orders!C2553,Products!A2553:A3052,Products!D2553:D3052,"Price Missing",0)</f>
        <v>Price Missing</v>
      </c>
      <c r="J2553" s="19">
        <f t="shared" si="39"/>
        <v>0</v>
      </c>
    </row>
    <row r="2554" spans="1:10" x14ac:dyDescent="0.35">
      <c r="A2554" s="4" t="s">
        <v>6574</v>
      </c>
      <c r="B2554" s="7" t="s">
        <v>1556</v>
      </c>
      <c r="C2554" s="7" t="s">
        <v>3284</v>
      </c>
      <c r="D2554" s="5">
        <v>1</v>
      </c>
      <c r="E2554" s="7" t="str">
        <f>_xlfn.XLOOKUP(B2554,Customers!A2554:A3553,Customers!B2554:B3553,"Customer Not Found",0)</f>
        <v>Customer Not Found</v>
      </c>
      <c r="F2554" s="7" t="str">
        <f>_xlfn.XLOOKUP(Orders!B2554,Customers!A2554:A3553,Customers!C2554:C3553,"Country not Found",0)</f>
        <v>Country not Found</v>
      </c>
      <c r="G2554" s="7" t="str">
        <f>_xlfn.XLOOKUP(C2554,Products!A2554:A3053,Products!B2554:B3053,"Product Missing",0)</f>
        <v>Product Missing</v>
      </c>
      <c r="H2554" s="7" t="str">
        <f>_xlfn.XLOOKUP(C2554,Products!A2554:A3053,Products!C2554:C3053,"Category Missing",0)</f>
        <v>Category Missing</v>
      </c>
      <c r="I2554" s="11" t="str">
        <f>_xlfn.XLOOKUP(Orders!C2554,Products!A2554:A3053,Products!D2554:D3053,"Price Missing",0)</f>
        <v>Price Missing</v>
      </c>
      <c r="J2554" s="19">
        <f t="shared" si="39"/>
        <v>0</v>
      </c>
    </row>
    <row r="2555" spans="1:10" x14ac:dyDescent="0.35">
      <c r="A2555" s="4" t="s">
        <v>6575</v>
      </c>
      <c r="B2555" s="7" t="s">
        <v>2318</v>
      </c>
      <c r="C2555" s="7" t="s">
        <v>3868</v>
      </c>
      <c r="D2555" s="5">
        <v>5</v>
      </c>
      <c r="E2555" s="7" t="str">
        <f>_xlfn.XLOOKUP(B2555,Customers!A2555:A3554,Customers!B2555:B3554,"Customer Not Found",0)</f>
        <v>Customer Not Found</v>
      </c>
      <c r="F2555" s="7" t="str">
        <f>_xlfn.XLOOKUP(Orders!B2555,Customers!A2555:A3554,Customers!C2555:C3554,"Country not Found",0)</f>
        <v>Country not Found</v>
      </c>
      <c r="G2555" s="7" t="str">
        <f>_xlfn.XLOOKUP(C2555,Products!A2555:A3054,Products!B2555:B3054,"Product Missing",0)</f>
        <v>Product Missing</v>
      </c>
      <c r="H2555" s="7" t="str">
        <f>_xlfn.XLOOKUP(C2555,Products!A2555:A3054,Products!C2555:C3054,"Category Missing",0)</f>
        <v>Category Missing</v>
      </c>
      <c r="I2555" s="11" t="str">
        <f>_xlfn.XLOOKUP(Orders!C2555,Products!A2555:A3054,Products!D2555:D3054,"Price Missing",0)</f>
        <v>Price Missing</v>
      </c>
      <c r="J2555" s="19">
        <f t="shared" si="39"/>
        <v>0</v>
      </c>
    </row>
    <row r="2556" spans="1:10" x14ac:dyDescent="0.35">
      <c r="A2556" s="4" t="s">
        <v>6576</v>
      </c>
      <c r="B2556" s="7" t="s">
        <v>587</v>
      </c>
      <c r="C2556" s="7" t="s">
        <v>3232</v>
      </c>
      <c r="D2556" s="5">
        <v>10</v>
      </c>
      <c r="E2556" s="7" t="str">
        <f>_xlfn.XLOOKUP(B2556,Customers!A2556:A3555,Customers!B2556:B3555,"Customer Not Found",0)</f>
        <v>Customer Not Found</v>
      </c>
      <c r="F2556" s="7" t="str">
        <f>_xlfn.XLOOKUP(Orders!B2556,Customers!A2556:A3555,Customers!C2556:C3555,"Country not Found",0)</f>
        <v>Country not Found</v>
      </c>
      <c r="G2556" s="7" t="str">
        <f>_xlfn.XLOOKUP(C2556,Products!A2556:A3055,Products!B2556:B3055,"Product Missing",0)</f>
        <v>Product Missing</v>
      </c>
      <c r="H2556" s="7" t="str">
        <f>_xlfn.XLOOKUP(C2556,Products!A2556:A3055,Products!C2556:C3055,"Category Missing",0)</f>
        <v>Category Missing</v>
      </c>
      <c r="I2556" s="11" t="str">
        <f>_xlfn.XLOOKUP(Orders!C2556,Products!A2556:A3055,Products!D2556:D3055,"Price Missing",0)</f>
        <v>Price Missing</v>
      </c>
      <c r="J2556" s="19">
        <f t="shared" si="39"/>
        <v>0</v>
      </c>
    </row>
    <row r="2557" spans="1:10" x14ac:dyDescent="0.35">
      <c r="A2557" s="4" t="s">
        <v>6577</v>
      </c>
      <c r="B2557" s="7" t="s">
        <v>1499</v>
      </c>
      <c r="C2557" s="7" t="s">
        <v>4006</v>
      </c>
      <c r="D2557" s="5">
        <v>7</v>
      </c>
      <c r="E2557" s="7" t="str">
        <f>_xlfn.XLOOKUP(B2557,Customers!A2557:A3556,Customers!B2557:B3556,"Customer Not Found",0)</f>
        <v>Customer Not Found</v>
      </c>
      <c r="F2557" s="7" t="str">
        <f>_xlfn.XLOOKUP(Orders!B2557,Customers!A2557:A3556,Customers!C2557:C3556,"Country not Found",0)</f>
        <v>Country not Found</v>
      </c>
      <c r="G2557" s="7" t="str">
        <f>_xlfn.XLOOKUP(C2557,Products!A2557:A3056,Products!B2557:B3056,"Product Missing",0)</f>
        <v>Product Missing</v>
      </c>
      <c r="H2557" s="7" t="str">
        <f>_xlfn.XLOOKUP(C2557,Products!A2557:A3056,Products!C2557:C3056,"Category Missing",0)</f>
        <v>Category Missing</v>
      </c>
      <c r="I2557" s="11" t="str">
        <f>_xlfn.XLOOKUP(Orders!C2557,Products!A2557:A3056,Products!D2557:D3056,"Price Missing",0)</f>
        <v>Price Missing</v>
      </c>
      <c r="J2557" s="19">
        <f t="shared" si="39"/>
        <v>0</v>
      </c>
    </row>
    <row r="2558" spans="1:10" x14ac:dyDescent="0.35">
      <c r="A2558" s="4" t="s">
        <v>6578</v>
      </c>
      <c r="B2558" s="7" t="s">
        <v>575</v>
      </c>
      <c r="C2558" s="7" t="s">
        <v>3408</v>
      </c>
      <c r="D2558" s="5">
        <v>5</v>
      </c>
      <c r="E2558" s="7" t="str">
        <f>_xlfn.XLOOKUP(B2558,Customers!A2558:A3557,Customers!B2558:B3557,"Customer Not Found",0)</f>
        <v>Customer Not Found</v>
      </c>
      <c r="F2558" s="7" t="str">
        <f>_xlfn.XLOOKUP(Orders!B2558,Customers!A2558:A3557,Customers!C2558:C3557,"Country not Found",0)</f>
        <v>Country not Found</v>
      </c>
      <c r="G2558" s="7" t="str">
        <f>_xlfn.XLOOKUP(C2558,Products!A2558:A3057,Products!B2558:B3057,"Product Missing",0)</f>
        <v>Product Missing</v>
      </c>
      <c r="H2558" s="7" t="str">
        <f>_xlfn.XLOOKUP(C2558,Products!A2558:A3057,Products!C2558:C3057,"Category Missing",0)</f>
        <v>Category Missing</v>
      </c>
      <c r="I2558" s="11" t="str">
        <f>_xlfn.XLOOKUP(Orders!C2558,Products!A2558:A3057,Products!D2558:D3057,"Price Missing",0)</f>
        <v>Price Missing</v>
      </c>
      <c r="J2558" s="19">
        <f t="shared" si="39"/>
        <v>0</v>
      </c>
    </row>
    <row r="2559" spans="1:10" x14ac:dyDescent="0.35">
      <c r="A2559" s="4" t="s">
        <v>6579</v>
      </c>
      <c r="B2559" s="7" t="s">
        <v>1841</v>
      </c>
      <c r="C2559" s="7" t="s">
        <v>3342</v>
      </c>
      <c r="D2559" s="5">
        <v>10</v>
      </c>
      <c r="E2559" s="7" t="str">
        <f>_xlfn.XLOOKUP(B2559,Customers!A2559:A3558,Customers!B2559:B3558,"Customer Not Found",0)</f>
        <v>Customer Not Found</v>
      </c>
      <c r="F2559" s="7" t="str">
        <f>_xlfn.XLOOKUP(Orders!B2559,Customers!A2559:A3558,Customers!C2559:C3558,"Country not Found",0)</f>
        <v>Country not Found</v>
      </c>
      <c r="G2559" s="7" t="str">
        <f>_xlfn.XLOOKUP(C2559,Products!A2559:A3058,Products!B2559:B3058,"Product Missing",0)</f>
        <v>Product Missing</v>
      </c>
      <c r="H2559" s="7" t="str">
        <f>_xlfn.XLOOKUP(C2559,Products!A2559:A3058,Products!C2559:C3058,"Category Missing",0)</f>
        <v>Category Missing</v>
      </c>
      <c r="I2559" s="11" t="str">
        <f>_xlfn.XLOOKUP(Orders!C2559,Products!A2559:A3058,Products!D2559:D3058,"Price Missing",0)</f>
        <v>Price Missing</v>
      </c>
      <c r="J2559" s="19">
        <f t="shared" si="39"/>
        <v>0</v>
      </c>
    </row>
    <row r="2560" spans="1:10" x14ac:dyDescent="0.35">
      <c r="A2560" s="4" t="s">
        <v>6580</v>
      </c>
      <c r="B2560" s="7" t="s">
        <v>1973</v>
      </c>
      <c r="C2560" s="7" t="s">
        <v>3910</v>
      </c>
      <c r="D2560" s="5">
        <v>7</v>
      </c>
      <c r="E2560" s="7" t="str">
        <f>_xlfn.XLOOKUP(B2560,Customers!A2560:A3559,Customers!B2560:B3559,"Customer Not Found",0)</f>
        <v>Customer Not Found</v>
      </c>
      <c r="F2560" s="7" t="str">
        <f>_xlfn.XLOOKUP(Orders!B2560,Customers!A2560:A3559,Customers!C2560:C3559,"Country not Found",0)</f>
        <v>Country not Found</v>
      </c>
      <c r="G2560" s="7" t="str">
        <f>_xlfn.XLOOKUP(C2560,Products!A2560:A3059,Products!B2560:B3059,"Product Missing",0)</f>
        <v>Product Missing</v>
      </c>
      <c r="H2560" s="7" t="str">
        <f>_xlfn.XLOOKUP(C2560,Products!A2560:A3059,Products!C2560:C3059,"Category Missing",0)</f>
        <v>Category Missing</v>
      </c>
      <c r="I2560" s="11" t="str">
        <f>_xlfn.XLOOKUP(Orders!C2560,Products!A2560:A3059,Products!D2560:D3059,"Price Missing",0)</f>
        <v>Price Missing</v>
      </c>
      <c r="J2560" s="19">
        <f t="shared" si="39"/>
        <v>0</v>
      </c>
    </row>
    <row r="2561" spans="1:10" x14ac:dyDescent="0.35">
      <c r="A2561" s="4" t="s">
        <v>6581</v>
      </c>
      <c r="B2561" s="7" t="s">
        <v>1946</v>
      </c>
      <c r="C2561" s="7" t="s">
        <v>3764</v>
      </c>
      <c r="D2561" s="5">
        <v>8</v>
      </c>
      <c r="E2561" s="7" t="str">
        <f>_xlfn.XLOOKUP(B2561,Customers!A2561:A3560,Customers!B2561:B3560,"Customer Not Found",0)</f>
        <v>Customer Not Found</v>
      </c>
      <c r="F2561" s="7" t="str">
        <f>_xlfn.XLOOKUP(Orders!B2561,Customers!A2561:A3560,Customers!C2561:C3560,"Country not Found",0)</f>
        <v>Country not Found</v>
      </c>
      <c r="G2561" s="7" t="str">
        <f>_xlfn.XLOOKUP(C2561,Products!A2561:A3060,Products!B2561:B3060,"Product Missing",0)</f>
        <v>Product Missing</v>
      </c>
      <c r="H2561" s="7" t="str">
        <f>_xlfn.XLOOKUP(C2561,Products!A2561:A3060,Products!C2561:C3060,"Category Missing",0)</f>
        <v>Category Missing</v>
      </c>
      <c r="I2561" s="11" t="str">
        <f>_xlfn.XLOOKUP(Orders!C2561,Products!A2561:A3060,Products!D2561:D3060,"Price Missing",0)</f>
        <v>Price Missing</v>
      </c>
      <c r="J2561" s="19">
        <f t="shared" si="39"/>
        <v>0</v>
      </c>
    </row>
    <row r="2562" spans="1:10" x14ac:dyDescent="0.35">
      <c r="A2562" s="4" t="s">
        <v>6582</v>
      </c>
      <c r="B2562" s="7" t="s">
        <v>2600</v>
      </c>
      <c r="C2562" s="7" t="s">
        <v>3234</v>
      </c>
      <c r="D2562" s="5">
        <v>2</v>
      </c>
      <c r="E2562" s="7" t="str">
        <f>_xlfn.XLOOKUP(B2562,Customers!A2562:A3561,Customers!B2562:B3561,"Customer Not Found",0)</f>
        <v>Customer Not Found</v>
      </c>
      <c r="F2562" s="7" t="str">
        <f>_xlfn.XLOOKUP(Orders!B2562,Customers!A2562:A3561,Customers!C2562:C3561,"Country not Found",0)</f>
        <v>Country not Found</v>
      </c>
      <c r="G2562" s="7" t="str">
        <f>_xlfn.XLOOKUP(C2562,Products!A2562:A3061,Products!B2562:B3061,"Product Missing",0)</f>
        <v>Product Missing</v>
      </c>
      <c r="H2562" s="7" t="str">
        <f>_xlfn.XLOOKUP(C2562,Products!A2562:A3061,Products!C2562:C3061,"Category Missing",0)</f>
        <v>Category Missing</v>
      </c>
      <c r="I2562" s="11" t="str">
        <f>_xlfn.XLOOKUP(Orders!C2562,Products!A2562:A3061,Products!D2562:D3061,"Price Missing",0)</f>
        <v>Price Missing</v>
      </c>
      <c r="J2562" s="19">
        <f t="shared" si="39"/>
        <v>0</v>
      </c>
    </row>
    <row r="2563" spans="1:10" x14ac:dyDescent="0.35">
      <c r="A2563" s="4" t="s">
        <v>6583</v>
      </c>
      <c r="B2563" s="7" t="s">
        <v>941</v>
      </c>
      <c r="C2563" s="7" t="s">
        <v>3376</v>
      </c>
      <c r="D2563" s="5">
        <v>9</v>
      </c>
      <c r="E2563" s="7" t="str">
        <f>_xlfn.XLOOKUP(B2563,Customers!A2563:A3562,Customers!B2563:B3562,"Customer Not Found",0)</f>
        <v>Customer Not Found</v>
      </c>
      <c r="F2563" s="7" t="str">
        <f>_xlfn.XLOOKUP(Orders!B2563,Customers!A2563:A3562,Customers!C2563:C3562,"Country not Found",0)</f>
        <v>Country not Found</v>
      </c>
      <c r="G2563" s="7" t="str">
        <f>_xlfn.XLOOKUP(C2563,Products!A2563:A3062,Products!B2563:B3062,"Product Missing",0)</f>
        <v>Product Missing</v>
      </c>
      <c r="H2563" s="7" t="str">
        <f>_xlfn.XLOOKUP(C2563,Products!A2563:A3062,Products!C2563:C3062,"Category Missing",0)</f>
        <v>Category Missing</v>
      </c>
      <c r="I2563" s="11" t="str">
        <f>_xlfn.XLOOKUP(Orders!C2563,Products!A2563:A3062,Products!D2563:D3062,"Price Missing",0)</f>
        <v>Price Missing</v>
      </c>
      <c r="J2563" s="19">
        <f t="shared" ref="J2563:J2626" si="40">IFERROR(I2563*D2563,0)</f>
        <v>0</v>
      </c>
    </row>
    <row r="2564" spans="1:10" x14ac:dyDescent="0.35">
      <c r="A2564" s="4" t="s">
        <v>6584</v>
      </c>
      <c r="B2564" s="7" t="s">
        <v>1874</v>
      </c>
      <c r="C2564" s="7" t="s">
        <v>3464</v>
      </c>
      <c r="D2564" s="5">
        <v>2</v>
      </c>
      <c r="E2564" s="7" t="str">
        <f>_xlfn.XLOOKUP(B2564,Customers!A2564:A3563,Customers!B2564:B3563,"Customer Not Found",0)</f>
        <v>Customer Not Found</v>
      </c>
      <c r="F2564" s="7" t="str">
        <f>_xlfn.XLOOKUP(Orders!B2564,Customers!A2564:A3563,Customers!C2564:C3563,"Country not Found",0)</f>
        <v>Country not Found</v>
      </c>
      <c r="G2564" s="7" t="str">
        <f>_xlfn.XLOOKUP(C2564,Products!A2564:A3063,Products!B2564:B3063,"Product Missing",0)</f>
        <v>Product Missing</v>
      </c>
      <c r="H2564" s="7" t="str">
        <f>_xlfn.XLOOKUP(C2564,Products!A2564:A3063,Products!C2564:C3063,"Category Missing",0)</f>
        <v>Category Missing</v>
      </c>
      <c r="I2564" s="11" t="str">
        <f>_xlfn.XLOOKUP(Orders!C2564,Products!A2564:A3063,Products!D2564:D3063,"Price Missing",0)</f>
        <v>Price Missing</v>
      </c>
      <c r="J2564" s="19">
        <f t="shared" si="40"/>
        <v>0</v>
      </c>
    </row>
    <row r="2565" spans="1:10" x14ac:dyDescent="0.35">
      <c r="A2565" s="4" t="s">
        <v>6585</v>
      </c>
      <c r="B2565" s="7" t="s">
        <v>52</v>
      </c>
      <c r="C2565" s="7" t="s">
        <v>3184</v>
      </c>
      <c r="D2565" s="5">
        <v>4</v>
      </c>
      <c r="E2565" s="7" t="str">
        <f>_xlfn.XLOOKUP(B2565,Customers!A2565:A3564,Customers!B2565:B3564,"Customer Not Found",0)</f>
        <v>Customer Not Found</v>
      </c>
      <c r="F2565" s="7" t="str">
        <f>_xlfn.XLOOKUP(Orders!B2565,Customers!A2565:A3564,Customers!C2565:C3564,"Country not Found",0)</f>
        <v>Country not Found</v>
      </c>
      <c r="G2565" s="7" t="str">
        <f>_xlfn.XLOOKUP(C2565,Products!A2565:A3064,Products!B2565:B3064,"Product Missing",0)</f>
        <v>Product Missing</v>
      </c>
      <c r="H2565" s="7" t="str">
        <f>_xlfn.XLOOKUP(C2565,Products!A2565:A3064,Products!C2565:C3064,"Category Missing",0)</f>
        <v>Category Missing</v>
      </c>
      <c r="I2565" s="11" t="str">
        <f>_xlfn.XLOOKUP(Orders!C2565,Products!A2565:A3064,Products!D2565:D3064,"Price Missing",0)</f>
        <v>Price Missing</v>
      </c>
      <c r="J2565" s="19">
        <f t="shared" si="40"/>
        <v>0</v>
      </c>
    </row>
    <row r="2566" spans="1:10" x14ac:dyDescent="0.35">
      <c r="A2566" s="4" t="s">
        <v>6586</v>
      </c>
      <c r="B2566" s="7" t="s">
        <v>1898</v>
      </c>
      <c r="C2566" s="7" t="s">
        <v>3606</v>
      </c>
      <c r="D2566" s="5">
        <v>1</v>
      </c>
      <c r="E2566" s="7" t="str">
        <f>_xlfn.XLOOKUP(B2566,Customers!A2566:A3565,Customers!B2566:B3565,"Customer Not Found",0)</f>
        <v>Customer Not Found</v>
      </c>
      <c r="F2566" s="7" t="str">
        <f>_xlfn.XLOOKUP(Orders!B2566,Customers!A2566:A3565,Customers!C2566:C3565,"Country not Found",0)</f>
        <v>Country not Found</v>
      </c>
      <c r="G2566" s="7" t="str">
        <f>_xlfn.XLOOKUP(C2566,Products!A2566:A3065,Products!B2566:B3065,"Product Missing",0)</f>
        <v>Product Missing</v>
      </c>
      <c r="H2566" s="7" t="str">
        <f>_xlfn.XLOOKUP(C2566,Products!A2566:A3065,Products!C2566:C3065,"Category Missing",0)</f>
        <v>Category Missing</v>
      </c>
      <c r="I2566" s="11" t="str">
        <f>_xlfn.XLOOKUP(Orders!C2566,Products!A2566:A3065,Products!D2566:D3065,"Price Missing",0)</f>
        <v>Price Missing</v>
      </c>
      <c r="J2566" s="19">
        <f t="shared" si="40"/>
        <v>0</v>
      </c>
    </row>
    <row r="2567" spans="1:10" x14ac:dyDescent="0.35">
      <c r="A2567" s="4" t="s">
        <v>6587</v>
      </c>
      <c r="B2567" s="7" t="s">
        <v>782</v>
      </c>
      <c r="C2567" s="7" t="s">
        <v>3720</v>
      </c>
      <c r="D2567" s="5">
        <v>4</v>
      </c>
      <c r="E2567" s="7" t="str">
        <f>_xlfn.XLOOKUP(B2567,Customers!A2567:A3566,Customers!B2567:B3566,"Customer Not Found",0)</f>
        <v>Customer Not Found</v>
      </c>
      <c r="F2567" s="7" t="str">
        <f>_xlfn.XLOOKUP(Orders!B2567,Customers!A2567:A3566,Customers!C2567:C3566,"Country not Found",0)</f>
        <v>Country not Found</v>
      </c>
      <c r="G2567" s="7" t="str">
        <f>_xlfn.XLOOKUP(C2567,Products!A2567:A3066,Products!B2567:B3066,"Product Missing",0)</f>
        <v>Product Missing</v>
      </c>
      <c r="H2567" s="7" t="str">
        <f>_xlfn.XLOOKUP(C2567,Products!A2567:A3066,Products!C2567:C3066,"Category Missing",0)</f>
        <v>Category Missing</v>
      </c>
      <c r="I2567" s="11" t="str">
        <f>_xlfn.XLOOKUP(Orders!C2567,Products!A2567:A3066,Products!D2567:D3066,"Price Missing",0)</f>
        <v>Price Missing</v>
      </c>
      <c r="J2567" s="19">
        <f t="shared" si="40"/>
        <v>0</v>
      </c>
    </row>
    <row r="2568" spans="1:10" x14ac:dyDescent="0.35">
      <c r="A2568" s="4" t="s">
        <v>6588</v>
      </c>
      <c r="B2568" s="7" t="s">
        <v>2075</v>
      </c>
      <c r="C2568" s="7" t="s">
        <v>3400</v>
      </c>
      <c r="D2568" s="5">
        <v>1</v>
      </c>
      <c r="E2568" s="7" t="str">
        <f>_xlfn.XLOOKUP(B2568,Customers!A2568:A3567,Customers!B2568:B3567,"Customer Not Found",0)</f>
        <v>Customer Not Found</v>
      </c>
      <c r="F2568" s="7" t="str">
        <f>_xlfn.XLOOKUP(Orders!B2568,Customers!A2568:A3567,Customers!C2568:C3567,"Country not Found",0)</f>
        <v>Country not Found</v>
      </c>
      <c r="G2568" s="7" t="str">
        <f>_xlfn.XLOOKUP(C2568,Products!A2568:A3067,Products!B2568:B3067,"Product Missing",0)</f>
        <v>Product Missing</v>
      </c>
      <c r="H2568" s="7" t="str">
        <f>_xlfn.XLOOKUP(C2568,Products!A2568:A3067,Products!C2568:C3067,"Category Missing",0)</f>
        <v>Category Missing</v>
      </c>
      <c r="I2568" s="11" t="str">
        <f>_xlfn.XLOOKUP(Orders!C2568,Products!A2568:A3067,Products!D2568:D3067,"Price Missing",0)</f>
        <v>Price Missing</v>
      </c>
      <c r="J2568" s="19">
        <f t="shared" si="40"/>
        <v>0</v>
      </c>
    </row>
    <row r="2569" spans="1:10" x14ac:dyDescent="0.35">
      <c r="A2569" s="4" t="s">
        <v>6589</v>
      </c>
      <c r="B2569" s="7" t="s">
        <v>1535</v>
      </c>
      <c r="C2569" s="7" t="s">
        <v>3524</v>
      </c>
      <c r="D2569" s="5">
        <v>2</v>
      </c>
      <c r="E2569" s="7" t="str">
        <f>_xlfn.XLOOKUP(B2569,Customers!A2569:A3568,Customers!B2569:B3568,"Customer Not Found",0)</f>
        <v>Customer Not Found</v>
      </c>
      <c r="F2569" s="7" t="str">
        <f>_xlfn.XLOOKUP(Orders!B2569,Customers!A2569:A3568,Customers!C2569:C3568,"Country not Found",0)</f>
        <v>Country not Found</v>
      </c>
      <c r="G2569" s="7" t="str">
        <f>_xlfn.XLOOKUP(C2569,Products!A2569:A3068,Products!B2569:B3068,"Product Missing",0)</f>
        <v>Product Missing</v>
      </c>
      <c r="H2569" s="7" t="str">
        <f>_xlfn.XLOOKUP(C2569,Products!A2569:A3068,Products!C2569:C3068,"Category Missing",0)</f>
        <v>Category Missing</v>
      </c>
      <c r="I2569" s="11" t="str">
        <f>_xlfn.XLOOKUP(Orders!C2569,Products!A2569:A3068,Products!D2569:D3068,"Price Missing",0)</f>
        <v>Price Missing</v>
      </c>
      <c r="J2569" s="19">
        <f t="shared" si="40"/>
        <v>0</v>
      </c>
    </row>
    <row r="2570" spans="1:10" x14ac:dyDescent="0.35">
      <c r="A2570" s="4" t="s">
        <v>6590</v>
      </c>
      <c r="B2570" s="7" t="s">
        <v>2387</v>
      </c>
      <c r="C2570" s="7" t="s">
        <v>3556</v>
      </c>
      <c r="D2570" s="5">
        <v>4</v>
      </c>
      <c r="E2570" s="7" t="str">
        <f>_xlfn.XLOOKUP(B2570,Customers!A2570:A3569,Customers!B2570:B3569,"Customer Not Found",0)</f>
        <v>Customer Not Found</v>
      </c>
      <c r="F2570" s="7" t="str">
        <f>_xlfn.XLOOKUP(Orders!B2570,Customers!A2570:A3569,Customers!C2570:C3569,"Country not Found",0)</f>
        <v>Country not Found</v>
      </c>
      <c r="G2570" s="7" t="str">
        <f>_xlfn.XLOOKUP(C2570,Products!A2570:A3069,Products!B2570:B3069,"Product Missing",0)</f>
        <v>Product Missing</v>
      </c>
      <c r="H2570" s="7" t="str">
        <f>_xlfn.XLOOKUP(C2570,Products!A2570:A3069,Products!C2570:C3069,"Category Missing",0)</f>
        <v>Category Missing</v>
      </c>
      <c r="I2570" s="11" t="str">
        <f>_xlfn.XLOOKUP(Orders!C2570,Products!A2570:A3069,Products!D2570:D3069,"Price Missing",0)</f>
        <v>Price Missing</v>
      </c>
      <c r="J2570" s="19">
        <f t="shared" si="40"/>
        <v>0</v>
      </c>
    </row>
    <row r="2571" spans="1:10" x14ac:dyDescent="0.35">
      <c r="A2571" s="4" t="s">
        <v>6591</v>
      </c>
      <c r="B2571" s="7" t="s">
        <v>314</v>
      </c>
      <c r="C2571" s="7" t="s">
        <v>3538</v>
      </c>
      <c r="D2571" s="5">
        <v>4</v>
      </c>
      <c r="E2571" s="7" t="str">
        <f>_xlfn.XLOOKUP(B2571,Customers!A2571:A3570,Customers!B2571:B3570,"Customer Not Found",0)</f>
        <v>Customer Not Found</v>
      </c>
      <c r="F2571" s="7" t="str">
        <f>_xlfn.XLOOKUP(Orders!B2571,Customers!A2571:A3570,Customers!C2571:C3570,"Country not Found",0)</f>
        <v>Country not Found</v>
      </c>
      <c r="G2571" s="7" t="str">
        <f>_xlfn.XLOOKUP(C2571,Products!A2571:A3070,Products!B2571:B3070,"Product Missing",0)</f>
        <v>Product Missing</v>
      </c>
      <c r="H2571" s="7" t="str">
        <f>_xlfn.XLOOKUP(C2571,Products!A2571:A3070,Products!C2571:C3070,"Category Missing",0)</f>
        <v>Category Missing</v>
      </c>
      <c r="I2571" s="11" t="str">
        <f>_xlfn.XLOOKUP(Orders!C2571,Products!A2571:A3070,Products!D2571:D3070,"Price Missing",0)</f>
        <v>Price Missing</v>
      </c>
      <c r="J2571" s="19">
        <f t="shared" si="40"/>
        <v>0</v>
      </c>
    </row>
    <row r="2572" spans="1:10" x14ac:dyDescent="0.35">
      <c r="A2572" s="4" t="s">
        <v>6592</v>
      </c>
      <c r="B2572" s="7" t="s">
        <v>1709</v>
      </c>
      <c r="C2572" s="7" t="s">
        <v>3592</v>
      </c>
      <c r="D2572" s="5">
        <v>10</v>
      </c>
      <c r="E2572" s="7" t="str">
        <f>_xlfn.XLOOKUP(B2572,Customers!A2572:A3571,Customers!B2572:B3571,"Customer Not Found",0)</f>
        <v>Customer Not Found</v>
      </c>
      <c r="F2572" s="7" t="str">
        <f>_xlfn.XLOOKUP(Orders!B2572,Customers!A2572:A3571,Customers!C2572:C3571,"Country not Found",0)</f>
        <v>Country not Found</v>
      </c>
      <c r="G2572" s="7" t="str">
        <f>_xlfn.XLOOKUP(C2572,Products!A2572:A3071,Products!B2572:B3071,"Product Missing",0)</f>
        <v>Product Missing</v>
      </c>
      <c r="H2572" s="7" t="str">
        <f>_xlfn.XLOOKUP(C2572,Products!A2572:A3071,Products!C2572:C3071,"Category Missing",0)</f>
        <v>Category Missing</v>
      </c>
      <c r="I2572" s="11" t="str">
        <f>_xlfn.XLOOKUP(Orders!C2572,Products!A2572:A3071,Products!D2572:D3071,"Price Missing",0)</f>
        <v>Price Missing</v>
      </c>
      <c r="J2572" s="19">
        <f t="shared" si="40"/>
        <v>0</v>
      </c>
    </row>
    <row r="2573" spans="1:10" x14ac:dyDescent="0.35">
      <c r="A2573" s="4" t="s">
        <v>6593</v>
      </c>
      <c r="B2573" s="7" t="s">
        <v>1583</v>
      </c>
      <c r="C2573" s="7" t="s">
        <v>3366</v>
      </c>
      <c r="D2573" s="5">
        <v>9</v>
      </c>
      <c r="E2573" s="7" t="str">
        <f>_xlfn.XLOOKUP(B2573,Customers!A2573:A3572,Customers!B2573:B3572,"Customer Not Found",0)</f>
        <v>Customer Not Found</v>
      </c>
      <c r="F2573" s="7" t="str">
        <f>_xlfn.XLOOKUP(Orders!B2573,Customers!A2573:A3572,Customers!C2573:C3572,"Country not Found",0)</f>
        <v>Country not Found</v>
      </c>
      <c r="G2573" s="7" t="str">
        <f>_xlfn.XLOOKUP(C2573,Products!A2573:A3072,Products!B2573:B3072,"Product Missing",0)</f>
        <v>Product Missing</v>
      </c>
      <c r="H2573" s="7" t="str">
        <f>_xlfn.XLOOKUP(C2573,Products!A2573:A3072,Products!C2573:C3072,"Category Missing",0)</f>
        <v>Category Missing</v>
      </c>
      <c r="I2573" s="11" t="str">
        <f>_xlfn.XLOOKUP(Orders!C2573,Products!A2573:A3072,Products!D2573:D3072,"Price Missing",0)</f>
        <v>Price Missing</v>
      </c>
      <c r="J2573" s="19">
        <f t="shared" si="40"/>
        <v>0</v>
      </c>
    </row>
    <row r="2574" spans="1:10" x14ac:dyDescent="0.35">
      <c r="A2574" s="4" t="s">
        <v>6594</v>
      </c>
      <c r="B2574" s="7" t="s">
        <v>8</v>
      </c>
      <c r="C2574" s="7" t="s">
        <v>3027</v>
      </c>
      <c r="D2574" s="5">
        <v>5</v>
      </c>
      <c r="E2574" s="7" t="str">
        <f>_xlfn.XLOOKUP(B2574,Customers!A2574:A3573,Customers!B2574:B3573,"Customer Not Found",0)</f>
        <v>Customer Not Found</v>
      </c>
      <c r="F2574" s="7" t="str">
        <f>_xlfn.XLOOKUP(Orders!B2574,Customers!A2574:A3573,Customers!C2574:C3573,"Country not Found",0)</f>
        <v>Country not Found</v>
      </c>
      <c r="G2574" s="7" t="str">
        <f>_xlfn.XLOOKUP(C2574,Products!A2574:A3073,Products!B2574:B3073,"Product Missing",0)</f>
        <v>Product Missing</v>
      </c>
      <c r="H2574" s="7" t="str">
        <f>_xlfn.XLOOKUP(C2574,Products!A2574:A3073,Products!C2574:C3073,"Category Missing",0)</f>
        <v>Category Missing</v>
      </c>
      <c r="I2574" s="11" t="str">
        <f>_xlfn.XLOOKUP(Orders!C2574,Products!A2574:A3073,Products!D2574:D3073,"Price Missing",0)</f>
        <v>Price Missing</v>
      </c>
      <c r="J2574" s="19">
        <f t="shared" si="40"/>
        <v>0</v>
      </c>
    </row>
    <row r="2575" spans="1:10" x14ac:dyDescent="0.35">
      <c r="A2575" s="4" t="s">
        <v>6595</v>
      </c>
      <c r="B2575" s="7" t="s">
        <v>2336</v>
      </c>
      <c r="C2575" s="7" t="s">
        <v>3702</v>
      </c>
      <c r="D2575" s="5">
        <v>6</v>
      </c>
      <c r="E2575" s="7" t="str">
        <f>_xlfn.XLOOKUP(B2575,Customers!A2575:A3574,Customers!B2575:B3574,"Customer Not Found",0)</f>
        <v>Customer Not Found</v>
      </c>
      <c r="F2575" s="7" t="str">
        <f>_xlfn.XLOOKUP(Orders!B2575,Customers!A2575:A3574,Customers!C2575:C3574,"Country not Found",0)</f>
        <v>Country not Found</v>
      </c>
      <c r="G2575" s="7" t="str">
        <f>_xlfn.XLOOKUP(C2575,Products!A2575:A3074,Products!B2575:B3074,"Product Missing",0)</f>
        <v>Product Missing</v>
      </c>
      <c r="H2575" s="7" t="str">
        <f>_xlfn.XLOOKUP(C2575,Products!A2575:A3074,Products!C2575:C3074,"Category Missing",0)</f>
        <v>Category Missing</v>
      </c>
      <c r="I2575" s="11" t="str">
        <f>_xlfn.XLOOKUP(Orders!C2575,Products!A2575:A3074,Products!D2575:D3074,"Price Missing",0)</f>
        <v>Price Missing</v>
      </c>
      <c r="J2575" s="19">
        <f t="shared" si="40"/>
        <v>0</v>
      </c>
    </row>
    <row r="2576" spans="1:10" x14ac:dyDescent="0.35">
      <c r="A2576" s="4" t="s">
        <v>6596</v>
      </c>
      <c r="B2576" s="7" t="s">
        <v>659</v>
      </c>
      <c r="C2576" s="7" t="s">
        <v>3738</v>
      </c>
      <c r="D2576" s="5">
        <v>6</v>
      </c>
      <c r="E2576" s="7" t="str">
        <f>_xlfn.XLOOKUP(B2576,Customers!A2576:A3575,Customers!B2576:B3575,"Customer Not Found",0)</f>
        <v>Customer Not Found</v>
      </c>
      <c r="F2576" s="7" t="str">
        <f>_xlfn.XLOOKUP(Orders!B2576,Customers!A2576:A3575,Customers!C2576:C3575,"Country not Found",0)</f>
        <v>Country not Found</v>
      </c>
      <c r="G2576" s="7" t="str">
        <f>_xlfn.XLOOKUP(C2576,Products!A2576:A3075,Products!B2576:B3075,"Product Missing",0)</f>
        <v>Product Missing</v>
      </c>
      <c r="H2576" s="7" t="str">
        <f>_xlfn.XLOOKUP(C2576,Products!A2576:A3075,Products!C2576:C3075,"Category Missing",0)</f>
        <v>Category Missing</v>
      </c>
      <c r="I2576" s="11" t="str">
        <f>_xlfn.XLOOKUP(Orders!C2576,Products!A2576:A3075,Products!D2576:D3075,"Price Missing",0)</f>
        <v>Price Missing</v>
      </c>
      <c r="J2576" s="19">
        <f t="shared" si="40"/>
        <v>0</v>
      </c>
    </row>
    <row r="2577" spans="1:10" x14ac:dyDescent="0.35">
      <c r="A2577" s="4" t="s">
        <v>6597</v>
      </c>
      <c r="B2577" s="7" t="s">
        <v>1931</v>
      </c>
      <c r="C2577" s="7" t="s">
        <v>3760</v>
      </c>
      <c r="D2577" s="5">
        <v>2</v>
      </c>
      <c r="E2577" s="7" t="str">
        <f>_xlfn.XLOOKUP(B2577,Customers!A2577:A3576,Customers!B2577:B3576,"Customer Not Found",0)</f>
        <v>Customer Not Found</v>
      </c>
      <c r="F2577" s="7" t="str">
        <f>_xlfn.XLOOKUP(Orders!B2577,Customers!A2577:A3576,Customers!C2577:C3576,"Country not Found",0)</f>
        <v>Country not Found</v>
      </c>
      <c r="G2577" s="7" t="str">
        <f>_xlfn.XLOOKUP(C2577,Products!A2577:A3076,Products!B2577:B3076,"Product Missing",0)</f>
        <v>Product Missing</v>
      </c>
      <c r="H2577" s="7" t="str">
        <f>_xlfn.XLOOKUP(C2577,Products!A2577:A3076,Products!C2577:C3076,"Category Missing",0)</f>
        <v>Category Missing</v>
      </c>
      <c r="I2577" s="11" t="str">
        <f>_xlfn.XLOOKUP(Orders!C2577,Products!A2577:A3076,Products!D2577:D3076,"Price Missing",0)</f>
        <v>Price Missing</v>
      </c>
      <c r="J2577" s="19">
        <f t="shared" si="40"/>
        <v>0</v>
      </c>
    </row>
    <row r="2578" spans="1:10" x14ac:dyDescent="0.35">
      <c r="A2578" s="4" t="s">
        <v>6598</v>
      </c>
      <c r="B2578" s="7" t="s">
        <v>1697</v>
      </c>
      <c r="C2578" s="7" t="s">
        <v>3045</v>
      </c>
      <c r="D2578" s="5">
        <v>10</v>
      </c>
      <c r="E2578" s="7" t="str">
        <f>_xlfn.XLOOKUP(B2578,Customers!A2578:A3577,Customers!B2578:B3577,"Customer Not Found",0)</f>
        <v>Customer Not Found</v>
      </c>
      <c r="F2578" s="7" t="str">
        <f>_xlfn.XLOOKUP(Orders!B2578,Customers!A2578:A3577,Customers!C2578:C3577,"Country not Found",0)</f>
        <v>Country not Found</v>
      </c>
      <c r="G2578" s="7" t="str">
        <f>_xlfn.XLOOKUP(C2578,Products!A2578:A3077,Products!B2578:B3077,"Product Missing",0)</f>
        <v>Product Missing</v>
      </c>
      <c r="H2578" s="7" t="str">
        <f>_xlfn.XLOOKUP(C2578,Products!A2578:A3077,Products!C2578:C3077,"Category Missing",0)</f>
        <v>Category Missing</v>
      </c>
      <c r="I2578" s="11" t="str">
        <f>_xlfn.XLOOKUP(Orders!C2578,Products!A2578:A3077,Products!D2578:D3077,"Price Missing",0)</f>
        <v>Price Missing</v>
      </c>
      <c r="J2578" s="19">
        <f t="shared" si="40"/>
        <v>0</v>
      </c>
    </row>
    <row r="2579" spans="1:10" x14ac:dyDescent="0.35">
      <c r="A2579" s="4" t="s">
        <v>6599</v>
      </c>
      <c r="B2579" s="7" t="s">
        <v>1529</v>
      </c>
      <c r="C2579" s="7" t="s">
        <v>3528</v>
      </c>
      <c r="D2579" s="5">
        <v>7</v>
      </c>
      <c r="E2579" s="7" t="str">
        <f>_xlfn.XLOOKUP(B2579,Customers!A2579:A3578,Customers!B2579:B3578,"Customer Not Found",0)</f>
        <v>Customer Not Found</v>
      </c>
      <c r="F2579" s="7" t="str">
        <f>_xlfn.XLOOKUP(Orders!B2579,Customers!A2579:A3578,Customers!C2579:C3578,"Country not Found",0)</f>
        <v>Country not Found</v>
      </c>
      <c r="G2579" s="7" t="str">
        <f>_xlfn.XLOOKUP(C2579,Products!A2579:A3078,Products!B2579:B3078,"Product Missing",0)</f>
        <v>Product Missing</v>
      </c>
      <c r="H2579" s="7" t="str">
        <f>_xlfn.XLOOKUP(C2579,Products!A2579:A3078,Products!C2579:C3078,"Category Missing",0)</f>
        <v>Category Missing</v>
      </c>
      <c r="I2579" s="11" t="str">
        <f>_xlfn.XLOOKUP(Orders!C2579,Products!A2579:A3078,Products!D2579:D3078,"Price Missing",0)</f>
        <v>Price Missing</v>
      </c>
      <c r="J2579" s="19">
        <f t="shared" si="40"/>
        <v>0</v>
      </c>
    </row>
    <row r="2580" spans="1:10" x14ac:dyDescent="0.35">
      <c r="A2580" s="4" t="s">
        <v>6600</v>
      </c>
      <c r="B2580" s="7" t="s">
        <v>1856</v>
      </c>
      <c r="C2580" s="7" t="s">
        <v>3592</v>
      </c>
      <c r="D2580" s="5">
        <v>9</v>
      </c>
      <c r="E2580" s="7" t="str">
        <f>_xlfn.XLOOKUP(B2580,Customers!A2580:A3579,Customers!B2580:B3579,"Customer Not Found",0)</f>
        <v>Customer Not Found</v>
      </c>
      <c r="F2580" s="7" t="str">
        <f>_xlfn.XLOOKUP(Orders!B2580,Customers!A2580:A3579,Customers!C2580:C3579,"Country not Found",0)</f>
        <v>Country not Found</v>
      </c>
      <c r="G2580" s="7" t="str">
        <f>_xlfn.XLOOKUP(C2580,Products!A2580:A3079,Products!B2580:B3079,"Product Missing",0)</f>
        <v>Product Missing</v>
      </c>
      <c r="H2580" s="7" t="str">
        <f>_xlfn.XLOOKUP(C2580,Products!A2580:A3079,Products!C2580:C3079,"Category Missing",0)</f>
        <v>Category Missing</v>
      </c>
      <c r="I2580" s="11" t="str">
        <f>_xlfn.XLOOKUP(Orders!C2580,Products!A2580:A3079,Products!D2580:D3079,"Price Missing",0)</f>
        <v>Price Missing</v>
      </c>
      <c r="J2580" s="19">
        <f t="shared" si="40"/>
        <v>0</v>
      </c>
    </row>
    <row r="2581" spans="1:10" x14ac:dyDescent="0.35">
      <c r="A2581" s="4" t="s">
        <v>6601</v>
      </c>
      <c r="B2581" s="7" t="s">
        <v>707</v>
      </c>
      <c r="C2581" s="7" t="s">
        <v>3150</v>
      </c>
      <c r="D2581" s="5">
        <v>8</v>
      </c>
      <c r="E2581" s="7" t="str">
        <f>_xlfn.XLOOKUP(B2581,Customers!A2581:A3580,Customers!B2581:B3580,"Customer Not Found",0)</f>
        <v>Customer Not Found</v>
      </c>
      <c r="F2581" s="7" t="str">
        <f>_xlfn.XLOOKUP(Orders!B2581,Customers!A2581:A3580,Customers!C2581:C3580,"Country not Found",0)</f>
        <v>Country not Found</v>
      </c>
      <c r="G2581" s="7" t="str">
        <f>_xlfn.XLOOKUP(C2581,Products!A2581:A3080,Products!B2581:B3080,"Product Missing",0)</f>
        <v>Product Missing</v>
      </c>
      <c r="H2581" s="7" t="str">
        <f>_xlfn.XLOOKUP(C2581,Products!A2581:A3080,Products!C2581:C3080,"Category Missing",0)</f>
        <v>Category Missing</v>
      </c>
      <c r="I2581" s="11" t="str">
        <f>_xlfn.XLOOKUP(Orders!C2581,Products!A2581:A3080,Products!D2581:D3080,"Price Missing",0)</f>
        <v>Price Missing</v>
      </c>
      <c r="J2581" s="19">
        <f t="shared" si="40"/>
        <v>0</v>
      </c>
    </row>
    <row r="2582" spans="1:10" x14ac:dyDescent="0.35">
      <c r="A2582" s="4" t="s">
        <v>6602</v>
      </c>
      <c r="B2582" s="7" t="s">
        <v>1613</v>
      </c>
      <c r="C2582" s="7" t="s">
        <v>3422</v>
      </c>
      <c r="D2582" s="5">
        <v>8</v>
      </c>
      <c r="E2582" s="7" t="str">
        <f>_xlfn.XLOOKUP(B2582,Customers!A2582:A3581,Customers!B2582:B3581,"Customer Not Found",0)</f>
        <v>Customer Not Found</v>
      </c>
      <c r="F2582" s="7" t="str">
        <f>_xlfn.XLOOKUP(Orders!B2582,Customers!A2582:A3581,Customers!C2582:C3581,"Country not Found",0)</f>
        <v>Country not Found</v>
      </c>
      <c r="G2582" s="7" t="str">
        <f>_xlfn.XLOOKUP(C2582,Products!A2582:A3081,Products!B2582:B3081,"Product Missing",0)</f>
        <v>Product Missing</v>
      </c>
      <c r="H2582" s="7" t="str">
        <f>_xlfn.XLOOKUP(C2582,Products!A2582:A3081,Products!C2582:C3081,"Category Missing",0)</f>
        <v>Category Missing</v>
      </c>
      <c r="I2582" s="11" t="str">
        <f>_xlfn.XLOOKUP(Orders!C2582,Products!A2582:A3081,Products!D2582:D3081,"Price Missing",0)</f>
        <v>Price Missing</v>
      </c>
      <c r="J2582" s="19">
        <f t="shared" si="40"/>
        <v>0</v>
      </c>
    </row>
    <row r="2583" spans="1:10" x14ac:dyDescent="0.35">
      <c r="A2583" s="4" t="s">
        <v>6603</v>
      </c>
      <c r="B2583" s="7" t="s">
        <v>1076</v>
      </c>
      <c r="C2583" s="7" t="s">
        <v>3662</v>
      </c>
      <c r="D2583" s="5">
        <v>3</v>
      </c>
      <c r="E2583" s="7" t="str">
        <f>_xlfn.XLOOKUP(B2583,Customers!A2583:A3582,Customers!B2583:B3582,"Customer Not Found",0)</f>
        <v>Customer Not Found</v>
      </c>
      <c r="F2583" s="7" t="str">
        <f>_xlfn.XLOOKUP(Orders!B2583,Customers!A2583:A3582,Customers!C2583:C3582,"Country not Found",0)</f>
        <v>Country not Found</v>
      </c>
      <c r="G2583" s="7" t="str">
        <f>_xlfn.XLOOKUP(C2583,Products!A2583:A3082,Products!B2583:B3082,"Product Missing",0)</f>
        <v>Product Missing</v>
      </c>
      <c r="H2583" s="7" t="str">
        <f>_xlfn.XLOOKUP(C2583,Products!A2583:A3082,Products!C2583:C3082,"Category Missing",0)</f>
        <v>Category Missing</v>
      </c>
      <c r="I2583" s="11" t="str">
        <f>_xlfn.XLOOKUP(Orders!C2583,Products!A2583:A3082,Products!D2583:D3082,"Price Missing",0)</f>
        <v>Price Missing</v>
      </c>
      <c r="J2583" s="19">
        <f t="shared" si="40"/>
        <v>0</v>
      </c>
    </row>
    <row r="2584" spans="1:10" x14ac:dyDescent="0.35">
      <c r="A2584" s="4" t="s">
        <v>6604</v>
      </c>
      <c r="B2584" s="7" t="s">
        <v>143</v>
      </c>
      <c r="C2584" s="7" t="s">
        <v>3284</v>
      </c>
      <c r="D2584" s="5">
        <v>3</v>
      </c>
      <c r="E2584" s="7" t="str">
        <f>_xlfn.XLOOKUP(B2584,Customers!A2584:A3583,Customers!B2584:B3583,"Customer Not Found",0)</f>
        <v>Customer Not Found</v>
      </c>
      <c r="F2584" s="7" t="str">
        <f>_xlfn.XLOOKUP(Orders!B2584,Customers!A2584:A3583,Customers!C2584:C3583,"Country not Found",0)</f>
        <v>Country not Found</v>
      </c>
      <c r="G2584" s="7" t="str">
        <f>_xlfn.XLOOKUP(C2584,Products!A2584:A3083,Products!B2584:B3083,"Product Missing",0)</f>
        <v>Product Missing</v>
      </c>
      <c r="H2584" s="7" t="str">
        <f>_xlfn.XLOOKUP(C2584,Products!A2584:A3083,Products!C2584:C3083,"Category Missing",0)</f>
        <v>Category Missing</v>
      </c>
      <c r="I2584" s="11" t="str">
        <f>_xlfn.XLOOKUP(Orders!C2584,Products!A2584:A3083,Products!D2584:D3083,"Price Missing",0)</f>
        <v>Price Missing</v>
      </c>
      <c r="J2584" s="19">
        <f t="shared" si="40"/>
        <v>0</v>
      </c>
    </row>
    <row r="2585" spans="1:10" x14ac:dyDescent="0.35">
      <c r="A2585" s="4" t="s">
        <v>6605</v>
      </c>
      <c r="B2585" s="7" t="s">
        <v>2933</v>
      </c>
      <c r="C2585" s="7" t="s">
        <v>3558</v>
      </c>
      <c r="D2585" s="5">
        <v>3</v>
      </c>
      <c r="E2585" s="7" t="str">
        <f>_xlfn.XLOOKUP(B2585,Customers!A2585:A3584,Customers!B2585:B3584,"Customer Not Found",0)</f>
        <v>Customer Not Found</v>
      </c>
      <c r="F2585" s="7" t="str">
        <f>_xlfn.XLOOKUP(Orders!B2585,Customers!A2585:A3584,Customers!C2585:C3584,"Country not Found",0)</f>
        <v>Country not Found</v>
      </c>
      <c r="G2585" s="7" t="str">
        <f>_xlfn.XLOOKUP(C2585,Products!A2585:A3084,Products!B2585:B3084,"Product Missing",0)</f>
        <v>Product Missing</v>
      </c>
      <c r="H2585" s="7" t="str">
        <f>_xlfn.XLOOKUP(C2585,Products!A2585:A3084,Products!C2585:C3084,"Category Missing",0)</f>
        <v>Category Missing</v>
      </c>
      <c r="I2585" s="11" t="str">
        <f>_xlfn.XLOOKUP(Orders!C2585,Products!A2585:A3084,Products!D2585:D3084,"Price Missing",0)</f>
        <v>Price Missing</v>
      </c>
      <c r="J2585" s="19">
        <f t="shared" si="40"/>
        <v>0</v>
      </c>
    </row>
    <row r="2586" spans="1:10" x14ac:dyDescent="0.35">
      <c r="A2586" s="4" t="s">
        <v>6606</v>
      </c>
      <c r="B2586" s="7" t="s">
        <v>1856</v>
      </c>
      <c r="C2586" s="7" t="s">
        <v>3872</v>
      </c>
      <c r="D2586" s="5">
        <v>6</v>
      </c>
      <c r="E2586" s="7" t="str">
        <f>_xlfn.XLOOKUP(B2586,Customers!A2586:A3585,Customers!B2586:B3585,"Customer Not Found",0)</f>
        <v>Customer Not Found</v>
      </c>
      <c r="F2586" s="7" t="str">
        <f>_xlfn.XLOOKUP(Orders!B2586,Customers!A2586:A3585,Customers!C2586:C3585,"Country not Found",0)</f>
        <v>Country not Found</v>
      </c>
      <c r="G2586" s="7" t="str">
        <f>_xlfn.XLOOKUP(C2586,Products!A2586:A3085,Products!B2586:B3085,"Product Missing",0)</f>
        <v>Product Missing</v>
      </c>
      <c r="H2586" s="7" t="str">
        <f>_xlfn.XLOOKUP(C2586,Products!A2586:A3085,Products!C2586:C3085,"Category Missing",0)</f>
        <v>Category Missing</v>
      </c>
      <c r="I2586" s="11" t="str">
        <f>_xlfn.XLOOKUP(Orders!C2586,Products!A2586:A3085,Products!D2586:D3085,"Price Missing",0)</f>
        <v>Price Missing</v>
      </c>
      <c r="J2586" s="19">
        <f t="shared" si="40"/>
        <v>0</v>
      </c>
    </row>
    <row r="2587" spans="1:10" x14ac:dyDescent="0.35">
      <c r="A2587" s="4" t="s">
        <v>6607</v>
      </c>
      <c r="B2587" s="7" t="s">
        <v>2087</v>
      </c>
      <c r="C2587" s="7" t="s">
        <v>3708</v>
      </c>
      <c r="D2587" s="5">
        <v>8</v>
      </c>
      <c r="E2587" s="7" t="str">
        <f>_xlfn.XLOOKUP(B2587,Customers!A2587:A3586,Customers!B2587:B3586,"Customer Not Found",0)</f>
        <v>Customer Not Found</v>
      </c>
      <c r="F2587" s="7" t="str">
        <f>_xlfn.XLOOKUP(Orders!B2587,Customers!A2587:A3586,Customers!C2587:C3586,"Country not Found",0)</f>
        <v>Country not Found</v>
      </c>
      <c r="G2587" s="7" t="str">
        <f>_xlfn.XLOOKUP(C2587,Products!A2587:A3086,Products!B2587:B3086,"Product Missing",0)</f>
        <v>Product Missing</v>
      </c>
      <c r="H2587" s="7" t="str">
        <f>_xlfn.XLOOKUP(C2587,Products!A2587:A3086,Products!C2587:C3086,"Category Missing",0)</f>
        <v>Category Missing</v>
      </c>
      <c r="I2587" s="11" t="str">
        <f>_xlfn.XLOOKUP(Orders!C2587,Products!A2587:A3086,Products!D2587:D3086,"Price Missing",0)</f>
        <v>Price Missing</v>
      </c>
      <c r="J2587" s="19">
        <f t="shared" si="40"/>
        <v>0</v>
      </c>
    </row>
    <row r="2588" spans="1:10" x14ac:dyDescent="0.35">
      <c r="A2588" s="4" t="s">
        <v>6608</v>
      </c>
      <c r="B2588" s="7" t="s">
        <v>749</v>
      </c>
      <c r="C2588" s="7" t="s">
        <v>3486</v>
      </c>
      <c r="D2588" s="5">
        <v>9</v>
      </c>
      <c r="E2588" s="7" t="str">
        <f>_xlfn.XLOOKUP(B2588,Customers!A2588:A3587,Customers!B2588:B3587,"Customer Not Found",0)</f>
        <v>Customer Not Found</v>
      </c>
      <c r="F2588" s="7" t="str">
        <f>_xlfn.XLOOKUP(Orders!B2588,Customers!A2588:A3587,Customers!C2588:C3587,"Country not Found",0)</f>
        <v>Country not Found</v>
      </c>
      <c r="G2588" s="7" t="str">
        <f>_xlfn.XLOOKUP(C2588,Products!A2588:A3087,Products!B2588:B3087,"Product Missing",0)</f>
        <v>Product Missing</v>
      </c>
      <c r="H2588" s="7" t="str">
        <f>_xlfn.XLOOKUP(C2588,Products!A2588:A3087,Products!C2588:C3087,"Category Missing",0)</f>
        <v>Category Missing</v>
      </c>
      <c r="I2588" s="11" t="str">
        <f>_xlfn.XLOOKUP(Orders!C2588,Products!A2588:A3087,Products!D2588:D3087,"Price Missing",0)</f>
        <v>Price Missing</v>
      </c>
      <c r="J2588" s="19">
        <f t="shared" si="40"/>
        <v>0</v>
      </c>
    </row>
    <row r="2589" spans="1:10" x14ac:dyDescent="0.35">
      <c r="A2589" s="4" t="s">
        <v>6609</v>
      </c>
      <c r="B2589" s="7" t="s">
        <v>2303</v>
      </c>
      <c r="C2589" s="7" t="s">
        <v>3308</v>
      </c>
      <c r="D2589" s="5">
        <v>1</v>
      </c>
      <c r="E2589" s="7" t="str">
        <f>_xlfn.XLOOKUP(B2589,Customers!A2589:A3588,Customers!B2589:B3588,"Customer Not Found",0)</f>
        <v>Customer Not Found</v>
      </c>
      <c r="F2589" s="7" t="str">
        <f>_xlfn.XLOOKUP(Orders!B2589,Customers!A2589:A3588,Customers!C2589:C3588,"Country not Found",0)</f>
        <v>Country not Found</v>
      </c>
      <c r="G2589" s="7" t="str">
        <f>_xlfn.XLOOKUP(C2589,Products!A2589:A3088,Products!B2589:B3088,"Product Missing",0)</f>
        <v>Product Missing</v>
      </c>
      <c r="H2589" s="7" t="str">
        <f>_xlfn.XLOOKUP(C2589,Products!A2589:A3088,Products!C2589:C3088,"Category Missing",0)</f>
        <v>Category Missing</v>
      </c>
      <c r="I2589" s="11" t="str">
        <f>_xlfn.XLOOKUP(Orders!C2589,Products!A2589:A3088,Products!D2589:D3088,"Price Missing",0)</f>
        <v>Price Missing</v>
      </c>
      <c r="J2589" s="19">
        <f t="shared" si="40"/>
        <v>0</v>
      </c>
    </row>
    <row r="2590" spans="1:10" x14ac:dyDescent="0.35">
      <c r="A2590" s="4" t="s">
        <v>6610</v>
      </c>
      <c r="B2590" s="7" t="s">
        <v>1259</v>
      </c>
      <c r="C2590" s="7" t="s">
        <v>3514</v>
      </c>
      <c r="D2590" s="5">
        <v>10</v>
      </c>
      <c r="E2590" s="7" t="str">
        <f>_xlfn.XLOOKUP(B2590,Customers!A2590:A3589,Customers!B2590:B3589,"Customer Not Found",0)</f>
        <v>Customer Not Found</v>
      </c>
      <c r="F2590" s="7" t="str">
        <f>_xlfn.XLOOKUP(Orders!B2590,Customers!A2590:A3589,Customers!C2590:C3589,"Country not Found",0)</f>
        <v>Country not Found</v>
      </c>
      <c r="G2590" s="7" t="str">
        <f>_xlfn.XLOOKUP(C2590,Products!A2590:A3089,Products!B2590:B3089,"Product Missing",0)</f>
        <v>Product Missing</v>
      </c>
      <c r="H2590" s="7" t="str">
        <f>_xlfn.XLOOKUP(C2590,Products!A2590:A3089,Products!C2590:C3089,"Category Missing",0)</f>
        <v>Category Missing</v>
      </c>
      <c r="I2590" s="11" t="str">
        <f>_xlfn.XLOOKUP(Orders!C2590,Products!A2590:A3089,Products!D2590:D3089,"Price Missing",0)</f>
        <v>Price Missing</v>
      </c>
      <c r="J2590" s="19">
        <f t="shared" si="40"/>
        <v>0</v>
      </c>
    </row>
    <row r="2591" spans="1:10" x14ac:dyDescent="0.35">
      <c r="A2591" s="4" t="s">
        <v>6611</v>
      </c>
      <c r="B2591" s="7" t="s">
        <v>2063</v>
      </c>
      <c r="C2591" s="7" t="s">
        <v>3910</v>
      </c>
      <c r="D2591" s="5">
        <v>4</v>
      </c>
      <c r="E2591" s="7" t="str">
        <f>_xlfn.XLOOKUP(B2591,Customers!A2591:A3590,Customers!B2591:B3590,"Customer Not Found",0)</f>
        <v>Customer Not Found</v>
      </c>
      <c r="F2591" s="7" t="str">
        <f>_xlfn.XLOOKUP(Orders!B2591,Customers!A2591:A3590,Customers!C2591:C3590,"Country not Found",0)</f>
        <v>Country not Found</v>
      </c>
      <c r="G2591" s="7" t="str">
        <f>_xlfn.XLOOKUP(C2591,Products!A2591:A3090,Products!B2591:B3090,"Product Missing",0)</f>
        <v>Product Missing</v>
      </c>
      <c r="H2591" s="7" t="str">
        <f>_xlfn.XLOOKUP(C2591,Products!A2591:A3090,Products!C2591:C3090,"Category Missing",0)</f>
        <v>Category Missing</v>
      </c>
      <c r="I2591" s="11" t="str">
        <f>_xlfn.XLOOKUP(Orders!C2591,Products!A2591:A3090,Products!D2591:D3090,"Price Missing",0)</f>
        <v>Price Missing</v>
      </c>
      <c r="J2591" s="19">
        <f t="shared" si="40"/>
        <v>0</v>
      </c>
    </row>
    <row r="2592" spans="1:10" x14ac:dyDescent="0.35">
      <c r="A2592" s="4" t="s">
        <v>6612</v>
      </c>
      <c r="B2592" s="7" t="s">
        <v>1625</v>
      </c>
      <c r="C2592" s="7" t="s">
        <v>3656</v>
      </c>
      <c r="D2592" s="5">
        <v>8</v>
      </c>
      <c r="E2592" s="7" t="str">
        <f>_xlfn.XLOOKUP(B2592,Customers!A2592:A3591,Customers!B2592:B3591,"Customer Not Found",0)</f>
        <v>Customer Not Found</v>
      </c>
      <c r="F2592" s="7" t="str">
        <f>_xlfn.XLOOKUP(Orders!B2592,Customers!A2592:A3591,Customers!C2592:C3591,"Country not Found",0)</f>
        <v>Country not Found</v>
      </c>
      <c r="G2592" s="7" t="str">
        <f>_xlfn.XLOOKUP(C2592,Products!A2592:A3091,Products!B2592:B3091,"Product Missing",0)</f>
        <v>Product Missing</v>
      </c>
      <c r="H2592" s="7" t="str">
        <f>_xlfn.XLOOKUP(C2592,Products!A2592:A3091,Products!C2592:C3091,"Category Missing",0)</f>
        <v>Category Missing</v>
      </c>
      <c r="I2592" s="11" t="str">
        <f>_xlfn.XLOOKUP(Orders!C2592,Products!A2592:A3091,Products!D2592:D3091,"Price Missing",0)</f>
        <v>Price Missing</v>
      </c>
      <c r="J2592" s="19">
        <f t="shared" si="40"/>
        <v>0</v>
      </c>
    </row>
    <row r="2593" spans="1:10" x14ac:dyDescent="0.35">
      <c r="A2593" s="4" t="s">
        <v>6613</v>
      </c>
      <c r="B2593" s="7" t="s">
        <v>1883</v>
      </c>
      <c r="C2593" s="7" t="s">
        <v>3414</v>
      </c>
      <c r="D2593" s="5">
        <v>6</v>
      </c>
      <c r="E2593" s="7" t="str">
        <f>_xlfn.XLOOKUP(B2593,Customers!A2593:A3592,Customers!B2593:B3592,"Customer Not Found",0)</f>
        <v>Customer Not Found</v>
      </c>
      <c r="F2593" s="7" t="str">
        <f>_xlfn.XLOOKUP(Orders!B2593,Customers!A2593:A3592,Customers!C2593:C3592,"Country not Found",0)</f>
        <v>Country not Found</v>
      </c>
      <c r="G2593" s="7" t="str">
        <f>_xlfn.XLOOKUP(C2593,Products!A2593:A3092,Products!B2593:B3092,"Product Missing",0)</f>
        <v>Product Missing</v>
      </c>
      <c r="H2593" s="7" t="str">
        <f>_xlfn.XLOOKUP(C2593,Products!A2593:A3092,Products!C2593:C3092,"Category Missing",0)</f>
        <v>Category Missing</v>
      </c>
      <c r="I2593" s="11" t="str">
        <f>_xlfn.XLOOKUP(Orders!C2593,Products!A2593:A3092,Products!D2593:D3092,"Price Missing",0)</f>
        <v>Price Missing</v>
      </c>
      <c r="J2593" s="19">
        <f t="shared" si="40"/>
        <v>0</v>
      </c>
    </row>
    <row r="2594" spans="1:10" x14ac:dyDescent="0.35">
      <c r="A2594" s="4" t="s">
        <v>6614</v>
      </c>
      <c r="B2594" s="7" t="s">
        <v>1775</v>
      </c>
      <c r="C2594" s="7" t="s">
        <v>3718</v>
      </c>
      <c r="D2594" s="5">
        <v>6</v>
      </c>
      <c r="E2594" s="7" t="str">
        <f>_xlfn.XLOOKUP(B2594,Customers!A2594:A3593,Customers!B2594:B3593,"Customer Not Found",0)</f>
        <v>Customer Not Found</v>
      </c>
      <c r="F2594" s="7" t="str">
        <f>_xlfn.XLOOKUP(Orders!B2594,Customers!A2594:A3593,Customers!C2594:C3593,"Country not Found",0)</f>
        <v>Country not Found</v>
      </c>
      <c r="G2594" s="7" t="str">
        <f>_xlfn.XLOOKUP(C2594,Products!A2594:A3093,Products!B2594:B3093,"Product Missing",0)</f>
        <v>Product Missing</v>
      </c>
      <c r="H2594" s="7" t="str">
        <f>_xlfn.XLOOKUP(C2594,Products!A2594:A3093,Products!C2594:C3093,"Category Missing",0)</f>
        <v>Category Missing</v>
      </c>
      <c r="I2594" s="11" t="str">
        <f>_xlfn.XLOOKUP(Orders!C2594,Products!A2594:A3093,Products!D2594:D3093,"Price Missing",0)</f>
        <v>Price Missing</v>
      </c>
      <c r="J2594" s="19">
        <f t="shared" si="40"/>
        <v>0</v>
      </c>
    </row>
    <row r="2595" spans="1:10" x14ac:dyDescent="0.35">
      <c r="A2595" s="4" t="s">
        <v>6615</v>
      </c>
      <c r="B2595" s="7" t="s">
        <v>2015</v>
      </c>
      <c r="C2595" s="7" t="s">
        <v>3608</v>
      </c>
      <c r="D2595" s="5">
        <v>9</v>
      </c>
      <c r="E2595" s="7" t="str">
        <f>_xlfn.XLOOKUP(B2595,Customers!A2595:A3594,Customers!B2595:B3594,"Customer Not Found",0)</f>
        <v>Customer Not Found</v>
      </c>
      <c r="F2595" s="7" t="str">
        <f>_xlfn.XLOOKUP(Orders!B2595,Customers!A2595:A3594,Customers!C2595:C3594,"Country not Found",0)</f>
        <v>Country not Found</v>
      </c>
      <c r="G2595" s="7" t="str">
        <f>_xlfn.XLOOKUP(C2595,Products!A2595:A3094,Products!B2595:B3094,"Product Missing",0)</f>
        <v>Product Missing</v>
      </c>
      <c r="H2595" s="7" t="str">
        <f>_xlfn.XLOOKUP(C2595,Products!A2595:A3094,Products!C2595:C3094,"Category Missing",0)</f>
        <v>Category Missing</v>
      </c>
      <c r="I2595" s="11" t="str">
        <f>_xlfn.XLOOKUP(Orders!C2595,Products!A2595:A3094,Products!D2595:D3094,"Price Missing",0)</f>
        <v>Price Missing</v>
      </c>
      <c r="J2595" s="19">
        <f t="shared" si="40"/>
        <v>0</v>
      </c>
    </row>
    <row r="2596" spans="1:10" x14ac:dyDescent="0.35">
      <c r="A2596" s="4" t="s">
        <v>6616</v>
      </c>
      <c r="B2596" s="7" t="s">
        <v>1841</v>
      </c>
      <c r="C2596" s="7" t="s">
        <v>3822</v>
      </c>
      <c r="D2596" s="5">
        <v>2</v>
      </c>
      <c r="E2596" s="7" t="str">
        <f>_xlfn.XLOOKUP(B2596,Customers!A2596:A3595,Customers!B2596:B3595,"Customer Not Found",0)</f>
        <v>Customer Not Found</v>
      </c>
      <c r="F2596" s="7" t="str">
        <f>_xlfn.XLOOKUP(Orders!B2596,Customers!A2596:A3595,Customers!C2596:C3595,"Country not Found",0)</f>
        <v>Country not Found</v>
      </c>
      <c r="G2596" s="7" t="str">
        <f>_xlfn.XLOOKUP(C2596,Products!A2596:A3095,Products!B2596:B3095,"Product Missing",0)</f>
        <v>Product Missing</v>
      </c>
      <c r="H2596" s="7" t="str">
        <f>_xlfn.XLOOKUP(C2596,Products!A2596:A3095,Products!C2596:C3095,"Category Missing",0)</f>
        <v>Category Missing</v>
      </c>
      <c r="I2596" s="11" t="str">
        <f>_xlfn.XLOOKUP(Orders!C2596,Products!A2596:A3095,Products!D2596:D3095,"Price Missing",0)</f>
        <v>Price Missing</v>
      </c>
      <c r="J2596" s="19">
        <f t="shared" si="40"/>
        <v>0</v>
      </c>
    </row>
    <row r="2597" spans="1:10" x14ac:dyDescent="0.35">
      <c r="A2597" s="4" t="s">
        <v>6617</v>
      </c>
      <c r="B2597" s="7" t="s">
        <v>179</v>
      </c>
      <c r="C2597" s="7" t="s">
        <v>3372</v>
      </c>
      <c r="D2597" s="5">
        <v>3</v>
      </c>
      <c r="E2597" s="7" t="str">
        <f>_xlfn.XLOOKUP(B2597,Customers!A2597:A3596,Customers!B2597:B3596,"Customer Not Found",0)</f>
        <v>Customer Not Found</v>
      </c>
      <c r="F2597" s="7" t="str">
        <f>_xlfn.XLOOKUP(Orders!B2597,Customers!A2597:A3596,Customers!C2597:C3596,"Country not Found",0)</f>
        <v>Country not Found</v>
      </c>
      <c r="G2597" s="7" t="str">
        <f>_xlfn.XLOOKUP(C2597,Products!A2597:A3096,Products!B2597:B3096,"Product Missing",0)</f>
        <v>Product Missing</v>
      </c>
      <c r="H2597" s="7" t="str">
        <f>_xlfn.XLOOKUP(C2597,Products!A2597:A3096,Products!C2597:C3096,"Category Missing",0)</f>
        <v>Category Missing</v>
      </c>
      <c r="I2597" s="11" t="str">
        <f>_xlfn.XLOOKUP(Orders!C2597,Products!A2597:A3096,Products!D2597:D3096,"Price Missing",0)</f>
        <v>Price Missing</v>
      </c>
      <c r="J2597" s="19">
        <f t="shared" si="40"/>
        <v>0</v>
      </c>
    </row>
    <row r="2598" spans="1:10" x14ac:dyDescent="0.35">
      <c r="A2598" s="4" t="s">
        <v>6618</v>
      </c>
      <c r="B2598" s="7" t="s">
        <v>1877</v>
      </c>
      <c r="C2598" s="7" t="s">
        <v>3892</v>
      </c>
      <c r="D2598" s="5">
        <v>10</v>
      </c>
      <c r="E2598" s="7" t="str">
        <f>_xlfn.XLOOKUP(B2598,Customers!A2598:A3597,Customers!B2598:B3597,"Customer Not Found",0)</f>
        <v>Customer Not Found</v>
      </c>
      <c r="F2598" s="7" t="str">
        <f>_xlfn.XLOOKUP(Orders!B2598,Customers!A2598:A3597,Customers!C2598:C3597,"Country not Found",0)</f>
        <v>Country not Found</v>
      </c>
      <c r="G2598" s="7" t="str">
        <f>_xlfn.XLOOKUP(C2598,Products!A2598:A3097,Products!B2598:B3097,"Product Missing",0)</f>
        <v>Product Missing</v>
      </c>
      <c r="H2598" s="7" t="str">
        <f>_xlfn.XLOOKUP(C2598,Products!A2598:A3097,Products!C2598:C3097,"Category Missing",0)</f>
        <v>Category Missing</v>
      </c>
      <c r="I2598" s="11" t="str">
        <f>_xlfn.XLOOKUP(Orders!C2598,Products!A2598:A3097,Products!D2598:D3097,"Price Missing",0)</f>
        <v>Price Missing</v>
      </c>
      <c r="J2598" s="19">
        <f t="shared" si="40"/>
        <v>0</v>
      </c>
    </row>
    <row r="2599" spans="1:10" x14ac:dyDescent="0.35">
      <c r="A2599" s="4" t="s">
        <v>6619</v>
      </c>
      <c r="B2599" s="7" t="s">
        <v>530</v>
      </c>
      <c r="C2599" s="7" t="s">
        <v>3094</v>
      </c>
      <c r="D2599" s="5">
        <v>5</v>
      </c>
      <c r="E2599" s="7" t="str">
        <f>_xlfn.XLOOKUP(B2599,Customers!A2599:A3598,Customers!B2599:B3598,"Customer Not Found",0)</f>
        <v>Customer Not Found</v>
      </c>
      <c r="F2599" s="7" t="str">
        <f>_xlfn.XLOOKUP(Orders!B2599,Customers!A2599:A3598,Customers!C2599:C3598,"Country not Found",0)</f>
        <v>Country not Found</v>
      </c>
      <c r="G2599" s="7" t="str">
        <f>_xlfn.XLOOKUP(C2599,Products!A2599:A3098,Products!B2599:B3098,"Product Missing",0)</f>
        <v>Product Missing</v>
      </c>
      <c r="H2599" s="7" t="str">
        <f>_xlfn.XLOOKUP(C2599,Products!A2599:A3098,Products!C2599:C3098,"Category Missing",0)</f>
        <v>Category Missing</v>
      </c>
      <c r="I2599" s="11" t="str">
        <f>_xlfn.XLOOKUP(Orders!C2599,Products!A2599:A3098,Products!D2599:D3098,"Price Missing",0)</f>
        <v>Price Missing</v>
      </c>
      <c r="J2599" s="19">
        <f t="shared" si="40"/>
        <v>0</v>
      </c>
    </row>
    <row r="2600" spans="1:10" x14ac:dyDescent="0.35">
      <c r="A2600" s="4" t="s">
        <v>6620</v>
      </c>
      <c r="B2600" s="7" t="s">
        <v>2651</v>
      </c>
      <c r="C2600" s="7" t="s">
        <v>3458</v>
      </c>
      <c r="D2600" s="5">
        <v>5</v>
      </c>
      <c r="E2600" s="7" t="str">
        <f>_xlfn.XLOOKUP(B2600,Customers!A2600:A3599,Customers!B2600:B3599,"Customer Not Found",0)</f>
        <v>Customer Not Found</v>
      </c>
      <c r="F2600" s="7" t="str">
        <f>_xlfn.XLOOKUP(Orders!B2600,Customers!A2600:A3599,Customers!C2600:C3599,"Country not Found",0)</f>
        <v>Country not Found</v>
      </c>
      <c r="G2600" s="7" t="str">
        <f>_xlfn.XLOOKUP(C2600,Products!A2600:A3099,Products!B2600:B3099,"Product Missing",0)</f>
        <v>Product Missing</v>
      </c>
      <c r="H2600" s="7" t="str">
        <f>_xlfn.XLOOKUP(C2600,Products!A2600:A3099,Products!C2600:C3099,"Category Missing",0)</f>
        <v>Category Missing</v>
      </c>
      <c r="I2600" s="11" t="str">
        <f>_xlfn.XLOOKUP(Orders!C2600,Products!A2600:A3099,Products!D2600:D3099,"Price Missing",0)</f>
        <v>Price Missing</v>
      </c>
      <c r="J2600" s="19">
        <f t="shared" si="40"/>
        <v>0</v>
      </c>
    </row>
    <row r="2601" spans="1:10" x14ac:dyDescent="0.35">
      <c r="A2601" s="4" t="s">
        <v>6621</v>
      </c>
      <c r="B2601" s="7" t="s">
        <v>611</v>
      </c>
      <c r="C2601" s="7" t="s">
        <v>3158</v>
      </c>
      <c r="D2601" s="5">
        <v>9</v>
      </c>
      <c r="E2601" s="7" t="str">
        <f>_xlfn.XLOOKUP(B2601,Customers!A2601:A3600,Customers!B2601:B3600,"Customer Not Found",0)</f>
        <v>Customer Not Found</v>
      </c>
      <c r="F2601" s="7" t="str">
        <f>_xlfn.XLOOKUP(Orders!B2601,Customers!A2601:A3600,Customers!C2601:C3600,"Country not Found",0)</f>
        <v>Country not Found</v>
      </c>
      <c r="G2601" s="7" t="str">
        <f>_xlfn.XLOOKUP(C2601,Products!A2601:A3100,Products!B2601:B3100,"Product Missing",0)</f>
        <v>Product Missing</v>
      </c>
      <c r="H2601" s="7" t="str">
        <f>_xlfn.XLOOKUP(C2601,Products!A2601:A3100,Products!C2601:C3100,"Category Missing",0)</f>
        <v>Category Missing</v>
      </c>
      <c r="I2601" s="11" t="str">
        <f>_xlfn.XLOOKUP(Orders!C2601,Products!A2601:A3100,Products!D2601:D3100,"Price Missing",0)</f>
        <v>Price Missing</v>
      </c>
      <c r="J2601" s="19">
        <f t="shared" si="40"/>
        <v>0</v>
      </c>
    </row>
    <row r="2602" spans="1:10" x14ac:dyDescent="0.35">
      <c r="A2602" s="4" t="s">
        <v>6622</v>
      </c>
      <c r="B2602" s="7" t="s">
        <v>1550</v>
      </c>
      <c r="C2602" s="7" t="s">
        <v>3216</v>
      </c>
      <c r="D2602" s="5">
        <v>6</v>
      </c>
      <c r="E2602" s="7" t="str">
        <f>_xlfn.XLOOKUP(B2602,Customers!A2602:A3601,Customers!B2602:B3601,"Customer Not Found",0)</f>
        <v>Customer Not Found</v>
      </c>
      <c r="F2602" s="7" t="str">
        <f>_xlfn.XLOOKUP(Orders!B2602,Customers!A2602:A3601,Customers!C2602:C3601,"Country not Found",0)</f>
        <v>Country not Found</v>
      </c>
      <c r="G2602" s="7" t="str">
        <f>_xlfn.XLOOKUP(C2602,Products!A2602:A3101,Products!B2602:B3101,"Product Missing",0)</f>
        <v>Product Missing</v>
      </c>
      <c r="H2602" s="7" t="str">
        <f>_xlfn.XLOOKUP(C2602,Products!A2602:A3101,Products!C2602:C3101,"Category Missing",0)</f>
        <v>Category Missing</v>
      </c>
      <c r="I2602" s="11" t="str">
        <f>_xlfn.XLOOKUP(Orders!C2602,Products!A2602:A3101,Products!D2602:D3101,"Price Missing",0)</f>
        <v>Price Missing</v>
      </c>
      <c r="J2602" s="19">
        <f t="shared" si="40"/>
        <v>0</v>
      </c>
    </row>
    <row r="2603" spans="1:10" x14ac:dyDescent="0.35">
      <c r="A2603" s="4" t="s">
        <v>6623</v>
      </c>
      <c r="B2603" s="7" t="s">
        <v>2729</v>
      </c>
      <c r="C2603" s="7" t="s">
        <v>3836</v>
      </c>
      <c r="D2603" s="5">
        <v>6</v>
      </c>
      <c r="E2603" s="7" t="str">
        <f>_xlfn.XLOOKUP(B2603,Customers!A2603:A3602,Customers!B2603:B3602,"Customer Not Found",0)</f>
        <v>Customer Not Found</v>
      </c>
      <c r="F2603" s="7" t="str">
        <f>_xlfn.XLOOKUP(Orders!B2603,Customers!A2603:A3602,Customers!C2603:C3602,"Country not Found",0)</f>
        <v>Country not Found</v>
      </c>
      <c r="G2603" s="7" t="str">
        <f>_xlfn.XLOOKUP(C2603,Products!A2603:A3102,Products!B2603:B3102,"Product Missing",0)</f>
        <v>Product Missing</v>
      </c>
      <c r="H2603" s="7" t="str">
        <f>_xlfn.XLOOKUP(C2603,Products!A2603:A3102,Products!C2603:C3102,"Category Missing",0)</f>
        <v>Category Missing</v>
      </c>
      <c r="I2603" s="11" t="str">
        <f>_xlfn.XLOOKUP(Orders!C2603,Products!A2603:A3102,Products!D2603:D3102,"Price Missing",0)</f>
        <v>Price Missing</v>
      </c>
      <c r="J2603" s="19">
        <f t="shared" si="40"/>
        <v>0</v>
      </c>
    </row>
    <row r="2604" spans="1:10" x14ac:dyDescent="0.35">
      <c r="A2604" s="4" t="s">
        <v>6624</v>
      </c>
      <c r="B2604" s="7" t="s">
        <v>1835</v>
      </c>
      <c r="C2604" s="7" t="s">
        <v>3308</v>
      </c>
      <c r="D2604" s="5">
        <v>2</v>
      </c>
      <c r="E2604" s="7" t="str">
        <f>_xlfn.XLOOKUP(B2604,Customers!A2604:A3603,Customers!B2604:B3603,"Customer Not Found",0)</f>
        <v>Customer Not Found</v>
      </c>
      <c r="F2604" s="7" t="str">
        <f>_xlfn.XLOOKUP(Orders!B2604,Customers!A2604:A3603,Customers!C2604:C3603,"Country not Found",0)</f>
        <v>Country not Found</v>
      </c>
      <c r="G2604" s="7" t="str">
        <f>_xlfn.XLOOKUP(C2604,Products!A2604:A3103,Products!B2604:B3103,"Product Missing",0)</f>
        <v>Product Missing</v>
      </c>
      <c r="H2604" s="7" t="str">
        <f>_xlfn.XLOOKUP(C2604,Products!A2604:A3103,Products!C2604:C3103,"Category Missing",0)</f>
        <v>Category Missing</v>
      </c>
      <c r="I2604" s="11" t="str">
        <f>_xlfn.XLOOKUP(Orders!C2604,Products!A2604:A3103,Products!D2604:D3103,"Price Missing",0)</f>
        <v>Price Missing</v>
      </c>
      <c r="J2604" s="19">
        <f t="shared" si="40"/>
        <v>0</v>
      </c>
    </row>
    <row r="2605" spans="1:10" x14ac:dyDescent="0.35">
      <c r="A2605" s="4" t="s">
        <v>6625</v>
      </c>
      <c r="B2605" s="7" t="s">
        <v>2099</v>
      </c>
      <c r="C2605" s="7" t="s">
        <v>3190</v>
      </c>
      <c r="D2605" s="5">
        <v>1</v>
      </c>
      <c r="E2605" s="7" t="str">
        <f>_xlfn.XLOOKUP(B2605,Customers!A2605:A3604,Customers!B2605:B3604,"Customer Not Found",0)</f>
        <v>Customer Not Found</v>
      </c>
      <c r="F2605" s="7" t="str">
        <f>_xlfn.XLOOKUP(Orders!B2605,Customers!A2605:A3604,Customers!C2605:C3604,"Country not Found",0)</f>
        <v>Country not Found</v>
      </c>
      <c r="G2605" s="7" t="str">
        <f>_xlfn.XLOOKUP(C2605,Products!A2605:A3104,Products!B2605:B3104,"Product Missing",0)</f>
        <v>Product Missing</v>
      </c>
      <c r="H2605" s="7" t="str">
        <f>_xlfn.XLOOKUP(C2605,Products!A2605:A3104,Products!C2605:C3104,"Category Missing",0)</f>
        <v>Category Missing</v>
      </c>
      <c r="I2605" s="11" t="str">
        <f>_xlfn.XLOOKUP(Orders!C2605,Products!A2605:A3104,Products!D2605:D3104,"Price Missing",0)</f>
        <v>Price Missing</v>
      </c>
      <c r="J2605" s="19">
        <f t="shared" si="40"/>
        <v>0</v>
      </c>
    </row>
    <row r="2606" spans="1:10" x14ac:dyDescent="0.35">
      <c r="A2606" s="4" t="s">
        <v>6626</v>
      </c>
      <c r="B2606" s="7" t="s">
        <v>1916</v>
      </c>
      <c r="C2606" s="7" t="s">
        <v>3854</v>
      </c>
      <c r="D2606" s="5">
        <v>5</v>
      </c>
      <c r="E2606" s="7" t="str">
        <f>_xlfn.XLOOKUP(B2606,Customers!A2606:A3605,Customers!B2606:B3605,"Customer Not Found",0)</f>
        <v>Customer Not Found</v>
      </c>
      <c r="F2606" s="7" t="str">
        <f>_xlfn.XLOOKUP(Orders!B2606,Customers!A2606:A3605,Customers!C2606:C3605,"Country not Found",0)</f>
        <v>Country not Found</v>
      </c>
      <c r="G2606" s="7" t="str">
        <f>_xlfn.XLOOKUP(C2606,Products!A2606:A3105,Products!B2606:B3105,"Product Missing",0)</f>
        <v>Product Missing</v>
      </c>
      <c r="H2606" s="7" t="str">
        <f>_xlfn.XLOOKUP(C2606,Products!A2606:A3105,Products!C2606:C3105,"Category Missing",0)</f>
        <v>Category Missing</v>
      </c>
      <c r="I2606" s="11" t="str">
        <f>_xlfn.XLOOKUP(Orders!C2606,Products!A2606:A3105,Products!D2606:D3105,"Price Missing",0)</f>
        <v>Price Missing</v>
      </c>
      <c r="J2606" s="19">
        <f t="shared" si="40"/>
        <v>0</v>
      </c>
    </row>
    <row r="2607" spans="1:10" x14ac:dyDescent="0.35">
      <c r="A2607" s="4" t="s">
        <v>6627</v>
      </c>
      <c r="B2607" s="7" t="s">
        <v>899</v>
      </c>
      <c r="C2607" s="7" t="s">
        <v>3390</v>
      </c>
      <c r="D2607" s="5">
        <v>10</v>
      </c>
      <c r="E2607" s="7" t="str">
        <f>_xlfn.XLOOKUP(B2607,Customers!A2607:A3606,Customers!B2607:B3606,"Customer Not Found",0)</f>
        <v>Customer Not Found</v>
      </c>
      <c r="F2607" s="7" t="str">
        <f>_xlfn.XLOOKUP(Orders!B2607,Customers!A2607:A3606,Customers!C2607:C3606,"Country not Found",0)</f>
        <v>Country not Found</v>
      </c>
      <c r="G2607" s="7" t="str">
        <f>_xlfn.XLOOKUP(C2607,Products!A2607:A3106,Products!B2607:B3106,"Product Missing",0)</f>
        <v>Product Missing</v>
      </c>
      <c r="H2607" s="7" t="str">
        <f>_xlfn.XLOOKUP(C2607,Products!A2607:A3106,Products!C2607:C3106,"Category Missing",0)</f>
        <v>Category Missing</v>
      </c>
      <c r="I2607" s="11" t="str">
        <f>_xlfn.XLOOKUP(Orders!C2607,Products!A2607:A3106,Products!D2607:D3106,"Price Missing",0)</f>
        <v>Price Missing</v>
      </c>
      <c r="J2607" s="19">
        <f t="shared" si="40"/>
        <v>0</v>
      </c>
    </row>
    <row r="2608" spans="1:10" x14ac:dyDescent="0.35">
      <c r="A2608" s="4" t="s">
        <v>6628</v>
      </c>
      <c r="B2608" s="7" t="s">
        <v>2804</v>
      </c>
      <c r="C2608" s="7" t="s">
        <v>3382</v>
      </c>
      <c r="D2608" s="5">
        <v>5</v>
      </c>
      <c r="E2608" s="7" t="str">
        <f>_xlfn.XLOOKUP(B2608,Customers!A2608:A3607,Customers!B2608:B3607,"Customer Not Found",0)</f>
        <v>Customer Not Found</v>
      </c>
      <c r="F2608" s="7" t="str">
        <f>_xlfn.XLOOKUP(Orders!B2608,Customers!A2608:A3607,Customers!C2608:C3607,"Country not Found",0)</f>
        <v>Country not Found</v>
      </c>
      <c r="G2608" s="7" t="str">
        <f>_xlfn.XLOOKUP(C2608,Products!A2608:A3107,Products!B2608:B3107,"Product Missing",0)</f>
        <v>Product Missing</v>
      </c>
      <c r="H2608" s="7" t="str">
        <f>_xlfn.XLOOKUP(C2608,Products!A2608:A3107,Products!C2608:C3107,"Category Missing",0)</f>
        <v>Category Missing</v>
      </c>
      <c r="I2608" s="11" t="str">
        <f>_xlfn.XLOOKUP(Orders!C2608,Products!A2608:A3107,Products!D2608:D3107,"Price Missing",0)</f>
        <v>Price Missing</v>
      </c>
      <c r="J2608" s="19">
        <f t="shared" si="40"/>
        <v>0</v>
      </c>
    </row>
    <row r="2609" spans="1:10" x14ac:dyDescent="0.35">
      <c r="A2609" s="4" t="s">
        <v>6629</v>
      </c>
      <c r="B2609" s="7" t="s">
        <v>1025</v>
      </c>
      <c r="C2609" s="7" t="s">
        <v>3158</v>
      </c>
      <c r="D2609" s="5">
        <v>8</v>
      </c>
      <c r="E2609" s="7" t="str">
        <f>_xlfn.XLOOKUP(B2609,Customers!A2609:A3608,Customers!B2609:B3608,"Customer Not Found",0)</f>
        <v>Customer Not Found</v>
      </c>
      <c r="F2609" s="7" t="str">
        <f>_xlfn.XLOOKUP(Orders!B2609,Customers!A2609:A3608,Customers!C2609:C3608,"Country not Found",0)</f>
        <v>Country not Found</v>
      </c>
      <c r="G2609" s="7" t="str">
        <f>_xlfn.XLOOKUP(C2609,Products!A2609:A3108,Products!B2609:B3108,"Product Missing",0)</f>
        <v>Product Missing</v>
      </c>
      <c r="H2609" s="7" t="str">
        <f>_xlfn.XLOOKUP(C2609,Products!A2609:A3108,Products!C2609:C3108,"Category Missing",0)</f>
        <v>Category Missing</v>
      </c>
      <c r="I2609" s="11" t="str">
        <f>_xlfn.XLOOKUP(Orders!C2609,Products!A2609:A3108,Products!D2609:D3108,"Price Missing",0)</f>
        <v>Price Missing</v>
      </c>
      <c r="J2609" s="19">
        <f t="shared" si="40"/>
        <v>0</v>
      </c>
    </row>
    <row r="2610" spans="1:10" x14ac:dyDescent="0.35">
      <c r="A2610" s="4" t="s">
        <v>6630</v>
      </c>
      <c r="B2610" s="7" t="s">
        <v>1295</v>
      </c>
      <c r="C2610" s="7" t="s">
        <v>3430</v>
      </c>
      <c r="D2610" s="5">
        <v>4</v>
      </c>
      <c r="E2610" s="7" t="str">
        <f>_xlfn.XLOOKUP(B2610,Customers!A2610:A3609,Customers!B2610:B3609,"Customer Not Found",0)</f>
        <v>Customer Not Found</v>
      </c>
      <c r="F2610" s="7" t="str">
        <f>_xlfn.XLOOKUP(Orders!B2610,Customers!A2610:A3609,Customers!C2610:C3609,"Country not Found",0)</f>
        <v>Country not Found</v>
      </c>
      <c r="G2610" s="7" t="str">
        <f>_xlfn.XLOOKUP(C2610,Products!A2610:A3109,Products!B2610:B3109,"Product Missing",0)</f>
        <v>Product Missing</v>
      </c>
      <c r="H2610" s="7" t="str">
        <f>_xlfn.XLOOKUP(C2610,Products!A2610:A3109,Products!C2610:C3109,"Category Missing",0)</f>
        <v>Category Missing</v>
      </c>
      <c r="I2610" s="11" t="str">
        <f>_xlfn.XLOOKUP(Orders!C2610,Products!A2610:A3109,Products!D2610:D3109,"Price Missing",0)</f>
        <v>Price Missing</v>
      </c>
      <c r="J2610" s="19">
        <f t="shared" si="40"/>
        <v>0</v>
      </c>
    </row>
    <row r="2611" spans="1:10" x14ac:dyDescent="0.35">
      <c r="A2611" s="4" t="s">
        <v>6631</v>
      </c>
      <c r="B2611" s="7" t="s">
        <v>1805</v>
      </c>
      <c r="C2611" s="7" t="s">
        <v>3760</v>
      </c>
      <c r="D2611" s="5">
        <v>7</v>
      </c>
      <c r="E2611" s="7" t="str">
        <f>_xlfn.XLOOKUP(B2611,Customers!A2611:A3610,Customers!B2611:B3610,"Customer Not Found",0)</f>
        <v>Customer Not Found</v>
      </c>
      <c r="F2611" s="7" t="str">
        <f>_xlfn.XLOOKUP(Orders!B2611,Customers!A2611:A3610,Customers!C2611:C3610,"Country not Found",0)</f>
        <v>Country not Found</v>
      </c>
      <c r="G2611" s="7" t="str">
        <f>_xlfn.XLOOKUP(C2611,Products!A2611:A3110,Products!B2611:B3110,"Product Missing",0)</f>
        <v>Product Missing</v>
      </c>
      <c r="H2611" s="7" t="str">
        <f>_xlfn.XLOOKUP(C2611,Products!A2611:A3110,Products!C2611:C3110,"Category Missing",0)</f>
        <v>Category Missing</v>
      </c>
      <c r="I2611" s="11" t="str">
        <f>_xlfn.XLOOKUP(Orders!C2611,Products!A2611:A3110,Products!D2611:D3110,"Price Missing",0)</f>
        <v>Price Missing</v>
      </c>
      <c r="J2611" s="19">
        <f t="shared" si="40"/>
        <v>0</v>
      </c>
    </row>
    <row r="2612" spans="1:10" x14ac:dyDescent="0.35">
      <c r="A2612" s="4" t="s">
        <v>6632</v>
      </c>
      <c r="B2612" s="7" t="s">
        <v>2744</v>
      </c>
      <c r="C2612" s="7" t="s">
        <v>3280</v>
      </c>
      <c r="D2612" s="5">
        <v>8</v>
      </c>
      <c r="E2612" s="7" t="str">
        <f>_xlfn.XLOOKUP(B2612,Customers!A2612:A3611,Customers!B2612:B3611,"Customer Not Found",0)</f>
        <v>Customer Not Found</v>
      </c>
      <c r="F2612" s="7" t="str">
        <f>_xlfn.XLOOKUP(Orders!B2612,Customers!A2612:A3611,Customers!C2612:C3611,"Country not Found",0)</f>
        <v>Country not Found</v>
      </c>
      <c r="G2612" s="7" t="str">
        <f>_xlfn.XLOOKUP(C2612,Products!A2612:A3111,Products!B2612:B3111,"Product Missing",0)</f>
        <v>Product Missing</v>
      </c>
      <c r="H2612" s="7" t="str">
        <f>_xlfn.XLOOKUP(C2612,Products!A2612:A3111,Products!C2612:C3111,"Category Missing",0)</f>
        <v>Category Missing</v>
      </c>
      <c r="I2612" s="11" t="str">
        <f>_xlfn.XLOOKUP(Orders!C2612,Products!A2612:A3111,Products!D2612:D3111,"Price Missing",0)</f>
        <v>Price Missing</v>
      </c>
      <c r="J2612" s="19">
        <f t="shared" si="40"/>
        <v>0</v>
      </c>
    </row>
    <row r="2613" spans="1:10" x14ac:dyDescent="0.35">
      <c r="A2613" s="4" t="s">
        <v>6633</v>
      </c>
      <c r="B2613" s="7" t="s">
        <v>1610</v>
      </c>
      <c r="C2613" s="7" t="s">
        <v>3306</v>
      </c>
      <c r="D2613" s="5">
        <v>8</v>
      </c>
      <c r="E2613" s="7" t="str">
        <f>_xlfn.XLOOKUP(B2613,Customers!A2613:A3612,Customers!B2613:B3612,"Customer Not Found",0)</f>
        <v>Customer Not Found</v>
      </c>
      <c r="F2613" s="7" t="str">
        <f>_xlfn.XLOOKUP(Orders!B2613,Customers!A2613:A3612,Customers!C2613:C3612,"Country not Found",0)</f>
        <v>Country not Found</v>
      </c>
      <c r="G2613" s="7" t="str">
        <f>_xlfn.XLOOKUP(C2613,Products!A2613:A3112,Products!B2613:B3112,"Product Missing",0)</f>
        <v>Product Missing</v>
      </c>
      <c r="H2613" s="7" t="str">
        <f>_xlfn.XLOOKUP(C2613,Products!A2613:A3112,Products!C2613:C3112,"Category Missing",0)</f>
        <v>Category Missing</v>
      </c>
      <c r="I2613" s="11" t="str">
        <f>_xlfn.XLOOKUP(Orders!C2613,Products!A2613:A3112,Products!D2613:D3112,"Price Missing",0)</f>
        <v>Price Missing</v>
      </c>
      <c r="J2613" s="19">
        <f t="shared" si="40"/>
        <v>0</v>
      </c>
    </row>
    <row r="2614" spans="1:10" x14ac:dyDescent="0.35">
      <c r="A2614" s="4" t="s">
        <v>6634</v>
      </c>
      <c r="B2614" s="7" t="s">
        <v>959</v>
      </c>
      <c r="C2614" s="7" t="s">
        <v>3938</v>
      </c>
      <c r="D2614" s="5">
        <v>10</v>
      </c>
      <c r="E2614" s="7" t="str">
        <f>_xlfn.XLOOKUP(B2614,Customers!A2614:A3613,Customers!B2614:B3613,"Customer Not Found",0)</f>
        <v>Customer Not Found</v>
      </c>
      <c r="F2614" s="7" t="str">
        <f>_xlfn.XLOOKUP(Orders!B2614,Customers!A2614:A3613,Customers!C2614:C3613,"Country not Found",0)</f>
        <v>Country not Found</v>
      </c>
      <c r="G2614" s="7" t="str">
        <f>_xlfn.XLOOKUP(C2614,Products!A2614:A3113,Products!B2614:B3113,"Product Missing",0)</f>
        <v>Product Missing</v>
      </c>
      <c r="H2614" s="7" t="str">
        <f>_xlfn.XLOOKUP(C2614,Products!A2614:A3113,Products!C2614:C3113,"Category Missing",0)</f>
        <v>Category Missing</v>
      </c>
      <c r="I2614" s="11" t="str">
        <f>_xlfn.XLOOKUP(Orders!C2614,Products!A2614:A3113,Products!D2614:D3113,"Price Missing",0)</f>
        <v>Price Missing</v>
      </c>
      <c r="J2614" s="19">
        <f t="shared" si="40"/>
        <v>0</v>
      </c>
    </row>
    <row r="2615" spans="1:10" x14ac:dyDescent="0.35">
      <c r="A2615" s="4" t="s">
        <v>6635</v>
      </c>
      <c r="B2615" s="7" t="s">
        <v>2399</v>
      </c>
      <c r="C2615" s="7" t="s">
        <v>3952</v>
      </c>
      <c r="D2615" s="5">
        <v>10</v>
      </c>
      <c r="E2615" s="7" t="str">
        <f>_xlfn.XLOOKUP(B2615,Customers!A2615:A3614,Customers!B2615:B3614,"Customer Not Found",0)</f>
        <v>Customer Not Found</v>
      </c>
      <c r="F2615" s="7" t="str">
        <f>_xlfn.XLOOKUP(Orders!B2615,Customers!A2615:A3614,Customers!C2615:C3614,"Country not Found",0)</f>
        <v>Country not Found</v>
      </c>
      <c r="G2615" s="7" t="str">
        <f>_xlfn.XLOOKUP(C2615,Products!A2615:A3114,Products!B2615:B3114,"Product Missing",0)</f>
        <v>Product Missing</v>
      </c>
      <c r="H2615" s="7" t="str">
        <f>_xlfn.XLOOKUP(C2615,Products!A2615:A3114,Products!C2615:C3114,"Category Missing",0)</f>
        <v>Category Missing</v>
      </c>
      <c r="I2615" s="11" t="str">
        <f>_xlfn.XLOOKUP(Orders!C2615,Products!A2615:A3114,Products!D2615:D3114,"Price Missing",0)</f>
        <v>Price Missing</v>
      </c>
      <c r="J2615" s="19">
        <f t="shared" si="40"/>
        <v>0</v>
      </c>
    </row>
    <row r="2616" spans="1:10" x14ac:dyDescent="0.35">
      <c r="A2616" s="4" t="s">
        <v>6636</v>
      </c>
      <c r="B2616" s="7" t="s">
        <v>1802</v>
      </c>
      <c r="C2616" s="7" t="s">
        <v>3164</v>
      </c>
      <c r="D2616" s="5">
        <v>3</v>
      </c>
      <c r="E2616" s="7" t="str">
        <f>_xlfn.XLOOKUP(B2616,Customers!A2616:A3615,Customers!B2616:B3615,"Customer Not Found",0)</f>
        <v>Customer Not Found</v>
      </c>
      <c r="F2616" s="7" t="str">
        <f>_xlfn.XLOOKUP(Orders!B2616,Customers!A2616:A3615,Customers!C2616:C3615,"Country not Found",0)</f>
        <v>Country not Found</v>
      </c>
      <c r="G2616" s="7" t="str">
        <f>_xlfn.XLOOKUP(C2616,Products!A2616:A3115,Products!B2616:B3115,"Product Missing",0)</f>
        <v>Product Missing</v>
      </c>
      <c r="H2616" s="7" t="str">
        <f>_xlfn.XLOOKUP(C2616,Products!A2616:A3115,Products!C2616:C3115,"Category Missing",0)</f>
        <v>Category Missing</v>
      </c>
      <c r="I2616" s="11" t="str">
        <f>_xlfn.XLOOKUP(Orders!C2616,Products!A2616:A3115,Products!D2616:D3115,"Price Missing",0)</f>
        <v>Price Missing</v>
      </c>
      <c r="J2616" s="19">
        <f t="shared" si="40"/>
        <v>0</v>
      </c>
    </row>
    <row r="2617" spans="1:10" x14ac:dyDescent="0.35">
      <c r="A2617" s="4" t="s">
        <v>6637</v>
      </c>
      <c r="B2617" s="7" t="s">
        <v>749</v>
      </c>
      <c r="C2617" s="7" t="s">
        <v>3354</v>
      </c>
      <c r="D2617" s="5">
        <v>6</v>
      </c>
      <c r="E2617" s="7" t="str">
        <f>_xlfn.XLOOKUP(B2617,Customers!A2617:A3616,Customers!B2617:B3616,"Customer Not Found",0)</f>
        <v>Customer Not Found</v>
      </c>
      <c r="F2617" s="7" t="str">
        <f>_xlfn.XLOOKUP(Orders!B2617,Customers!A2617:A3616,Customers!C2617:C3616,"Country not Found",0)</f>
        <v>Country not Found</v>
      </c>
      <c r="G2617" s="7" t="str">
        <f>_xlfn.XLOOKUP(C2617,Products!A2617:A3116,Products!B2617:B3116,"Product Missing",0)</f>
        <v>Product Missing</v>
      </c>
      <c r="H2617" s="7" t="str">
        <f>_xlfn.XLOOKUP(C2617,Products!A2617:A3116,Products!C2617:C3116,"Category Missing",0)</f>
        <v>Category Missing</v>
      </c>
      <c r="I2617" s="11" t="str">
        <f>_xlfn.XLOOKUP(Orders!C2617,Products!A2617:A3116,Products!D2617:D3116,"Price Missing",0)</f>
        <v>Price Missing</v>
      </c>
      <c r="J2617" s="19">
        <f t="shared" si="40"/>
        <v>0</v>
      </c>
    </row>
    <row r="2618" spans="1:10" x14ac:dyDescent="0.35">
      <c r="A2618" s="4" t="s">
        <v>6638</v>
      </c>
      <c r="B2618" s="7" t="s">
        <v>2795</v>
      </c>
      <c r="C2618" s="7" t="s">
        <v>3358</v>
      </c>
      <c r="D2618" s="5">
        <v>9</v>
      </c>
      <c r="E2618" s="7" t="str">
        <f>_xlfn.XLOOKUP(B2618,Customers!A2618:A3617,Customers!B2618:B3617,"Customer Not Found",0)</f>
        <v>Customer Not Found</v>
      </c>
      <c r="F2618" s="7" t="str">
        <f>_xlfn.XLOOKUP(Orders!B2618,Customers!A2618:A3617,Customers!C2618:C3617,"Country not Found",0)</f>
        <v>Country not Found</v>
      </c>
      <c r="G2618" s="7" t="str">
        <f>_xlfn.XLOOKUP(C2618,Products!A2618:A3117,Products!B2618:B3117,"Product Missing",0)</f>
        <v>Product Missing</v>
      </c>
      <c r="H2618" s="7" t="str">
        <f>_xlfn.XLOOKUP(C2618,Products!A2618:A3117,Products!C2618:C3117,"Category Missing",0)</f>
        <v>Category Missing</v>
      </c>
      <c r="I2618" s="11" t="str">
        <f>_xlfn.XLOOKUP(Orders!C2618,Products!A2618:A3117,Products!D2618:D3117,"Price Missing",0)</f>
        <v>Price Missing</v>
      </c>
      <c r="J2618" s="19">
        <f t="shared" si="40"/>
        <v>0</v>
      </c>
    </row>
    <row r="2619" spans="1:10" x14ac:dyDescent="0.35">
      <c r="A2619" s="4" t="s">
        <v>6639</v>
      </c>
      <c r="B2619" s="7" t="s">
        <v>1046</v>
      </c>
      <c r="C2619" s="7" t="s">
        <v>3196</v>
      </c>
      <c r="D2619" s="5">
        <v>3</v>
      </c>
      <c r="E2619" s="7" t="str">
        <f>_xlfn.XLOOKUP(B2619,Customers!A2619:A3618,Customers!B2619:B3618,"Customer Not Found",0)</f>
        <v>Customer Not Found</v>
      </c>
      <c r="F2619" s="7" t="str">
        <f>_xlfn.XLOOKUP(Orders!B2619,Customers!A2619:A3618,Customers!C2619:C3618,"Country not Found",0)</f>
        <v>Country not Found</v>
      </c>
      <c r="G2619" s="7" t="str">
        <f>_xlfn.XLOOKUP(C2619,Products!A2619:A3118,Products!B2619:B3118,"Product Missing",0)</f>
        <v>Product Missing</v>
      </c>
      <c r="H2619" s="7" t="str">
        <f>_xlfn.XLOOKUP(C2619,Products!A2619:A3118,Products!C2619:C3118,"Category Missing",0)</f>
        <v>Category Missing</v>
      </c>
      <c r="I2619" s="11" t="str">
        <f>_xlfn.XLOOKUP(Orders!C2619,Products!A2619:A3118,Products!D2619:D3118,"Price Missing",0)</f>
        <v>Price Missing</v>
      </c>
      <c r="J2619" s="19">
        <f t="shared" si="40"/>
        <v>0</v>
      </c>
    </row>
    <row r="2620" spans="1:10" x14ac:dyDescent="0.35">
      <c r="A2620" s="4" t="s">
        <v>6640</v>
      </c>
      <c r="B2620" s="7" t="s">
        <v>335</v>
      </c>
      <c r="C2620" s="7" t="s">
        <v>3132</v>
      </c>
      <c r="D2620" s="5">
        <v>3</v>
      </c>
      <c r="E2620" s="7" t="str">
        <f>_xlfn.XLOOKUP(B2620,Customers!A2620:A3619,Customers!B2620:B3619,"Customer Not Found",0)</f>
        <v>Customer Not Found</v>
      </c>
      <c r="F2620" s="7" t="str">
        <f>_xlfn.XLOOKUP(Orders!B2620,Customers!A2620:A3619,Customers!C2620:C3619,"Country not Found",0)</f>
        <v>Country not Found</v>
      </c>
      <c r="G2620" s="7" t="str">
        <f>_xlfn.XLOOKUP(C2620,Products!A2620:A3119,Products!B2620:B3119,"Product Missing",0)</f>
        <v>Product Missing</v>
      </c>
      <c r="H2620" s="7" t="str">
        <f>_xlfn.XLOOKUP(C2620,Products!A2620:A3119,Products!C2620:C3119,"Category Missing",0)</f>
        <v>Category Missing</v>
      </c>
      <c r="I2620" s="11" t="str">
        <f>_xlfn.XLOOKUP(Orders!C2620,Products!A2620:A3119,Products!D2620:D3119,"Price Missing",0)</f>
        <v>Price Missing</v>
      </c>
      <c r="J2620" s="19">
        <f t="shared" si="40"/>
        <v>0</v>
      </c>
    </row>
    <row r="2621" spans="1:10" x14ac:dyDescent="0.35">
      <c r="A2621" s="4" t="s">
        <v>6641</v>
      </c>
      <c r="B2621" s="7" t="s">
        <v>1847</v>
      </c>
      <c r="C2621" s="7" t="s">
        <v>3242</v>
      </c>
      <c r="D2621" s="5">
        <v>6</v>
      </c>
      <c r="E2621" s="7" t="str">
        <f>_xlfn.XLOOKUP(B2621,Customers!A2621:A3620,Customers!B2621:B3620,"Customer Not Found",0)</f>
        <v>Customer Not Found</v>
      </c>
      <c r="F2621" s="7" t="str">
        <f>_xlfn.XLOOKUP(Orders!B2621,Customers!A2621:A3620,Customers!C2621:C3620,"Country not Found",0)</f>
        <v>Country not Found</v>
      </c>
      <c r="G2621" s="7" t="str">
        <f>_xlfn.XLOOKUP(C2621,Products!A2621:A3120,Products!B2621:B3120,"Product Missing",0)</f>
        <v>Product Missing</v>
      </c>
      <c r="H2621" s="7" t="str">
        <f>_xlfn.XLOOKUP(C2621,Products!A2621:A3120,Products!C2621:C3120,"Category Missing",0)</f>
        <v>Category Missing</v>
      </c>
      <c r="I2621" s="11" t="str">
        <f>_xlfn.XLOOKUP(Orders!C2621,Products!A2621:A3120,Products!D2621:D3120,"Price Missing",0)</f>
        <v>Price Missing</v>
      </c>
      <c r="J2621" s="19">
        <f t="shared" si="40"/>
        <v>0</v>
      </c>
    </row>
    <row r="2622" spans="1:10" x14ac:dyDescent="0.35">
      <c r="A2622" s="4" t="s">
        <v>6642</v>
      </c>
      <c r="B2622" s="7" t="s">
        <v>2426</v>
      </c>
      <c r="C2622" s="7" t="s">
        <v>3566</v>
      </c>
      <c r="D2622" s="5">
        <v>1</v>
      </c>
      <c r="E2622" s="7" t="str">
        <f>_xlfn.XLOOKUP(B2622,Customers!A2622:A3621,Customers!B2622:B3621,"Customer Not Found",0)</f>
        <v>Customer Not Found</v>
      </c>
      <c r="F2622" s="7" t="str">
        <f>_xlfn.XLOOKUP(Orders!B2622,Customers!A2622:A3621,Customers!C2622:C3621,"Country not Found",0)</f>
        <v>Country not Found</v>
      </c>
      <c r="G2622" s="7" t="str">
        <f>_xlfn.XLOOKUP(C2622,Products!A2622:A3121,Products!B2622:B3121,"Product Missing",0)</f>
        <v>Product Missing</v>
      </c>
      <c r="H2622" s="7" t="str">
        <f>_xlfn.XLOOKUP(C2622,Products!A2622:A3121,Products!C2622:C3121,"Category Missing",0)</f>
        <v>Category Missing</v>
      </c>
      <c r="I2622" s="11" t="str">
        <f>_xlfn.XLOOKUP(Orders!C2622,Products!A2622:A3121,Products!D2622:D3121,"Price Missing",0)</f>
        <v>Price Missing</v>
      </c>
      <c r="J2622" s="19">
        <f t="shared" si="40"/>
        <v>0</v>
      </c>
    </row>
    <row r="2623" spans="1:10" x14ac:dyDescent="0.35">
      <c r="A2623" s="4" t="s">
        <v>6643</v>
      </c>
      <c r="B2623" s="7" t="s">
        <v>25</v>
      </c>
      <c r="C2623" s="7" t="s">
        <v>3548</v>
      </c>
      <c r="D2623" s="5">
        <v>4</v>
      </c>
      <c r="E2623" s="7" t="str">
        <f>_xlfn.XLOOKUP(B2623,Customers!A2623:A3622,Customers!B2623:B3622,"Customer Not Found",0)</f>
        <v>Customer Not Found</v>
      </c>
      <c r="F2623" s="7" t="str">
        <f>_xlfn.XLOOKUP(Orders!B2623,Customers!A2623:A3622,Customers!C2623:C3622,"Country not Found",0)</f>
        <v>Country not Found</v>
      </c>
      <c r="G2623" s="7" t="str">
        <f>_xlfn.XLOOKUP(C2623,Products!A2623:A3122,Products!B2623:B3122,"Product Missing",0)</f>
        <v>Product Missing</v>
      </c>
      <c r="H2623" s="7" t="str">
        <f>_xlfn.XLOOKUP(C2623,Products!A2623:A3122,Products!C2623:C3122,"Category Missing",0)</f>
        <v>Category Missing</v>
      </c>
      <c r="I2623" s="11" t="str">
        <f>_xlfn.XLOOKUP(Orders!C2623,Products!A2623:A3122,Products!D2623:D3122,"Price Missing",0)</f>
        <v>Price Missing</v>
      </c>
      <c r="J2623" s="19">
        <f t="shared" si="40"/>
        <v>0</v>
      </c>
    </row>
    <row r="2624" spans="1:10" x14ac:dyDescent="0.35">
      <c r="A2624" s="4" t="s">
        <v>6644</v>
      </c>
      <c r="B2624" s="7" t="s">
        <v>2054</v>
      </c>
      <c r="C2624" s="7" t="s">
        <v>3216</v>
      </c>
      <c r="D2624" s="5">
        <v>1</v>
      </c>
      <c r="E2624" s="7" t="str">
        <f>_xlfn.XLOOKUP(B2624,Customers!A2624:A3623,Customers!B2624:B3623,"Customer Not Found",0)</f>
        <v>Customer Not Found</v>
      </c>
      <c r="F2624" s="7" t="str">
        <f>_xlfn.XLOOKUP(Orders!B2624,Customers!A2624:A3623,Customers!C2624:C3623,"Country not Found",0)</f>
        <v>Country not Found</v>
      </c>
      <c r="G2624" s="7" t="str">
        <f>_xlfn.XLOOKUP(C2624,Products!A2624:A3123,Products!B2624:B3123,"Product Missing",0)</f>
        <v>Product Missing</v>
      </c>
      <c r="H2624" s="7" t="str">
        <f>_xlfn.XLOOKUP(C2624,Products!A2624:A3123,Products!C2624:C3123,"Category Missing",0)</f>
        <v>Category Missing</v>
      </c>
      <c r="I2624" s="11" t="str">
        <f>_xlfn.XLOOKUP(Orders!C2624,Products!A2624:A3123,Products!D2624:D3123,"Price Missing",0)</f>
        <v>Price Missing</v>
      </c>
      <c r="J2624" s="19">
        <f t="shared" si="40"/>
        <v>0</v>
      </c>
    </row>
    <row r="2625" spans="1:10" x14ac:dyDescent="0.35">
      <c r="A2625" s="4" t="s">
        <v>6645</v>
      </c>
      <c r="B2625" s="7" t="s">
        <v>2168</v>
      </c>
      <c r="C2625" s="7" t="s">
        <v>3642</v>
      </c>
      <c r="D2625" s="5">
        <v>5</v>
      </c>
      <c r="E2625" s="7" t="str">
        <f>_xlfn.XLOOKUP(B2625,Customers!A2625:A3624,Customers!B2625:B3624,"Customer Not Found",0)</f>
        <v>Customer Not Found</v>
      </c>
      <c r="F2625" s="7" t="str">
        <f>_xlfn.XLOOKUP(Orders!B2625,Customers!A2625:A3624,Customers!C2625:C3624,"Country not Found",0)</f>
        <v>Country not Found</v>
      </c>
      <c r="G2625" s="7" t="str">
        <f>_xlfn.XLOOKUP(C2625,Products!A2625:A3124,Products!B2625:B3124,"Product Missing",0)</f>
        <v>Product Missing</v>
      </c>
      <c r="H2625" s="7" t="str">
        <f>_xlfn.XLOOKUP(C2625,Products!A2625:A3124,Products!C2625:C3124,"Category Missing",0)</f>
        <v>Category Missing</v>
      </c>
      <c r="I2625" s="11" t="str">
        <f>_xlfn.XLOOKUP(Orders!C2625,Products!A2625:A3124,Products!D2625:D3124,"Price Missing",0)</f>
        <v>Price Missing</v>
      </c>
      <c r="J2625" s="19">
        <f t="shared" si="40"/>
        <v>0</v>
      </c>
    </row>
    <row r="2626" spans="1:10" x14ac:dyDescent="0.35">
      <c r="A2626" s="4" t="s">
        <v>6646</v>
      </c>
      <c r="B2626" s="7" t="s">
        <v>1067</v>
      </c>
      <c r="C2626" s="7" t="s">
        <v>3386</v>
      </c>
      <c r="D2626" s="5">
        <v>7</v>
      </c>
      <c r="E2626" s="7" t="str">
        <f>_xlfn.XLOOKUP(B2626,Customers!A2626:A3625,Customers!B2626:B3625,"Customer Not Found",0)</f>
        <v>Customer Not Found</v>
      </c>
      <c r="F2626" s="7" t="str">
        <f>_xlfn.XLOOKUP(Orders!B2626,Customers!A2626:A3625,Customers!C2626:C3625,"Country not Found",0)</f>
        <v>Country not Found</v>
      </c>
      <c r="G2626" s="7" t="str">
        <f>_xlfn.XLOOKUP(C2626,Products!A2626:A3125,Products!B2626:B3125,"Product Missing",0)</f>
        <v>Product Missing</v>
      </c>
      <c r="H2626" s="7" t="str">
        <f>_xlfn.XLOOKUP(C2626,Products!A2626:A3125,Products!C2626:C3125,"Category Missing",0)</f>
        <v>Category Missing</v>
      </c>
      <c r="I2626" s="11" t="str">
        <f>_xlfn.XLOOKUP(Orders!C2626,Products!A2626:A3125,Products!D2626:D3125,"Price Missing",0)</f>
        <v>Price Missing</v>
      </c>
      <c r="J2626" s="19">
        <f t="shared" si="40"/>
        <v>0</v>
      </c>
    </row>
    <row r="2627" spans="1:10" x14ac:dyDescent="0.35">
      <c r="A2627" s="4" t="s">
        <v>6647</v>
      </c>
      <c r="B2627" s="7" t="s">
        <v>677</v>
      </c>
      <c r="C2627" s="7" t="s">
        <v>3958</v>
      </c>
      <c r="D2627" s="5">
        <v>9</v>
      </c>
      <c r="E2627" s="7" t="str">
        <f>_xlfn.XLOOKUP(B2627,Customers!A2627:A3626,Customers!B2627:B3626,"Customer Not Found",0)</f>
        <v>Customer Not Found</v>
      </c>
      <c r="F2627" s="7" t="str">
        <f>_xlfn.XLOOKUP(Orders!B2627,Customers!A2627:A3626,Customers!C2627:C3626,"Country not Found",0)</f>
        <v>Country not Found</v>
      </c>
      <c r="G2627" s="7" t="str">
        <f>_xlfn.XLOOKUP(C2627,Products!A2627:A3126,Products!B2627:B3126,"Product Missing",0)</f>
        <v>Product Missing</v>
      </c>
      <c r="H2627" s="7" t="str">
        <f>_xlfn.XLOOKUP(C2627,Products!A2627:A3126,Products!C2627:C3126,"Category Missing",0)</f>
        <v>Category Missing</v>
      </c>
      <c r="I2627" s="11" t="str">
        <f>_xlfn.XLOOKUP(Orders!C2627,Products!A2627:A3126,Products!D2627:D3126,"Price Missing",0)</f>
        <v>Price Missing</v>
      </c>
      <c r="J2627" s="19">
        <f t="shared" ref="J2627:J2690" si="41">IFERROR(I2627*D2627,0)</f>
        <v>0</v>
      </c>
    </row>
    <row r="2628" spans="1:10" x14ac:dyDescent="0.35">
      <c r="A2628" s="4" t="s">
        <v>6648</v>
      </c>
      <c r="B2628" s="7" t="s">
        <v>2186</v>
      </c>
      <c r="C2628" s="7" t="s">
        <v>3158</v>
      </c>
      <c r="D2628" s="5">
        <v>6</v>
      </c>
      <c r="E2628" s="7" t="str">
        <f>_xlfn.XLOOKUP(B2628,Customers!A2628:A3627,Customers!B2628:B3627,"Customer Not Found",0)</f>
        <v>Customer Not Found</v>
      </c>
      <c r="F2628" s="7" t="str">
        <f>_xlfn.XLOOKUP(Orders!B2628,Customers!A2628:A3627,Customers!C2628:C3627,"Country not Found",0)</f>
        <v>Country not Found</v>
      </c>
      <c r="G2628" s="7" t="str">
        <f>_xlfn.XLOOKUP(C2628,Products!A2628:A3127,Products!B2628:B3127,"Product Missing",0)</f>
        <v>Product Missing</v>
      </c>
      <c r="H2628" s="7" t="str">
        <f>_xlfn.XLOOKUP(C2628,Products!A2628:A3127,Products!C2628:C3127,"Category Missing",0)</f>
        <v>Category Missing</v>
      </c>
      <c r="I2628" s="11" t="str">
        <f>_xlfn.XLOOKUP(Orders!C2628,Products!A2628:A3127,Products!D2628:D3127,"Price Missing",0)</f>
        <v>Price Missing</v>
      </c>
      <c r="J2628" s="19">
        <f t="shared" si="41"/>
        <v>0</v>
      </c>
    </row>
    <row r="2629" spans="1:10" x14ac:dyDescent="0.35">
      <c r="A2629" s="4" t="s">
        <v>6649</v>
      </c>
      <c r="B2629" s="7" t="s">
        <v>2936</v>
      </c>
      <c r="C2629" s="7" t="s">
        <v>3394</v>
      </c>
      <c r="D2629" s="5">
        <v>10</v>
      </c>
      <c r="E2629" s="7" t="str">
        <f>_xlfn.XLOOKUP(B2629,Customers!A2629:A3628,Customers!B2629:B3628,"Customer Not Found",0)</f>
        <v>Customer Not Found</v>
      </c>
      <c r="F2629" s="7" t="str">
        <f>_xlfn.XLOOKUP(Orders!B2629,Customers!A2629:A3628,Customers!C2629:C3628,"Country not Found",0)</f>
        <v>Country not Found</v>
      </c>
      <c r="G2629" s="7" t="str">
        <f>_xlfn.XLOOKUP(C2629,Products!A2629:A3128,Products!B2629:B3128,"Product Missing",0)</f>
        <v>Product Missing</v>
      </c>
      <c r="H2629" s="7" t="str">
        <f>_xlfn.XLOOKUP(C2629,Products!A2629:A3128,Products!C2629:C3128,"Category Missing",0)</f>
        <v>Category Missing</v>
      </c>
      <c r="I2629" s="11" t="str">
        <f>_xlfn.XLOOKUP(Orders!C2629,Products!A2629:A3128,Products!D2629:D3128,"Price Missing",0)</f>
        <v>Price Missing</v>
      </c>
      <c r="J2629" s="19">
        <f t="shared" si="41"/>
        <v>0</v>
      </c>
    </row>
    <row r="2630" spans="1:10" x14ac:dyDescent="0.35">
      <c r="A2630" s="4" t="s">
        <v>6650</v>
      </c>
      <c r="B2630" s="7" t="s">
        <v>1418</v>
      </c>
      <c r="C2630" s="7" t="s">
        <v>3470</v>
      </c>
      <c r="D2630" s="5">
        <v>2</v>
      </c>
      <c r="E2630" s="7" t="str">
        <f>_xlfn.XLOOKUP(B2630,Customers!A2630:A3629,Customers!B2630:B3629,"Customer Not Found",0)</f>
        <v>Customer Not Found</v>
      </c>
      <c r="F2630" s="7" t="str">
        <f>_xlfn.XLOOKUP(Orders!B2630,Customers!A2630:A3629,Customers!C2630:C3629,"Country not Found",0)</f>
        <v>Country not Found</v>
      </c>
      <c r="G2630" s="7" t="str">
        <f>_xlfn.XLOOKUP(C2630,Products!A2630:A3129,Products!B2630:B3129,"Product Missing",0)</f>
        <v>Product Missing</v>
      </c>
      <c r="H2630" s="7" t="str">
        <f>_xlfn.XLOOKUP(C2630,Products!A2630:A3129,Products!C2630:C3129,"Category Missing",0)</f>
        <v>Category Missing</v>
      </c>
      <c r="I2630" s="11" t="str">
        <f>_xlfn.XLOOKUP(Orders!C2630,Products!A2630:A3129,Products!D2630:D3129,"Price Missing",0)</f>
        <v>Price Missing</v>
      </c>
      <c r="J2630" s="19">
        <f t="shared" si="41"/>
        <v>0</v>
      </c>
    </row>
    <row r="2631" spans="1:10" x14ac:dyDescent="0.35">
      <c r="A2631" s="4" t="s">
        <v>6651</v>
      </c>
      <c r="B2631" s="7" t="s">
        <v>641</v>
      </c>
      <c r="C2631" s="7" t="s">
        <v>3196</v>
      </c>
      <c r="D2631" s="5">
        <v>9</v>
      </c>
      <c r="E2631" s="7" t="str">
        <f>_xlfn.XLOOKUP(B2631,Customers!A2631:A3630,Customers!B2631:B3630,"Customer Not Found",0)</f>
        <v>Customer Not Found</v>
      </c>
      <c r="F2631" s="7" t="str">
        <f>_xlfn.XLOOKUP(Orders!B2631,Customers!A2631:A3630,Customers!C2631:C3630,"Country not Found",0)</f>
        <v>Country not Found</v>
      </c>
      <c r="G2631" s="7" t="str">
        <f>_xlfn.XLOOKUP(C2631,Products!A2631:A3130,Products!B2631:B3130,"Product Missing",0)</f>
        <v>Product Missing</v>
      </c>
      <c r="H2631" s="7" t="str">
        <f>_xlfn.XLOOKUP(C2631,Products!A2631:A3130,Products!C2631:C3130,"Category Missing",0)</f>
        <v>Category Missing</v>
      </c>
      <c r="I2631" s="11" t="str">
        <f>_xlfn.XLOOKUP(Orders!C2631,Products!A2631:A3130,Products!D2631:D3130,"Price Missing",0)</f>
        <v>Price Missing</v>
      </c>
      <c r="J2631" s="19">
        <f t="shared" si="41"/>
        <v>0</v>
      </c>
    </row>
    <row r="2632" spans="1:10" x14ac:dyDescent="0.35">
      <c r="A2632" s="4" t="s">
        <v>6652</v>
      </c>
      <c r="B2632" s="7" t="s">
        <v>4</v>
      </c>
      <c r="C2632" s="7" t="s">
        <v>3428</v>
      </c>
      <c r="D2632" s="5">
        <v>1</v>
      </c>
      <c r="E2632" s="7" t="str">
        <f>_xlfn.XLOOKUP(B2632,Customers!A2632:A3631,Customers!B2632:B3631,"Customer Not Found",0)</f>
        <v>Customer Not Found</v>
      </c>
      <c r="F2632" s="7" t="str">
        <f>_xlfn.XLOOKUP(Orders!B2632,Customers!A2632:A3631,Customers!C2632:C3631,"Country not Found",0)</f>
        <v>Country not Found</v>
      </c>
      <c r="G2632" s="7" t="str">
        <f>_xlfn.XLOOKUP(C2632,Products!A2632:A3131,Products!B2632:B3131,"Product Missing",0)</f>
        <v>Product Missing</v>
      </c>
      <c r="H2632" s="7" t="str">
        <f>_xlfn.XLOOKUP(C2632,Products!A2632:A3131,Products!C2632:C3131,"Category Missing",0)</f>
        <v>Category Missing</v>
      </c>
      <c r="I2632" s="11" t="str">
        <f>_xlfn.XLOOKUP(Orders!C2632,Products!A2632:A3131,Products!D2632:D3131,"Price Missing",0)</f>
        <v>Price Missing</v>
      </c>
      <c r="J2632" s="19">
        <f t="shared" si="41"/>
        <v>0</v>
      </c>
    </row>
    <row r="2633" spans="1:10" x14ac:dyDescent="0.35">
      <c r="A2633" s="4" t="s">
        <v>6653</v>
      </c>
      <c r="B2633" s="7" t="s">
        <v>1814</v>
      </c>
      <c r="C2633" s="7" t="s">
        <v>3146</v>
      </c>
      <c r="D2633" s="5">
        <v>5</v>
      </c>
      <c r="E2633" s="7" t="str">
        <f>_xlfn.XLOOKUP(B2633,Customers!A2633:A3632,Customers!B2633:B3632,"Customer Not Found",0)</f>
        <v>Customer Not Found</v>
      </c>
      <c r="F2633" s="7" t="str">
        <f>_xlfn.XLOOKUP(Orders!B2633,Customers!A2633:A3632,Customers!C2633:C3632,"Country not Found",0)</f>
        <v>Country not Found</v>
      </c>
      <c r="G2633" s="7" t="str">
        <f>_xlfn.XLOOKUP(C2633,Products!A2633:A3132,Products!B2633:B3132,"Product Missing",0)</f>
        <v>Product Missing</v>
      </c>
      <c r="H2633" s="7" t="str">
        <f>_xlfn.XLOOKUP(C2633,Products!A2633:A3132,Products!C2633:C3132,"Category Missing",0)</f>
        <v>Category Missing</v>
      </c>
      <c r="I2633" s="11" t="str">
        <f>_xlfn.XLOOKUP(Orders!C2633,Products!A2633:A3132,Products!D2633:D3132,"Price Missing",0)</f>
        <v>Price Missing</v>
      </c>
      <c r="J2633" s="19">
        <f t="shared" si="41"/>
        <v>0</v>
      </c>
    </row>
    <row r="2634" spans="1:10" x14ac:dyDescent="0.35">
      <c r="A2634" s="4" t="s">
        <v>6654</v>
      </c>
      <c r="B2634" s="7" t="s">
        <v>2486</v>
      </c>
      <c r="C2634" s="7" t="s">
        <v>3420</v>
      </c>
      <c r="D2634" s="5">
        <v>8</v>
      </c>
      <c r="E2634" s="7" t="str">
        <f>_xlfn.XLOOKUP(B2634,Customers!A2634:A3633,Customers!B2634:B3633,"Customer Not Found",0)</f>
        <v>Customer Not Found</v>
      </c>
      <c r="F2634" s="7" t="str">
        <f>_xlfn.XLOOKUP(Orders!B2634,Customers!A2634:A3633,Customers!C2634:C3633,"Country not Found",0)</f>
        <v>Country not Found</v>
      </c>
      <c r="G2634" s="7" t="str">
        <f>_xlfn.XLOOKUP(C2634,Products!A2634:A3133,Products!B2634:B3133,"Product Missing",0)</f>
        <v>Product Missing</v>
      </c>
      <c r="H2634" s="7" t="str">
        <f>_xlfn.XLOOKUP(C2634,Products!A2634:A3133,Products!C2634:C3133,"Category Missing",0)</f>
        <v>Category Missing</v>
      </c>
      <c r="I2634" s="11" t="str">
        <f>_xlfn.XLOOKUP(Orders!C2634,Products!A2634:A3133,Products!D2634:D3133,"Price Missing",0)</f>
        <v>Price Missing</v>
      </c>
      <c r="J2634" s="19">
        <f t="shared" si="41"/>
        <v>0</v>
      </c>
    </row>
    <row r="2635" spans="1:10" x14ac:dyDescent="0.35">
      <c r="A2635" s="4" t="s">
        <v>6655</v>
      </c>
      <c r="B2635" s="7" t="s">
        <v>2300</v>
      </c>
      <c r="C2635" s="7" t="s">
        <v>3190</v>
      </c>
      <c r="D2635" s="5">
        <v>2</v>
      </c>
      <c r="E2635" s="7" t="str">
        <f>_xlfn.XLOOKUP(B2635,Customers!A2635:A3634,Customers!B2635:B3634,"Customer Not Found",0)</f>
        <v>Customer Not Found</v>
      </c>
      <c r="F2635" s="7" t="str">
        <f>_xlfn.XLOOKUP(Orders!B2635,Customers!A2635:A3634,Customers!C2635:C3634,"Country not Found",0)</f>
        <v>Country not Found</v>
      </c>
      <c r="G2635" s="7" t="str">
        <f>_xlfn.XLOOKUP(C2635,Products!A2635:A3134,Products!B2635:B3134,"Product Missing",0)</f>
        <v>Product Missing</v>
      </c>
      <c r="H2635" s="7" t="str">
        <f>_xlfn.XLOOKUP(C2635,Products!A2635:A3134,Products!C2635:C3134,"Category Missing",0)</f>
        <v>Category Missing</v>
      </c>
      <c r="I2635" s="11" t="str">
        <f>_xlfn.XLOOKUP(Orders!C2635,Products!A2635:A3134,Products!D2635:D3134,"Price Missing",0)</f>
        <v>Price Missing</v>
      </c>
      <c r="J2635" s="19">
        <f t="shared" si="41"/>
        <v>0</v>
      </c>
    </row>
    <row r="2636" spans="1:10" x14ac:dyDescent="0.35">
      <c r="A2636" s="4" t="s">
        <v>6656</v>
      </c>
      <c r="B2636" s="7" t="s">
        <v>119</v>
      </c>
      <c r="C2636" s="7" t="s">
        <v>3436</v>
      </c>
      <c r="D2636" s="5">
        <v>1</v>
      </c>
      <c r="E2636" s="7" t="str">
        <f>_xlfn.XLOOKUP(B2636,Customers!A2636:A3635,Customers!B2636:B3635,"Customer Not Found",0)</f>
        <v>Customer Not Found</v>
      </c>
      <c r="F2636" s="7" t="str">
        <f>_xlfn.XLOOKUP(Orders!B2636,Customers!A2636:A3635,Customers!C2636:C3635,"Country not Found",0)</f>
        <v>Country not Found</v>
      </c>
      <c r="G2636" s="7" t="str">
        <f>_xlfn.XLOOKUP(C2636,Products!A2636:A3135,Products!B2636:B3135,"Product Missing",0)</f>
        <v>Product Missing</v>
      </c>
      <c r="H2636" s="7" t="str">
        <f>_xlfn.XLOOKUP(C2636,Products!A2636:A3135,Products!C2636:C3135,"Category Missing",0)</f>
        <v>Category Missing</v>
      </c>
      <c r="I2636" s="11" t="str">
        <f>_xlfn.XLOOKUP(Orders!C2636,Products!A2636:A3135,Products!D2636:D3135,"Price Missing",0)</f>
        <v>Price Missing</v>
      </c>
      <c r="J2636" s="19">
        <f t="shared" si="41"/>
        <v>0</v>
      </c>
    </row>
    <row r="2637" spans="1:10" x14ac:dyDescent="0.35">
      <c r="A2637" s="4" t="s">
        <v>6657</v>
      </c>
      <c r="B2637" s="7" t="s">
        <v>473</v>
      </c>
      <c r="C2637" s="7" t="s">
        <v>3788</v>
      </c>
      <c r="D2637" s="5">
        <v>8</v>
      </c>
      <c r="E2637" s="7" t="str">
        <f>_xlfn.XLOOKUP(B2637,Customers!A2637:A3636,Customers!B2637:B3636,"Customer Not Found",0)</f>
        <v>Customer Not Found</v>
      </c>
      <c r="F2637" s="7" t="str">
        <f>_xlfn.XLOOKUP(Orders!B2637,Customers!A2637:A3636,Customers!C2637:C3636,"Country not Found",0)</f>
        <v>Country not Found</v>
      </c>
      <c r="G2637" s="7" t="str">
        <f>_xlfn.XLOOKUP(C2637,Products!A2637:A3136,Products!B2637:B3136,"Product Missing",0)</f>
        <v>Product Missing</v>
      </c>
      <c r="H2637" s="7" t="str">
        <f>_xlfn.XLOOKUP(C2637,Products!A2637:A3136,Products!C2637:C3136,"Category Missing",0)</f>
        <v>Category Missing</v>
      </c>
      <c r="I2637" s="11" t="str">
        <f>_xlfn.XLOOKUP(Orders!C2637,Products!A2637:A3136,Products!D2637:D3136,"Price Missing",0)</f>
        <v>Price Missing</v>
      </c>
      <c r="J2637" s="19">
        <f t="shared" si="41"/>
        <v>0</v>
      </c>
    </row>
    <row r="2638" spans="1:10" x14ac:dyDescent="0.35">
      <c r="A2638" s="4" t="s">
        <v>6658</v>
      </c>
      <c r="B2638" s="7" t="s">
        <v>2882</v>
      </c>
      <c r="C2638" s="7" t="s">
        <v>3630</v>
      </c>
      <c r="D2638" s="5">
        <v>5</v>
      </c>
      <c r="E2638" s="7" t="str">
        <f>_xlfn.XLOOKUP(B2638,Customers!A2638:A3637,Customers!B2638:B3637,"Customer Not Found",0)</f>
        <v>Customer Not Found</v>
      </c>
      <c r="F2638" s="7" t="str">
        <f>_xlfn.XLOOKUP(Orders!B2638,Customers!A2638:A3637,Customers!C2638:C3637,"Country not Found",0)</f>
        <v>Country not Found</v>
      </c>
      <c r="G2638" s="7" t="str">
        <f>_xlfn.XLOOKUP(C2638,Products!A2638:A3137,Products!B2638:B3137,"Product Missing",0)</f>
        <v>Product Missing</v>
      </c>
      <c r="H2638" s="7" t="str">
        <f>_xlfn.XLOOKUP(C2638,Products!A2638:A3137,Products!C2638:C3137,"Category Missing",0)</f>
        <v>Category Missing</v>
      </c>
      <c r="I2638" s="11" t="str">
        <f>_xlfn.XLOOKUP(Orders!C2638,Products!A2638:A3137,Products!D2638:D3137,"Price Missing",0)</f>
        <v>Price Missing</v>
      </c>
      <c r="J2638" s="19">
        <f t="shared" si="41"/>
        <v>0</v>
      </c>
    </row>
    <row r="2639" spans="1:10" x14ac:dyDescent="0.35">
      <c r="A2639" s="4" t="s">
        <v>6659</v>
      </c>
      <c r="B2639" s="7" t="s">
        <v>3005</v>
      </c>
      <c r="C2639" s="7" t="s">
        <v>3082</v>
      </c>
      <c r="D2639" s="5">
        <v>2</v>
      </c>
      <c r="E2639" s="7" t="str">
        <f>_xlfn.XLOOKUP(B2639,Customers!A2639:A3638,Customers!B2639:B3638,"Customer Not Found",0)</f>
        <v>Customer Not Found</v>
      </c>
      <c r="F2639" s="7" t="str">
        <f>_xlfn.XLOOKUP(Orders!B2639,Customers!A2639:A3638,Customers!C2639:C3638,"Country not Found",0)</f>
        <v>Country not Found</v>
      </c>
      <c r="G2639" s="7" t="str">
        <f>_xlfn.XLOOKUP(C2639,Products!A2639:A3138,Products!B2639:B3138,"Product Missing",0)</f>
        <v>Product Missing</v>
      </c>
      <c r="H2639" s="7" t="str">
        <f>_xlfn.XLOOKUP(C2639,Products!A2639:A3138,Products!C2639:C3138,"Category Missing",0)</f>
        <v>Category Missing</v>
      </c>
      <c r="I2639" s="11" t="str">
        <f>_xlfn.XLOOKUP(Orders!C2639,Products!A2639:A3138,Products!D2639:D3138,"Price Missing",0)</f>
        <v>Price Missing</v>
      </c>
      <c r="J2639" s="19">
        <f t="shared" si="41"/>
        <v>0</v>
      </c>
    </row>
    <row r="2640" spans="1:10" x14ac:dyDescent="0.35">
      <c r="A2640" s="4" t="s">
        <v>6660</v>
      </c>
      <c r="B2640" s="7" t="s">
        <v>1517</v>
      </c>
      <c r="C2640" s="7" t="s">
        <v>3976</v>
      </c>
      <c r="D2640" s="5">
        <v>8</v>
      </c>
      <c r="E2640" s="7" t="str">
        <f>_xlfn.XLOOKUP(B2640,Customers!A2640:A3639,Customers!B2640:B3639,"Customer Not Found",0)</f>
        <v>Customer Not Found</v>
      </c>
      <c r="F2640" s="7" t="str">
        <f>_xlfn.XLOOKUP(Orders!B2640,Customers!A2640:A3639,Customers!C2640:C3639,"Country not Found",0)</f>
        <v>Country not Found</v>
      </c>
      <c r="G2640" s="7" t="str">
        <f>_xlfn.XLOOKUP(C2640,Products!A2640:A3139,Products!B2640:B3139,"Product Missing",0)</f>
        <v>Product Missing</v>
      </c>
      <c r="H2640" s="7" t="str">
        <f>_xlfn.XLOOKUP(C2640,Products!A2640:A3139,Products!C2640:C3139,"Category Missing",0)</f>
        <v>Category Missing</v>
      </c>
      <c r="I2640" s="11" t="str">
        <f>_xlfn.XLOOKUP(Orders!C2640,Products!A2640:A3139,Products!D2640:D3139,"Price Missing",0)</f>
        <v>Price Missing</v>
      </c>
      <c r="J2640" s="19">
        <f t="shared" si="41"/>
        <v>0</v>
      </c>
    </row>
    <row r="2641" spans="1:10" x14ac:dyDescent="0.35">
      <c r="A2641" s="4" t="s">
        <v>6661</v>
      </c>
      <c r="B2641" s="7" t="s">
        <v>1214</v>
      </c>
      <c r="C2641" s="7" t="s">
        <v>3122</v>
      </c>
      <c r="D2641" s="5">
        <v>2</v>
      </c>
      <c r="E2641" s="7" t="str">
        <f>_xlfn.XLOOKUP(B2641,Customers!A2641:A3640,Customers!B2641:B3640,"Customer Not Found",0)</f>
        <v>Customer Not Found</v>
      </c>
      <c r="F2641" s="7" t="str">
        <f>_xlfn.XLOOKUP(Orders!B2641,Customers!A2641:A3640,Customers!C2641:C3640,"Country not Found",0)</f>
        <v>Country not Found</v>
      </c>
      <c r="G2641" s="7" t="str">
        <f>_xlfn.XLOOKUP(C2641,Products!A2641:A3140,Products!B2641:B3140,"Product Missing",0)</f>
        <v>Product Missing</v>
      </c>
      <c r="H2641" s="7" t="str">
        <f>_xlfn.XLOOKUP(C2641,Products!A2641:A3140,Products!C2641:C3140,"Category Missing",0)</f>
        <v>Category Missing</v>
      </c>
      <c r="I2641" s="11" t="str">
        <f>_xlfn.XLOOKUP(Orders!C2641,Products!A2641:A3140,Products!D2641:D3140,"Price Missing",0)</f>
        <v>Price Missing</v>
      </c>
      <c r="J2641" s="19">
        <f t="shared" si="41"/>
        <v>0</v>
      </c>
    </row>
    <row r="2642" spans="1:10" x14ac:dyDescent="0.35">
      <c r="A2642" s="4" t="s">
        <v>6662</v>
      </c>
      <c r="B2642" s="7" t="s">
        <v>752</v>
      </c>
      <c r="C2642" s="7" t="s">
        <v>3878</v>
      </c>
      <c r="D2642" s="5">
        <v>2</v>
      </c>
      <c r="E2642" s="7" t="str">
        <f>_xlfn.XLOOKUP(B2642,Customers!A2642:A3641,Customers!B2642:B3641,"Customer Not Found",0)</f>
        <v>Customer Not Found</v>
      </c>
      <c r="F2642" s="7" t="str">
        <f>_xlfn.XLOOKUP(Orders!B2642,Customers!A2642:A3641,Customers!C2642:C3641,"Country not Found",0)</f>
        <v>Country not Found</v>
      </c>
      <c r="G2642" s="7" t="str">
        <f>_xlfn.XLOOKUP(C2642,Products!A2642:A3141,Products!B2642:B3141,"Product Missing",0)</f>
        <v>Product Missing</v>
      </c>
      <c r="H2642" s="7" t="str">
        <f>_xlfn.XLOOKUP(C2642,Products!A2642:A3141,Products!C2642:C3141,"Category Missing",0)</f>
        <v>Category Missing</v>
      </c>
      <c r="I2642" s="11" t="str">
        <f>_xlfn.XLOOKUP(Orders!C2642,Products!A2642:A3141,Products!D2642:D3141,"Price Missing",0)</f>
        <v>Price Missing</v>
      </c>
      <c r="J2642" s="19">
        <f t="shared" si="41"/>
        <v>0</v>
      </c>
    </row>
    <row r="2643" spans="1:10" x14ac:dyDescent="0.35">
      <c r="A2643" s="4" t="s">
        <v>6663</v>
      </c>
      <c r="B2643" s="7" t="s">
        <v>2858</v>
      </c>
      <c r="C2643" s="7" t="s">
        <v>3418</v>
      </c>
      <c r="D2643" s="5">
        <v>3</v>
      </c>
      <c r="E2643" s="7" t="str">
        <f>_xlfn.XLOOKUP(B2643,Customers!A2643:A3642,Customers!B2643:B3642,"Customer Not Found",0)</f>
        <v>Customer Not Found</v>
      </c>
      <c r="F2643" s="7" t="str">
        <f>_xlfn.XLOOKUP(Orders!B2643,Customers!A2643:A3642,Customers!C2643:C3642,"Country not Found",0)</f>
        <v>Country not Found</v>
      </c>
      <c r="G2643" s="7" t="str">
        <f>_xlfn.XLOOKUP(C2643,Products!A2643:A3142,Products!B2643:B3142,"Product Missing",0)</f>
        <v>Product Missing</v>
      </c>
      <c r="H2643" s="7" t="str">
        <f>_xlfn.XLOOKUP(C2643,Products!A2643:A3142,Products!C2643:C3142,"Category Missing",0)</f>
        <v>Category Missing</v>
      </c>
      <c r="I2643" s="11" t="str">
        <f>_xlfn.XLOOKUP(Orders!C2643,Products!A2643:A3142,Products!D2643:D3142,"Price Missing",0)</f>
        <v>Price Missing</v>
      </c>
      <c r="J2643" s="19">
        <f t="shared" si="41"/>
        <v>0</v>
      </c>
    </row>
    <row r="2644" spans="1:10" x14ac:dyDescent="0.35">
      <c r="A2644" s="4" t="s">
        <v>6664</v>
      </c>
      <c r="B2644" s="7" t="s">
        <v>1736</v>
      </c>
      <c r="C2644" s="7" t="s">
        <v>3996</v>
      </c>
      <c r="D2644" s="5">
        <v>5</v>
      </c>
      <c r="E2644" s="7" t="str">
        <f>_xlfn.XLOOKUP(B2644,Customers!A2644:A3643,Customers!B2644:B3643,"Customer Not Found",0)</f>
        <v>Customer Not Found</v>
      </c>
      <c r="F2644" s="7" t="str">
        <f>_xlfn.XLOOKUP(Orders!B2644,Customers!A2644:A3643,Customers!C2644:C3643,"Country not Found",0)</f>
        <v>Country not Found</v>
      </c>
      <c r="G2644" s="7" t="str">
        <f>_xlfn.XLOOKUP(C2644,Products!A2644:A3143,Products!B2644:B3143,"Product Missing",0)</f>
        <v>Product Missing</v>
      </c>
      <c r="H2644" s="7" t="str">
        <f>_xlfn.XLOOKUP(C2644,Products!A2644:A3143,Products!C2644:C3143,"Category Missing",0)</f>
        <v>Category Missing</v>
      </c>
      <c r="I2644" s="11" t="str">
        <f>_xlfn.XLOOKUP(Orders!C2644,Products!A2644:A3143,Products!D2644:D3143,"Price Missing",0)</f>
        <v>Price Missing</v>
      </c>
      <c r="J2644" s="19">
        <f t="shared" si="41"/>
        <v>0</v>
      </c>
    </row>
    <row r="2645" spans="1:10" x14ac:dyDescent="0.35">
      <c r="A2645" s="4" t="s">
        <v>6665</v>
      </c>
      <c r="B2645" s="7" t="s">
        <v>1037</v>
      </c>
      <c r="C2645" s="7" t="s">
        <v>3812</v>
      </c>
      <c r="D2645" s="5">
        <v>10</v>
      </c>
      <c r="E2645" s="7" t="str">
        <f>_xlfn.XLOOKUP(B2645,Customers!A2645:A3644,Customers!B2645:B3644,"Customer Not Found",0)</f>
        <v>Customer Not Found</v>
      </c>
      <c r="F2645" s="7" t="str">
        <f>_xlfn.XLOOKUP(Orders!B2645,Customers!A2645:A3644,Customers!C2645:C3644,"Country not Found",0)</f>
        <v>Country not Found</v>
      </c>
      <c r="G2645" s="7" t="str">
        <f>_xlfn.XLOOKUP(C2645,Products!A2645:A3144,Products!B2645:B3144,"Product Missing",0)</f>
        <v>Product Missing</v>
      </c>
      <c r="H2645" s="7" t="str">
        <f>_xlfn.XLOOKUP(C2645,Products!A2645:A3144,Products!C2645:C3144,"Category Missing",0)</f>
        <v>Category Missing</v>
      </c>
      <c r="I2645" s="11" t="str">
        <f>_xlfn.XLOOKUP(Orders!C2645,Products!A2645:A3144,Products!D2645:D3144,"Price Missing",0)</f>
        <v>Price Missing</v>
      </c>
      <c r="J2645" s="19">
        <f t="shared" si="41"/>
        <v>0</v>
      </c>
    </row>
    <row r="2646" spans="1:10" x14ac:dyDescent="0.35">
      <c r="A2646" s="4" t="s">
        <v>6666</v>
      </c>
      <c r="B2646" s="7" t="s">
        <v>1898</v>
      </c>
      <c r="C2646" s="7" t="s">
        <v>3440</v>
      </c>
      <c r="D2646" s="5">
        <v>7</v>
      </c>
      <c r="E2646" s="7" t="str">
        <f>_xlfn.XLOOKUP(B2646,Customers!A2646:A3645,Customers!B2646:B3645,"Customer Not Found",0)</f>
        <v>Customer Not Found</v>
      </c>
      <c r="F2646" s="7" t="str">
        <f>_xlfn.XLOOKUP(Orders!B2646,Customers!A2646:A3645,Customers!C2646:C3645,"Country not Found",0)</f>
        <v>Country not Found</v>
      </c>
      <c r="G2646" s="7" t="str">
        <f>_xlfn.XLOOKUP(C2646,Products!A2646:A3145,Products!B2646:B3145,"Product Missing",0)</f>
        <v>Product Missing</v>
      </c>
      <c r="H2646" s="7" t="str">
        <f>_xlfn.XLOOKUP(C2646,Products!A2646:A3145,Products!C2646:C3145,"Category Missing",0)</f>
        <v>Category Missing</v>
      </c>
      <c r="I2646" s="11" t="str">
        <f>_xlfn.XLOOKUP(Orders!C2646,Products!A2646:A3145,Products!D2646:D3145,"Price Missing",0)</f>
        <v>Price Missing</v>
      </c>
      <c r="J2646" s="19">
        <f t="shared" si="41"/>
        <v>0</v>
      </c>
    </row>
    <row r="2647" spans="1:10" x14ac:dyDescent="0.35">
      <c r="A2647" s="4" t="s">
        <v>6667</v>
      </c>
      <c r="B2647" s="7" t="s">
        <v>194</v>
      </c>
      <c r="C2647" s="7" t="s">
        <v>4000</v>
      </c>
      <c r="D2647" s="5">
        <v>8</v>
      </c>
      <c r="E2647" s="7" t="str">
        <f>_xlfn.XLOOKUP(B2647,Customers!A2647:A3646,Customers!B2647:B3646,"Customer Not Found",0)</f>
        <v>Customer Not Found</v>
      </c>
      <c r="F2647" s="7" t="str">
        <f>_xlfn.XLOOKUP(Orders!B2647,Customers!A2647:A3646,Customers!C2647:C3646,"Country not Found",0)</f>
        <v>Country not Found</v>
      </c>
      <c r="G2647" s="7" t="str">
        <f>_xlfn.XLOOKUP(C2647,Products!A2647:A3146,Products!B2647:B3146,"Product Missing",0)</f>
        <v>Product Missing</v>
      </c>
      <c r="H2647" s="7" t="str">
        <f>_xlfn.XLOOKUP(C2647,Products!A2647:A3146,Products!C2647:C3146,"Category Missing",0)</f>
        <v>Category Missing</v>
      </c>
      <c r="I2647" s="11" t="str">
        <f>_xlfn.XLOOKUP(Orders!C2647,Products!A2647:A3146,Products!D2647:D3146,"Price Missing",0)</f>
        <v>Price Missing</v>
      </c>
      <c r="J2647" s="19">
        <f t="shared" si="41"/>
        <v>0</v>
      </c>
    </row>
    <row r="2648" spans="1:10" x14ac:dyDescent="0.35">
      <c r="A2648" s="4" t="s">
        <v>6668</v>
      </c>
      <c r="B2648" s="7" t="s">
        <v>1814</v>
      </c>
      <c r="C2648" s="7" t="s">
        <v>3248</v>
      </c>
      <c r="D2648" s="5">
        <v>5</v>
      </c>
      <c r="E2648" s="7" t="str">
        <f>_xlfn.XLOOKUP(B2648,Customers!A2648:A3647,Customers!B2648:B3647,"Customer Not Found",0)</f>
        <v>Customer Not Found</v>
      </c>
      <c r="F2648" s="7" t="str">
        <f>_xlfn.XLOOKUP(Orders!B2648,Customers!A2648:A3647,Customers!C2648:C3647,"Country not Found",0)</f>
        <v>Country not Found</v>
      </c>
      <c r="G2648" s="7" t="str">
        <f>_xlfn.XLOOKUP(C2648,Products!A2648:A3147,Products!B2648:B3147,"Product Missing",0)</f>
        <v>Product Missing</v>
      </c>
      <c r="H2648" s="7" t="str">
        <f>_xlfn.XLOOKUP(C2648,Products!A2648:A3147,Products!C2648:C3147,"Category Missing",0)</f>
        <v>Category Missing</v>
      </c>
      <c r="I2648" s="11" t="str">
        <f>_xlfn.XLOOKUP(Orders!C2648,Products!A2648:A3147,Products!D2648:D3147,"Price Missing",0)</f>
        <v>Price Missing</v>
      </c>
      <c r="J2648" s="19">
        <f t="shared" si="41"/>
        <v>0</v>
      </c>
    </row>
    <row r="2649" spans="1:10" x14ac:dyDescent="0.35">
      <c r="A2649" s="4" t="s">
        <v>6669</v>
      </c>
      <c r="B2649" s="7" t="s">
        <v>2192</v>
      </c>
      <c r="C2649" s="7" t="s">
        <v>3344</v>
      </c>
      <c r="D2649" s="5">
        <v>2</v>
      </c>
      <c r="E2649" s="7" t="str">
        <f>_xlfn.XLOOKUP(B2649,Customers!A2649:A3648,Customers!B2649:B3648,"Customer Not Found",0)</f>
        <v>Customer Not Found</v>
      </c>
      <c r="F2649" s="7" t="str">
        <f>_xlfn.XLOOKUP(Orders!B2649,Customers!A2649:A3648,Customers!C2649:C3648,"Country not Found",0)</f>
        <v>Country not Found</v>
      </c>
      <c r="G2649" s="7" t="str">
        <f>_xlfn.XLOOKUP(C2649,Products!A2649:A3148,Products!B2649:B3148,"Product Missing",0)</f>
        <v>Product Missing</v>
      </c>
      <c r="H2649" s="7" t="str">
        <f>_xlfn.XLOOKUP(C2649,Products!A2649:A3148,Products!C2649:C3148,"Category Missing",0)</f>
        <v>Category Missing</v>
      </c>
      <c r="I2649" s="11" t="str">
        <f>_xlfn.XLOOKUP(Orders!C2649,Products!A2649:A3148,Products!D2649:D3148,"Price Missing",0)</f>
        <v>Price Missing</v>
      </c>
      <c r="J2649" s="19">
        <f t="shared" si="41"/>
        <v>0</v>
      </c>
    </row>
    <row r="2650" spans="1:10" x14ac:dyDescent="0.35">
      <c r="A2650" s="4" t="s">
        <v>6670</v>
      </c>
      <c r="B2650" s="7" t="s">
        <v>1145</v>
      </c>
      <c r="C2650" s="7" t="s">
        <v>3774</v>
      </c>
      <c r="D2650" s="5">
        <v>9</v>
      </c>
      <c r="E2650" s="7" t="str">
        <f>_xlfn.XLOOKUP(B2650,Customers!A2650:A3649,Customers!B2650:B3649,"Customer Not Found",0)</f>
        <v>Customer Not Found</v>
      </c>
      <c r="F2650" s="7" t="str">
        <f>_xlfn.XLOOKUP(Orders!B2650,Customers!A2650:A3649,Customers!C2650:C3649,"Country not Found",0)</f>
        <v>Country not Found</v>
      </c>
      <c r="G2650" s="7" t="str">
        <f>_xlfn.XLOOKUP(C2650,Products!A2650:A3149,Products!B2650:B3149,"Product Missing",0)</f>
        <v>Product Missing</v>
      </c>
      <c r="H2650" s="7" t="str">
        <f>_xlfn.XLOOKUP(C2650,Products!A2650:A3149,Products!C2650:C3149,"Category Missing",0)</f>
        <v>Category Missing</v>
      </c>
      <c r="I2650" s="11" t="str">
        <f>_xlfn.XLOOKUP(Orders!C2650,Products!A2650:A3149,Products!D2650:D3149,"Price Missing",0)</f>
        <v>Price Missing</v>
      </c>
      <c r="J2650" s="19">
        <f t="shared" si="41"/>
        <v>0</v>
      </c>
    </row>
    <row r="2651" spans="1:10" x14ac:dyDescent="0.35">
      <c r="A2651" s="4" t="s">
        <v>6671</v>
      </c>
      <c r="B2651" s="7" t="s">
        <v>58</v>
      </c>
      <c r="C2651" s="7" t="s">
        <v>3348</v>
      </c>
      <c r="D2651" s="5">
        <v>9</v>
      </c>
      <c r="E2651" s="7" t="str">
        <f>_xlfn.XLOOKUP(B2651,Customers!A2651:A3650,Customers!B2651:B3650,"Customer Not Found",0)</f>
        <v>Customer Not Found</v>
      </c>
      <c r="F2651" s="7" t="str">
        <f>_xlfn.XLOOKUP(Orders!B2651,Customers!A2651:A3650,Customers!C2651:C3650,"Country not Found",0)</f>
        <v>Country not Found</v>
      </c>
      <c r="G2651" s="7" t="str">
        <f>_xlfn.XLOOKUP(C2651,Products!A2651:A3150,Products!B2651:B3150,"Product Missing",0)</f>
        <v>Product Missing</v>
      </c>
      <c r="H2651" s="7" t="str">
        <f>_xlfn.XLOOKUP(C2651,Products!A2651:A3150,Products!C2651:C3150,"Category Missing",0)</f>
        <v>Category Missing</v>
      </c>
      <c r="I2651" s="11" t="str">
        <f>_xlfn.XLOOKUP(Orders!C2651,Products!A2651:A3150,Products!D2651:D3150,"Price Missing",0)</f>
        <v>Price Missing</v>
      </c>
      <c r="J2651" s="19">
        <f t="shared" si="41"/>
        <v>0</v>
      </c>
    </row>
    <row r="2652" spans="1:10" x14ac:dyDescent="0.35">
      <c r="A2652" s="4" t="s">
        <v>6672</v>
      </c>
      <c r="B2652" s="7" t="s">
        <v>2714</v>
      </c>
      <c r="C2652" s="7" t="s">
        <v>3982</v>
      </c>
      <c r="D2652" s="5">
        <v>9</v>
      </c>
      <c r="E2652" s="7" t="str">
        <f>_xlfn.XLOOKUP(B2652,Customers!A2652:A3651,Customers!B2652:B3651,"Customer Not Found",0)</f>
        <v>Customer Not Found</v>
      </c>
      <c r="F2652" s="7" t="str">
        <f>_xlfn.XLOOKUP(Orders!B2652,Customers!A2652:A3651,Customers!C2652:C3651,"Country not Found",0)</f>
        <v>Country not Found</v>
      </c>
      <c r="G2652" s="7" t="str">
        <f>_xlfn.XLOOKUP(C2652,Products!A2652:A3151,Products!B2652:B3151,"Product Missing",0)</f>
        <v>Product Missing</v>
      </c>
      <c r="H2652" s="7" t="str">
        <f>_xlfn.XLOOKUP(C2652,Products!A2652:A3151,Products!C2652:C3151,"Category Missing",0)</f>
        <v>Category Missing</v>
      </c>
      <c r="I2652" s="11" t="str">
        <f>_xlfn.XLOOKUP(Orders!C2652,Products!A2652:A3151,Products!D2652:D3151,"Price Missing",0)</f>
        <v>Price Missing</v>
      </c>
      <c r="J2652" s="19">
        <f t="shared" si="41"/>
        <v>0</v>
      </c>
    </row>
    <row r="2653" spans="1:10" x14ac:dyDescent="0.35">
      <c r="A2653" s="4" t="s">
        <v>6673</v>
      </c>
      <c r="B2653" s="7" t="s">
        <v>2792</v>
      </c>
      <c r="C2653" s="7" t="s">
        <v>3576</v>
      </c>
      <c r="D2653" s="5">
        <v>4</v>
      </c>
      <c r="E2653" s="7" t="str">
        <f>_xlfn.XLOOKUP(B2653,Customers!A2653:A3652,Customers!B2653:B3652,"Customer Not Found",0)</f>
        <v>Customer Not Found</v>
      </c>
      <c r="F2653" s="7" t="str">
        <f>_xlfn.XLOOKUP(Orders!B2653,Customers!A2653:A3652,Customers!C2653:C3652,"Country not Found",0)</f>
        <v>Country not Found</v>
      </c>
      <c r="G2653" s="7" t="str">
        <f>_xlfn.XLOOKUP(C2653,Products!A2653:A3152,Products!B2653:B3152,"Product Missing",0)</f>
        <v>Product Missing</v>
      </c>
      <c r="H2653" s="7" t="str">
        <f>_xlfn.XLOOKUP(C2653,Products!A2653:A3152,Products!C2653:C3152,"Category Missing",0)</f>
        <v>Category Missing</v>
      </c>
      <c r="I2653" s="11" t="str">
        <f>_xlfn.XLOOKUP(Orders!C2653,Products!A2653:A3152,Products!D2653:D3152,"Price Missing",0)</f>
        <v>Price Missing</v>
      </c>
      <c r="J2653" s="19">
        <f t="shared" si="41"/>
        <v>0</v>
      </c>
    </row>
    <row r="2654" spans="1:10" x14ac:dyDescent="0.35">
      <c r="A2654" s="4" t="s">
        <v>6674</v>
      </c>
      <c r="B2654" s="7" t="s">
        <v>701</v>
      </c>
      <c r="C2654" s="7" t="s">
        <v>3330</v>
      </c>
      <c r="D2654" s="5">
        <v>5</v>
      </c>
      <c r="E2654" s="7" t="str">
        <f>_xlfn.XLOOKUP(B2654,Customers!A2654:A3653,Customers!B2654:B3653,"Customer Not Found",0)</f>
        <v>Customer Not Found</v>
      </c>
      <c r="F2654" s="7" t="str">
        <f>_xlfn.XLOOKUP(Orders!B2654,Customers!A2654:A3653,Customers!C2654:C3653,"Country not Found",0)</f>
        <v>Country not Found</v>
      </c>
      <c r="G2654" s="7" t="str">
        <f>_xlfn.XLOOKUP(C2654,Products!A2654:A3153,Products!B2654:B3153,"Product Missing",0)</f>
        <v>Product Missing</v>
      </c>
      <c r="H2654" s="7" t="str">
        <f>_xlfn.XLOOKUP(C2654,Products!A2654:A3153,Products!C2654:C3153,"Category Missing",0)</f>
        <v>Category Missing</v>
      </c>
      <c r="I2654" s="11" t="str">
        <f>_xlfn.XLOOKUP(Orders!C2654,Products!A2654:A3153,Products!D2654:D3153,"Price Missing",0)</f>
        <v>Price Missing</v>
      </c>
      <c r="J2654" s="19">
        <f t="shared" si="41"/>
        <v>0</v>
      </c>
    </row>
    <row r="2655" spans="1:10" x14ac:dyDescent="0.35">
      <c r="A2655" s="4" t="s">
        <v>6675</v>
      </c>
      <c r="B2655" s="7" t="s">
        <v>2459</v>
      </c>
      <c r="C2655" s="7" t="s">
        <v>3536</v>
      </c>
      <c r="D2655" s="5">
        <v>9</v>
      </c>
      <c r="E2655" s="7" t="str">
        <f>_xlfn.XLOOKUP(B2655,Customers!A2655:A3654,Customers!B2655:B3654,"Customer Not Found",0)</f>
        <v>Customer Not Found</v>
      </c>
      <c r="F2655" s="7" t="str">
        <f>_xlfn.XLOOKUP(Orders!B2655,Customers!A2655:A3654,Customers!C2655:C3654,"Country not Found",0)</f>
        <v>Country not Found</v>
      </c>
      <c r="G2655" s="7" t="str">
        <f>_xlfn.XLOOKUP(C2655,Products!A2655:A3154,Products!B2655:B3154,"Product Missing",0)</f>
        <v>Product Missing</v>
      </c>
      <c r="H2655" s="7" t="str">
        <f>_xlfn.XLOOKUP(C2655,Products!A2655:A3154,Products!C2655:C3154,"Category Missing",0)</f>
        <v>Category Missing</v>
      </c>
      <c r="I2655" s="11" t="str">
        <f>_xlfn.XLOOKUP(Orders!C2655,Products!A2655:A3154,Products!D2655:D3154,"Price Missing",0)</f>
        <v>Price Missing</v>
      </c>
      <c r="J2655" s="19">
        <f t="shared" si="41"/>
        <v>0</v>
      </c>
    </row>
    <row r="2656" spans="1:10" x14ac:dyDescent="0.35">
      <c r="A2656" s="4" t="s">
        <v>6676</v>
      </c>
      <c r="B2656" s="7" t="s">
        <v>2417</v>
      </c>
      <c r="C2656" s="7" t="s">
        <v>3694</v>
      </c>
      <c r="D2656" s="5">
        <v>3</v>
      </c>
      <c r="E2656" s="7" t="str">
        <f>_xlfn.XLOOKUP(B2656,Customers!A2656:A3655,Customers!B2656:B3655,"Customer Not Found",0)</f>
        <v>Customer Not Found</v>
      </c>
      <c r="F2656" s="7" t="str">
        <f>_xlfn.XLOOKUP(Orders!B2656,Customers!A2656:A3655,Customers!C2656:C3655,"Country not Found",0)</f>
        <v>Country not Found</v>
      </c>
      <c r="G2656" s="7" t="str">
        <f>_xlfn.XLOOKUP(C2656,Products!A2656:A3155,Products!B2656:B3155,"Product Missing",0)</f>
        <v>Product Missing</v>
      </c>
      <c r="H2656" s="7" t="str">
        <f>_xlfn.XLOOKUP(C2656,Products!A2656:A3155,Products!C2656:C3155,"Category Missing",0)</f>
        <v>Category Missing</v>
      </c>
      <c r="I2656" s="11" t="str">
        <f>_xlfn.XLOOKUP(Orders!C2656,Products!A2656:A3155,Products!D2656:D3155,"Price Missing",0)</f>
        <v>Price Missing</v>
      </c>
      <c r="J2656" s="19">
        <f t="shared" si="41"/>
        <v>0</v>
      </c>
    </row>
    <row r="2657" spans="1:10" x14ac:dyDescent="0.35">
      <c r="A2657" s="4" t="s">
        <v>6677</v>
      </c>
      <c r="B2657" s="7" t="s">
        <v>311</v>
      </c>
      <c r="C2657" s="7" t="s">
        <v>3204</v>
      </c>
      <c r="D2657" s="5">
        <v>9</v>
      </c>
      <c r="E2657" s="7" t="str">
        <f>_xlfn.XLOOKUP(B2657,Customers!A2657:A3656,Customers!B2657:B3656,"Customer Not Found",0)</f>
        <v>Customer Not Found</v>
      </c>
      <c r="F2657" s="7" t="str">
        <f>_xlfn.XLOOKUP(Orders!B2657,Customers!A2657:A3656,Customers!C2657:C3656,"Country not Found",0)</f>
        <v>Country not Found</v>
      </c>
      <c r="G2657" s="7" t="str">
        <f>_xlfn.XLOOKUP(C2657,Products!A2657:A3156,Products!B2657:B3156,"Product Missing",0)</f>
        <v>Product Missing</v>
      </c>
      <c r="H2657" s="7" t="str">
        <f>_xlfn.XLOOKUP(C2657,Products!A2657:A3156,Products!C2657:C3156,"Category Missing",0)</f>
        <v>Category Missing</v>
      </c>
      <c r="I2657" s="11" t="str">
        <f>_xlfn.XLOOKUP(Orders!C2657,Products!A2657:A3156,Products!D2657:D3156,"Price Missing",0)</f>
        <v>Price Missing</v>
      </c>
      <c r="J2657" s="19">
        <f t="shared" si="41"/>
        <v>0</v>
      </c>
    </row>
    <row r="2658" spans="1:10" x14ac:dyDescent="0.35">
      <c r="A2658" s="4" t="s">
        <v>6678</v>
      </c>
      <c r="B2658" s="7" t="s">
        <v>39</v>
      </c>
      <c r="C2658" s="7" t="s">
        <v>3708</v>
      </c>
      <c r="D2658" s="5">
        <v>5</v>
      </c>
      <c r="E2658" s="7" t="str">
        <f>_xlfn.XLOOKUP(B2658,Customers!A2658:A3657,Customers!B2658:B3657,"Customer Not Found",0)</f>
        <v>Customer Not Found</v>
      </c>
      <c r="F2658" s="7" t="str">
        <f>_xlfn.XLOOKUP(Orders!B2658,Customers!A2658:A3657,Customers!C2658:C3657,"Country not Found",0)</f>
        <v>Country not Found</v>
      </c>
      <c r="G2658" s="7" t="str">
        <f>_xlfn.XLOOKUP(C2658,Products!A2658:A3157,Products!B2658:B3157,"Product Missing",0)</f>
        <v>Product Missing</v>
      </c>
      <c r="H2658" s="7" t="str">
        <f>_xlfn.XLOOKUP(C2658,Products!A2658:A3157,Products!C2658:C3157,"Category Missing",0)</f>
        <v>Category Missing</v>
      </c>
      <c r="I2658" s="11" t="str">
        <f>_xlfn.XLOOKUP(Orders!C2658,Products!A2658:A3157,Products!D2658:D3157,"Price Missing",0)</f>
        <v>Price Missing</v>
      </c>
      <c r="J2658" s="19">
        <f t="shared" si="41"/>
        <v>0</v>
      </c>
    </row>
    <row r="2659" spans="1:10" x14ac:dyDescent="0.35">
      <c r="A2659" s="4" t="s">
        <v>6679</v>
      </c>
      <c r="B2659" s="7" t="s">
        <v>1340</v>
      </c>
      <c r="C2659" s="7" t="s">
        <v>3728</v>
      </c>
      <c r="D2659" s="5">
        <v>1</v>
      </c>
      <c r="E2659" s="7" t="str">
        <f>_xlfn.XLOOKUP(B2659,Customers!A2659:A3658,Customers!B2659:B3658,"Customer Not Found",0)</f>
        <v>Customer Not Found</v>
      </c>
      <c r="F2659" s="7" t="str">
        <f>_xlfn.XLOOKUP(Orders!B2659,Customers!A2659:A3658,Customers!C2659:C3658,"Country not Found",0)</f>
        <v>Country not Found</v>
      </c>
      <c r="G2659" s="7" t="str">
        <f>_xlfn.XLOOKUP(C2659,Products!A2659:A3158,Products!B2659:B3158,"Product Missing",0)</f>
        <v>Product Missing</v>
      </c>
      <c r="H2659" s="7" t="str">
        <f>_xlfn.XLOOKUP(C2659,Products!A2659:A3158,Products!C2659:C3158,"Category Missing",0)</f>
        <v>Category Missing</v>
      </c>
      <c r="I2659" s="11" t="str">
        <f>_xlfn.XLOOKUP(Orders!C2659,Products!A2659:A3158,Products!D2659:D3158,"Price Missing",0)</f>
        <v>Price Missing</v>
      </c>
      <c r="J2659" s="19">
        <f t="shared" si="41"/>
        <v>0</v>
      </c>
    </row>
    <row r="2660" spans="1:10" x14ac:dyDescent="0.35">
      <c r="A2660" s="4" t="s">
        <v>6680</v>
      </c>
      <c r="B2660" s="7" t="s">
        <v>1319</v>
      </c>
      <c r="C2660" s="7" t="s">
        <v>3642</v>
      </c>
      <c r="D2660" s="5">
        <v>5</v>
      </c>
      <c r="E2660" s="7" t="str">
        <f>_xlfn.XLOOKUP(B2660,Customers!A2660:A3659,Customers!B2660:B3659,"Customer Not Found",0)</f>
        <v>Customer Not Found</v>
      </c>
      <c r="F2660" s="7" t="str">
        <f>_xlfn.XLOOKUP(Orders!B2660,Customers!A2660:A3659,Customers!C2660:C3659,"Country not Found",0)</f>
        <v>Country not Found</v>
      </c>
      <c r="G2660" s="7" t="str">
        <f>_xlfn.XLOOKUP(C2660,Products!A2660:A3159,Products!B2660:B3159,"Product Missing",0)</f>
        <v>Product Missing</v>
      </c>
      <c r="H2660" s="7" t="str">
        <f>_xlfn.XLOOKUP(C2660,Products!A2660:A3159,Products!C2660:C3159,"Category Missing",0)</f>
        <v>Category Missing</v>
      </c>
      <c r="I2660" s="11" t="str">
        <f>_xlfn.XLOOKUP(Orders!C2660,Products!A2660:A3159,Products!D2660:D3159,"Price Missing",0)</f>
        <v>Price Missing</v>
      </c>
      <c r="J2660" s="19">
        <f t="shared" si="41"/>
        <v>0</v>
      </c>
    </row>
    <row r="2661" spans="1:10" x14ac:dyDescent="0.35">
      <c r="A2661" s="4" t="s">
        <v>6681</v>
      </c>
      <c r="B2661" s="7" t="s">
        <v>1997</v>
      </c>
      <c r="C2661" s="7" t="s">
        <v>3816</v>
      </c>
      <c r="D2661" s="5">
        <v>3</v>
      </c>
      <c r="E2661" s="7" t="str">
        <f>_xlfn.XLOOKUP(B2661,Customers!A2661:A3660,Customers!B2661:B3660,"Customer Not Found",0)</f>
        <v>Customer Not Found</v>
      </c>
      <c r="F2661" s="7" t="str">
        <f>_xlfn.XLOOKUP(Orders!B2661,Customers!A2661:A3660,Customers!C2661:C3660,"Country not Found",0)</f>
        <v>Country not Found</v>
      </c>
      <c r="G2661" s="7" t="str">
        <f>_xlfn.XLOOKUP(C2661,Products!A2661:A3160,Products!B2661:B3160,"Product Missing",0)</f>
        <v>Product Missing</v>
      </c>
      <c r="H2661" s="7" t="str">
        <f>_xlfn.XLOOKUP(C2661,Products!A2661:A3160,Products!C2661:C3160,"Category Missing",0)</f>
        <v>Category Missing</v>
      </c>
      <c r="I2661" s="11" t="str">
        <f>_xlfn.XLOOKUP(Orders!C2661,Products!A2661:A3160,Products!D2661:D3160,"Price Missing",0)</f>
        <v>Price Missing</v>
      </c>
      <c r="J2661" s="19">
        <f t="shared" si="41"/>
        <v>0</v>
      </c>
    </row>
    <row r="2662" spans="1:10" x14ac:dyDescent="0.35">
      <c r="A2662" s="4" t="s">
        <v>6682</v>
      </c>
      <c r="B2662" s="7" t="s">
        <v>2321</v>
      </c>
      <c r="C2662" s="7" t="s">
        <v>3260</v>
      </c>
      <c r="D2662" s="5">
        <v>3</v>
      </c>
      <c r="E2662" s="7" t="str">
        <f>_xlfn.XLOOKUP(B2662,Customers!A2662:A3661,Customers!B2662:B3661,"Customer Not Found",0)</f>
        <v>Customer Not Found</v>
      </c>
      <c r="F2662" s="7" t="str">
        <f>_xlfn.XLOOKUP(Orders!B2662,Customers!A2662:A3661,Customers!C2662:C3661,"Country not Found",0)</f>
        <v>Country not Found</v>
      </c>
      <c r="G2662" s="7" t="str">
        <f>_xlfn.XLOOKUP(C2662,Products!A2662:A3161,Products!B2662:B3161,"Product Missing",0)</f>
        <v>Product Missing</v>
      </c>
      <c r="H2662" s="7" t="str">
        <f>_xlfn.XLOOKUP(C2662,Products!A2662:A3161,Products!C2662:C3161,"Category Missing",0)</f>
        <v>Category Missing</v>
      </c>
      <c r="I2662" s="11" t="str">
        <f>_xlfn.XLOOKUP(Orders!C2662,Products!A2662:A3161,Products!D2662:D3161,"Price Missing",0)</f>
        <v>Price Missing</v>
      </c>
      <c r="J2662" s="19">
        <f t="shared" si="41"/>
        <v>0</v>
      </c>
    </row>
    <row r="2663" spans="1:10" x14ac:dyDescent="0.35">
      <c r="A2663" s="4" t="s">
        <v>6683</v>
      </c>
      <c r="B2663" s="7" t="s">
        <v>2660</v>
      </c>
      <c r="C2663" s="7" t="s">
        <v>3514</v>
      </c>
      <c r="D2663" s="5">
        <v>5</v>
      </c>
      <c r="E2663" s="7" t="str">
        <f>_xlfn.XLOOKUP(B2663,Customers!A2663:A3662,Customers!B2663:B3662,"Customer Not Found",0)</f>
        <v>Customer Not Found</v>
      </c>
      <c r="F2663" s="7" t="str">
        <f>_xlfn.XLOOKUP(Orders!B2663,Customers!A2663:A3662,Customers!C2663:C3662,"Country not Found",0)</f>
        <v>Country not Found</v>
      </c>
      <c r="G2663" s="7" t="str">
        <f>_xlfn.XLOOKUP(C2663,Products!A2663:A3162,Products!B2663:B3162,"Product Missing",0)</f>
        <v>Product Missing</v>
      </c>
      <c r="H2663" s="7" t="str">
        <f>_xlfn.XLOOKUP(C2663,Products!A2663:A3162,Products!C2663:C3162,"Category Missing",0)</f>
        <v>Category Missing</v>
      </c>
      <c r="I2663" s="11" t="str">
        <f>_xlfn.XLOOKUP(Orders!C2663,Products!A2663:A3162,Products!D2663:D3162,"Price Missing",0)</f>
        <v>Price Missing</v>
      </c>
      <c r="J2663" s="19">
        <f t="shared" si="41"/>
        <v>0</v>
      </c>
    </row>
    <row r="2664" spans="1:10" x14ac:dyDescent="0.35">
      <c r="A2664" s="4" t="s">
        <v>6684</v>
      </c>
      <c r="B2664" s="7" t="s">
        <v>503</v>
      </c>
      <c r="C2664" s="7" t="s">
        <v>3894</v>
      </c>
      <c r="D2664" s="5">
        <v>10</v>
      </c>
      <c r="E2664" s="7" t="str">
        <f>_xlfn.XLOOKUP(B2664,Customers!A2664:A3663,Customers!B2664:B3663,"Customer Not Found",0)</f>
        <v>Customer Not Found</v>
      </c>
      <c r="F2664" s="7" t="str">
        <f>_xlfn.XLOOKUP(Orders!B2664,Customers!A2664:A3663,Customers!C2664:C3663,"Country not Found",0)</f>
        <v>Country not Found</v>
      </c>
      <c r="G2664" s="7" t="str">
        <f>_xlfn.XLOOKUP(C2664,Products!A2664:A3163,Products!B2664:B3163,"Product Missing",0)</f>
        <v>Product Missing</v>
      </c>
      <c r="H2664" s="7" t="str">
        <f>_xlfn.XLOOKUP(C2664,Products!A2664:A3163,Products!C2664:C3163,"Category Missing",0)</f>
        <v>Category Missing</v>
      </c>
      <c r="I2664" s="11" t="str">
        <f>_xlfn.XLOOKUP(Orders!C2664,Products!A2664:A3163,Products!D2664:D3163,"Price Missing",0)</f>
        <v>Price Missing</v>
      </c>
      <c r="J2664" s="19">
        <f t="shared" si="41"/>
        <v>0</v>
      </c>
    </row>
    <row r="2665" spans="1:10" x14ac:dyDescent="0.35">
      <c r="A2665" s="4" t="s">
        <v>6685</v>
      </c>
      <c r="B2665" s="7" t="s">
        <v>2033</v>
      </c>
      <c r="C2665" s="7" t="s">
        <v>3430</v>
      </c>
      <c r="D2665" s="5">
        <v>2</v>
      </c>
      <c r="E2665" s="7" t="str">
        <f>_xlfn.XLOOKUP(B2665,Customers!A2665:A3664,Customers!B2665:B3664,"Customer Not Found",0)</f>
        <v>Customer Not Found</v>
      </c>
      <c r="F2665" s="7" t="str">
        <f>_xlfn.XLOOKUP(Orders!B2665,Customers!A2665:A3664,Customers!C2665:C3664,"Country not Found",0)</f>
        <v>Country not Found</v>
      </c>
      <c r="G2665" s="7" t="str">
        <f>_xlfn.XLOOKUP(C2665,Products!A2665:A3164,Products!B2665:B3164,"Product Missing",0)</f>
        <v>Product Missing</v>
      </c>
      <c r="H2665" s="7" t="str">
        <f>_xlfn.XLOOKUP(C2665,Products!A2665:A3164,Products!C2665:C3164,"Category Missing",0)</f>
        <v>Category Missing</v>
      </c>
      <c r="I2665" s="11" t="str">
        <f>_xlfn.XLOOKUP(Orders!C2665,Products!A2665:A3164,Products!D2665:D3164,"Price Missing",0)</f>
        <v>Price Missing</v>
      </c>
      <c r="J2665" s="19">
        <f t="shared" si="41"/>
        <v>0</v>
      </c>
    </row>
    <row r="2666" spans="1:10" x14ac:dyDescent="0.35">
      <c r="A2666" s="4" t="s">
        <v>6686</v>
      </c>
      <c r="B2666" s="7" t="s">
        <v>2201</v>
      </c>
      <c r="C2666" s="7" t="s">
        <v>3938</v>
      </c>
      <c r="D2666" s="5">
        <v>7</v>
      </c>
      <c r="E2666" s="7" t="str">
        <f>_xlfn.XLOOKUP(B2666,Customers!A2666:A3665,Customers!B2666:B3665,"Customer Not Found",0)</f>
        <v>Customer Not Found</v>
      </c>
      <c r="F2666" s="7" t="str">
        <f>_xlfn.XLOOKUP(Orders!B2666,Customers!A2666:A3665,Customers!C2666:C3665,"Country not Found",0)</f>
        <v>Country not Found</v>
      </c>
      <c r="G2666" s="7" t="str">
        <f>_xlfn.XLOOKUP(C2666,Products!A2666:A3165,Products!B2666:B3165,"Product Missing",0)</f>
        <v>Product Missing</v>
      </c>
      <c r="H2666" s="7" t="str">
        <f>_xlfn.XLOOKUP(C2666,Products!A2666:A3165,Products!C2666:C3165,"Category Missing",0)</f>
        <v>Category Missing</v>
      </c>
      <c r="I2666" s="11" t="str">
        <f>_xlfn.XLOOKUP(Orders!C2666,Products!A2666:A3165,Products!D2666:D3165,"Price Missing",0)</f>
        <v>Price Missing</v>
      </c>
      <c r="J2666" s="19">
        <f t="shared" si="41"/>
        <v>0</v>
      </c>
    </row>
    <row r="2667" spans="1:10" x14ac:dyDescent="0.35">
      <c r="A2667" s="4" t="s">
        <v>6687</v>
      </c>
      <c r="B2667" s="7" t="s">
        <v>158</v>
      </c>
      <c r="C2667" s="7" t="s">
        <v>3032</v>
      </c>
      <c r="D2667" s="5">
        <v>5</v>
      </c>
      <c r="E2667" s="7" t="str">
        <f>_xlfn.XLOOKUP(B2667,Customers!A2667:A3666,Customers!B2667:B3666,"Customer Not Found",0)</f>
        <v>Customer Not Found</v>
      </c>
      <c r="F2667" s="7" t="str">
        <f>_xlfn.XLOOKUP(Orders!B2667,Customers!A2667:A3666,Customers!C2667:C3666,"Country not Found",0)</f>
        <v>Country not Found</v>
      </c>
      <c r="G2667" s="7" t="str">
        <f>_xlfn.XLOOKUP(C2667,Products!A2667:A3166,Products!B2667:B3166,"Product Missing",0)</f>
        <v>Product Missing</v>
      </c>
      <c r="H2667" s="7" t="str">
        <f>_xlfn.XLOOKUP(C2667,Products!A2667:A3166,Products!C2667:C3166,"Category Missing",0)</f>
        <v>Category Missing</v>
      </c>
      <c r="I2667" s="11" t="str">
        <f>_xlfn.XLOOKUP(Orders!C2667,Products!A2667:A3166,Products!D2667:D3166,"Price Missing",0)</f>
        <v>Price Missing</v>
      </c>
      <c r="J2667" s="19">
        <f t="shared" si="41"/>
        <v>0</v>
      </c>
    </row>
    <row r="2668" spans="1:10" x14ac:dyDescent="0.35">
      <c r="A2668" s="4" t="s">
        <v>6688</v>
      </c>
      <c r="B2668" s="7" t="s">
        <v>2591</v>
      </c>
      <c r="C2668" s="7" t="s">
        <v>3294</v>
      </c>
      <c r="D2668" s="5">
        <v>9</v>
      </c>
      <c r="E2668" s="7" t="str">
        <f>_xlfn.XLOOKUP(B2668,Customers!A2668:A3667,Customers!B2668:B3667,"Customer Not Found",0)</f>
        <v>Customer Not Found</v>
      </c>
      <c r="F2668" s="7" t="str">
        <f>_xlfn.XLOOKUP(Orders!B2668,Customers!A2668:A3667,Customers!C2668:C3667,"Country not Found",0)</f>
        <v>Country not Found</v>
      </c>
      <c r="G2668" s="7" t="str">
        <f>_xlfn.XLOOKUP(C2668,Products!A2668:A3167,Products!B2668:B3167,"Product Missing",0)</f>
        <v>Product Missing</v>
      </c>
      <c r="H2668" s="7" t="str">
        <f>_xlfn.XLOOKUP(C2668,Products!A2668:A3167,Products!C2668:C3167,"Category Missing",0)</f>
        <v>Category Missing</v>
      </c>
      <c r="I2668" s="11" t="str">
        <f>_xlfn.XLOOKUP(Orders!C2668,Products!A2668:A3167,Products!D2668:D3167,"Price Missing",0)</f>
        <v>Price Missing</v>
      </c>
      <c r="J2668" s="19">
        <f t="shared" si="41"/>
        <v>0</v>
      </c>
    </row>
    <row r="2669" spans="1:10" x14ac:dyDescent="0.35">
      <c r="A2669" s="4" t="s">
        <v>6689</v>
      </c>
      <c r="B2669" s="7" t="s">
        <v>1868</v>
      </c>
      <c r="C2669" s="7" t="s">
        <v>3328</v>
      </c>
      <c r="D2669" s="5">
        <v>2</v>
      </c>
      <c r="E2669" s="7" t="str">
        <f>_xlfn.XLOOKUP(B2669,Customers!A2669:A3668,Customers!B2669:B3668,"Customer Not Found",0)</f>
        <v>Customer Not Found</v>
      </c>
      <c r="F2669" s="7" t="str">
        <f>_xlfn.XLOOKUP(Orders!B2669,Customers!A2669:A3668,Customers!C2669:C3668,"Country not Found",0)</f>
        <v>Country not Found</v>
      </c>
      <c r="G2669" s="7" t="str">
        <f>_xlfn.XLOOKUP(C2669,Products!A2669:A3168,Products!B2669:B3168,"Product Missing",0)</f>
        <v>Product Missing</v>
      </c>
      <c r="H2669" s="7" t="str">
        <f>_xlfn.XLOOKUP(C2669,Products!A2669:A3168,Products!C2669:C3168,"Category Missing",0)</f>
        <v>Category Missing</v>
      </c>
      <c r="I2669" s="11" t="str">
        <f>_xlfn.XLOOKUP(Orders!C2669,Products!A2669:A3168,Products!D2669:D3168,"Price Missing",0)</f>
        <v>Price Missing</v>
      </c>
      <c r="J2669" s="19">
        <f t="shared" si="41"/>
        <v>0</v>
      </c>
    </row>
    <row r="2670" spans="1:10" x14ac:dyDescent="0.35">
      <c r="A2670" s="4" t="s">
        <v>6690</v>
      </c>
      <c r="B2670" s="7" t="s">
        <v>1841</v>
      </c>
      <c r="C2670" s="7" t="s">
        <v>3516</v>
      </c>
      <c r="D2670" s="5">
        <v>1</v>
      </c>
      <c r="E2670" s="7" t="str">
        <f>_xlfn.XLOOKUP(B2670,Customers!A2670:A3669,Customers!B2670:B3669,"Customer Not Found",0)</f>
        <v>Customer Not Found</v>
      </c>
      <c r="F2670" s="7" t="str">
        <f>_xlfn.XLOOKUP(Orders!B2670,Customers!A2670:A3669,Customers!C2670:C3669,"Country not Found",0)</f>
        <v>Country not Found</v>
      </c>
      <c r="G2670" s="7" t="str">
        <f>_xlfn.XLOOKUP(C2670,Products!A2670:A3169,Products!B2670:B3169,"Product Missing",0)</f>
        <v>Product Missing</v>
      </c>
      <c r="H2670" s="7" t="str">
        <f>_xlfn.XLOOKUP(C2670,Products!A2670:A3169,Products!C2670:C3169,"Category Missing",0)</f>
        <v>Category Missing</v>
      </c>
      <c r="I2670" s="11" t="str">
        <f>_xlfn.XLOOKUP(Orders!C2670,Products!A2670:A3169,Products!D2670:D3169,"Price Missing",0)</f>
        <v>Price Missing</v>
      </c>
      <c r="J2670" s="19">
        <f t="shared" si="41"/>
        <v>0</v>
      </c>
    </row>
    <row r="2671" spans="1:10" x14ac:dyDescent="0.35">
      <c r="A2671" s="4" t="s">
        <v>6691</v>
      </c>
      <c r="B2671" s="7" t="s">
        <v>2585</v>
      </c>
      <c r="C2671" s="7" t="s">
        <v>3128</v>
      </c>
      <c r="D2671" s="5">
        <v>8</v>
      </c>
      <c r="E2671" s="7" t="str">
        <f>_xlfn.XLOOKUP(B2671,Customers!A2671:A3670,Customers!B2671:B3670,"Customer Not Found",0)</f>
        <v>Customer Not Found</v>
      </c>
      <c r="F2671" s="7" t="str">
        <f>_xlfn.XLOOKUP(Orders!B2671,Customers!A2671:A3670,Customers!C2671:C3670,"Country not Found",0)</f>
        <v>Country not Found</v>
      </c>
      <c r="G2671" s="7" t="str">
        <f>_xlfn.XLOOKUP(C2671,Products!A2671:A3170,Products!B2671:B3170,"Product Missing",0)</f>
        <v>Product Missing</v>
      </c>
      <c r="H2671" s="7" t="str">
        <f>_xlfn.XLOOKUP(C2671,Products!A2671:A3170,Products!C2671:C3170,"Category Missing",0)</f>
        <v>Category Missing</v>
      </c>
      <c r="I2671" s="11" t="str">
        <f>_xlfn.XLOOKUP(Orders!C2671,Products!A2671:A3170,Products!D2671:D3170,"Price Missing",0)</f>
        <v>Price Missing</v>
      </c>
      <c r="J2671" s="19">
        <f t="shared" si="41"/>
        <v>0</v>
      </c>
    </row>
    <row r="2672" spans="1:10" x14ac:dyDescent="0.35">
      <c r="A2672" s="4" t="s">
        <v>6692</v>
      </c>
      <c r="B2672" s="7" t="s">
        <v>2690</v>
      </c>
      <c r="C2672" s="7" t="s">
        <v>3760</v>
      </c>
      <c r="D2672" s="5">
        <v>7</v>
      </c>
      <c r="E2672" s="7" t="str">
        <f>_xlfn.XLOOKUP(B2672,Customers!A2672:A3671,Customers!B2672:B3671,"Customer Not Found",0)</f>
        <v>Customer Not Found</v>
      </c>
      <c r="F2672" s="7" t="str">
        <f>_xlfn.XLOOKUP(Orders!B2672,Customers!A2672:A3671,Customers!C2672:C3671,"Country not Found",0)</f>
        <v>Country not Found</v>
      </c>
      <c r="G2672" s="7" t="str">
        <f>_xlfn.XLOOKUP(C2672,Products!A2672:A3171,Products!B2672:B3171,"Product Missing",0)</f>
        <v>Product Missing</v>
      </c>
      <c r="H2672" s="7" t="str">
        <f>_xlfn.XLOOKUP(C2672,Products!A2672:A3171,Products!C2672:C3171,"Category Missing",0)</f>
        <v>Category Missing</v>
      </c>
      <c r="I2672" s="11" t="str">
        <f>_xlfn.XLOOKUP(Orders!C2672,Products!A2672:A3171,Products!D2672:D3171,"Price Missing",0)</f>
        <v>Price Missing</v>
      </c>
      <c r="J2672" s="19">
        <f t="shared" si="41"/>
        <v>0</v>
      </c>
    </row>
    <row r="2673" spans="1:10" x14ac:dyDescent="0.35">
      <c r="A2673" s="4" t="s">
        <v>6693</v>
      </c>
      <c r="B2673" s="7" t="s">
        <v>2390</v>
      </c>
      <c r="C2673" s="7" t="s">
        <v>3298</v>
      </c>
      <c r="D2673" s="5">
        <v>8</v>
      </c>
      <c r="E2673" s="7" t="str">
        <f>_xlfn.XLOOKUP(B2673,Customers!A2673:A3672,Customers!B2673:B3672,"Customer Not Found",0)</f>
        <v>Customer Not Found</v>
      </c>
      <c r="F2673" s="7" t="str">
        <f>_xlfn.XLOOKUP(Orders!B2673,Customers!A2673:A3672,Customers!C2673:C3672,"Country not Found",0)</f>
        <v>Country not Found</v>
      </c>
      <c r="G2673" s="7" t="str">
        <f>_xlfn.XLOOKUP(C2673,Products!A2673:A3172,Products!B2673:B3172,"Product Missing",0)</f>
        <v>Product Missing</v>
      </c>
      <c r="H2673" s="7" t="str">
        <f>_xlfn.XLOOKUP(C2673,Products!A2673:A3172,Products!C2673:C3172,"Category Missing",0)</f>
        <v>Category Missing</v>
      </c>
      <c r="I2673" s="11" t="str">
        <f>_xlfn.XLOOKUP(Orders!C2673,Products!A2673:A3172,Products!D2673:D3172,"Price Missing",0)</f>
        <v>Price Missing</v>
      </c>
      <c r="J2673" s="19">
        <f t="shared" si="41"/>
        <v>0</v>
      </c>
    </row>
    <row r="2674" spans="1:10" x14ac:dyDescent="0.35">
      <c r="A2674" s="4" t="s">
        <v>6694</v>
      </c>
      <c r="B2674" s="7" t="s">
        <v>578</v>
      </c>
      <c r="C2674" s="7" t="s">
        <v>3698</v>
      </c>
      <c r="D2674" s="5">
        <v>5</v>
      </c>
      <c r="E2674" s="7" t="str">
        <f>_xlfn.XLOOKUP(B2674,Customers!A2674:A3673,Customers!B2674:B3673,"Customer Not Found",0)</f>
        <v>Customer Not Found</v>
      </c>
      <c r="F2674" s="7" t="str">
        <f>_xlfn.XLOOKUP(Orders!B2674,Customers!A2674:A3673,Customers!C2674:C3673,"Country not Found",0)</f>
        <v>Country not Found</v>
      </c>
      <c r="G2674" s="7" t="str">
        <f>_xlfn.XLOOKUP(C2674,Products!A2674:A3173,Products!B2674:B3173,"Product Missing",0)</f>
        <v>Product Missing</v>
      </c>
      <c r="H2674" s="7" t="str">
        <f>_xlfn.XLOOKUP(C2674,Products!A2674:A3173,Products!C2674:C3173,"Category Missing",0)</f>
        <v>Category Missing</v>
      </c>
      <c r="I2674" s="11" t="str">
        <f>_xlfn.XLOOKUP(Orders!C2674,Products!A2674:A3173,Products!D2674:D3173,"Price Missing",0)</f>
        <v>Price Missing</v>
      </c>
      <c r="J2674" s="19">
        <f t="shared" si="41"/>
        <v>0</v>
      </c>
    </row>
    <row r="2675" spans="1:10" x14ac:dyDescent="0.35">
      <c r="A2675" s="4" t="s">
        <v>6695</v>
      </c>
      <c r="B2675" s="7" t="s">
        <v>1526</v>
      </c>
      <c r="C2675" s="7" t="s">
        <v>3186</v>
      </c>
      <c r="D2675" s="5">
        <v>7</v>
      </c>
      <c r="E2675" s="7" t="str">
        <f>_xlfn.XLOOKUP(B2675,Customers!A2675:A3674,Customers!B2675:B3674,"Customer Not Found",0)</f>
        <v>Customer Not Found</v>
      </c>
      <c r="F2675" s="7" t="str">
        <f>_xlfn.XLOOKUP(Orders!B2675,Customers!A2675:A3674,Customers!C2675:C3674,"Country not Found",0)</f>
        <v>Country not Found</v>
      </c>
      <c r="G2675" s="7" t="str">
        <f>_xlfn.XLOOKUP(C2675,Products!A2675:A3174,Products!B2675:B3174,"Product Missing",0)</f>
        <v>Product Missing</v>
      </c>
      <c r="H2675" s="7" t="str">
        <f>_xlfn.XLOOKUP(C2675,Products!A2675:A3174,Products!C2675:C3174,"Category Missing",0)</f>
        <v>Category Missing</v>
      </c>
      <c r="I2675" s="11" t="str">
        <f>_xlfn.XLOOKUP(Orders!C2675,Products!A2675:A3174,Products!D2675:D3174,"Price Missing",0)</f>
        <v>Price Missing</v>
      </c>
      <c r="J2675" s="19">
        <f t="shared" si="41"/>
        <v>0</v>
      </c>
    </row>
    <row r="2676" spans="1:10" x14ac:dyDescent="0.35">
      <c r="A2676" s="4" t="s">
        <v>6696</v>
      </c>
      <c r="B2676" s="7" t="s">
        <v>1244</v>
      </c>
      <c r="C2676" s="7" t="s">
        <v>3606</v>
      </c>
      <c r="D2676" s="5">
        <v>1</v>
      </c>
      <c r="E2676" s="7" t="str">
        <f>_xlfn.XLOOKUP(B2676,Customers!A2676:A3675,Customers!B2676:B3675,"Customer Not Found",0)</f>
        <v>Customer Not Found</v>
      </c>
      <c r="F2676" s="7" t="str">
        <f>_xlfn.XLOOKUP(Orders!B2676,Customers!A2676:A3675,Customers!C2676:C3675,"Country not Found",0)</f>
        <v>Country not Found</v>
      </c>
      <c r="G2676" s="7" t="str">
        <f>_xlfn.XLOOKUP(C2676,Products!A2676:A3175,Products!B2676:B3175,"Product Missing",0)</f>
        <v>Product Missing</v>
      </c>
      <c r="H2676" s="7" t="str">
        <f>_xlfn.XLOOKUP(C2676,Products!A2676:A3175,Products!C2676:C3175,"Category Missing",0)</f>
        <v>Category Missing</v>
      </c>
      <c r="I2676" s="11" t="str">
        <f>_xlfn.XLOOKUP(Orders!C2676,Products!A2676:A3175,Products!D2676:D3175,"Price Missing",0)</f>
        <v>Price Missing</v>
      </c>
      <c r="J2676" s="19">
        <f t="shared" si="41"/>
        <v>0</v>
      </c>
    </row>
    <row r="2677" spans="1:10" x14ac:dyDescent="0.35">
      <c r="A2677" s="4" t="s">
        <v>6697</v>
      </c>
      <c r="B2677" s="7" t="s">
        <v>2834</v>
      </c>
      <c r="C2677" s="7" t="s">
        <v>3910</v>
      </c>
      <c r="D2677" s="5">
        <v>10</v>
      </c>
      <c r="E2677" s="7" t="str">
        <f>_xlfn.XLOOKUP(B2677,Customers!A2677:A3676,Customers!B2677:B3676,"Customer Not Found",0)</f>
        <v>Customer Not Found</v>
      </c>
      <c r="F2677" s="7" t="str">
        <f>_xlfn.XLOOKUP(Orders!B2677,Customers!A2677:A3676,Customers!C2677:C3676,"Country not Found",0)</f>
        <v>Country not Found</v>
      </c>
      <c r="G2677" s="7" t="str">
        <f>_xlfn.XLOOKUP(C2677,Products!A2677:A3176,Products!B2677:B3176,"Product Missing",0)</f>
        <v>Product Missing</v>
      </c>
      <c r="H2677" s="7" t="str">
        <f>_xlfn.XLOOKUP(C2677,Products!A2677:A3176,Products!C2677:C3176,"Category Missing",0)</f>
        <v>Category Missing</v>
      </c>
      <c r="I2677" s="11" t="str">
        <f>_xlfn.XLOOKUP(Orders!C2677,Products!A2677:A3176,Products!D2677:D3176,"Price Missing",0)</f>
        <v>Price Missing</v>
      </c>
      <c r="J2677" s="19">
        <f t="shared" si="41"/>
        <v>0</v>
      </c>
    </row>
    <row r="2678" spans="1:10" x14ac:dyDescent="0.35">
      <c r="A2678" s="4" t="s">
        <v>6698</v>
      </c>
      <c r="B2678" s="7" t="s">
        <v>845</v>
      </c>
      <c r="C2678" s="7" t="s">
        <v>3080</v>
      </c>
      <c r="D2678" s="5">
        <v>7</v>
      </c>
      <c r="E2678" s="7" t="str">
        <f>_xlfn.XLOOKUP(B2678,Customers!A2678:A3677,Customers!B2678:B3677,"Customer Not Found",0)</f>
        <v>Customer Not Found</v>
      </c>
      <c r="F2678" s="7" t="str">
        <f>_xlfn.XLOOKUP(Orders!B2678,Customers!A2678:A3677,Customers!C2678:C3677,"Country not Found",0)</f>
        <v>Country not Found</v>
      </c>
      <c r="G2678" s="7" t="str">
        <f>_xlfn.XLOOKUP(C2678,Products!A2678:A3177,Products!B2678:B3177,"Product Missing",0)</f>
        <v>Product Missing</v>
      </c>
      <c r="H2678" s="7" t="str">
        <f>_xlfn.XLOOKUP(C2678,Products!A2678:A3177,Products!C2678:C3177,"Category Missing",0)</f>
        <v>Category Missing</v>
      </c>
      <c r="I2678" s="11" t="str">
        <f>_xlfn.XLOOKUP(Orders!C2678,Products!A2678:A3177,Products!D2678:D3177,"Price Missing",0)</f>
        <v>Price Missing</v>
      </c>
      <c r="J2678" s="19">
        <f t="shared" si="41"/>
        <v>0</v>
      </c>
    </row>
    <row r="2679" spans="1:10" x14ac:dyDescent="0.35">
      <c r="A2679" s="4" t="s">
        <v>6699</v>
      </c>
      <c r="B2679" s="7" t="s">
        <v>2414</v>
      </c>
      <c r="C2679" s="7" t="s">
        <v>3380</v>
      </c>
      <c r="D2679" s="5">
        <v>1</v>
      </c>
      <c r="E2679" s="7" t="str">
        <f>_xlfn.XLOOKUP(B2679,Customers!A2679:A3678,Customers!B2679:B3678,"Customer Not Found",0)</f>
        <v>Customer Not Found</v>
      </c>
      <c r="F2679" s="7" t="str">
        <f>_xlfn.XLOOKUP(Orders!B2679,Customers!A2679:A3678,Customers!C2679:C3678,"Country not Found",0)</f>
        <v>Country not Found</v>
      </c>
      <c r="G2679" s="7" t="str">
        <f>_xlfn.XLOOKUP(C2679,Products!A2679:A3178,Products!B2679:B3178,"Product Missing",0)</f>
        <v>Product Missing</v>
      </c>
      <c r="H2679" s="7" t="str">
        <f>_xlfn.XLOOKUP(C2679,Products!A2679:A3178,Products!C2679:C3178,"Category Missing",0)</f>
        <v>Category Missing</v>
      </c>
      <c r="I2679" s="11" t="str">
        <f>_xlfn.XLOOKUP(Orders!C2679,Products!A2679:A3178,Products!D2679:D3178,"Price Missing",0)</f>
        <v>Price Missing</v>
      </c>
      <c r="J2679" s="19">
        <f t="shared" si="41"/>
        <v>0</v>
      </c>
    </row>
    <row r="2680" spans="1:10" x14ac:dyDescent="0.35">
      <c r="A2680" s="4" t="s">
        <v>6700</v>
      </c>
      <c r="B2680" s="7" t="s">
        <v>1292</v>
      </c>
      <c r="C2680" s="7" t="s">
        <v>3646</v>
      </c>
      <c r="D2680" s="5">
        <v>1</v>
      </c>
      <c r="E2680" s="7" t="str">
        <f>_xlfn.XLOOKUP(B2680,Customers!A2680:A3679,Customers!B2680:B3679,"Customer Not Found",0)</f>
        <v>Customer Not Found</v>
      </c>
      <c r="F2680" s="7" t="str">
        <f>_xlfn.XLOOKUP(Orders!B2680,Customers!A2680:A3679,Customers!C2680:C3679,"Country not Found",0)</f>
        <v>Country not Found</v>
      </c>
      <c r="G2680" s="7" t="str">
        <f>_xlfn.XLOOKUP(C2680,Products!A2680:A3179,Products!B2680:B3179,"Product Missing",0)</f>
        <v>Product Missing</v>
      </c>
      <c r="H2680" s="7" t="str">
        <f>_xlfn.XLOOKUP(C2680,Products!A2680:A3179,Products!C2680:C3179,"Category Missing",0)</f>
        <v>Category Missing</v>
      </c>
      <c r="I2680" s="11" t="str">
        <f>_xlfn.XLOOKUP(Orders!C2680,Products!A2680:A3179,Products!D2680:D3179,"Price Missing",0)</f>
        <v>Price Missing</v>
      </c>
      <c r="J2680" s="19">
        <f t="shared" si="41"/>
        <v>0</v>
      </c>
    </row>
    <row r="2681" spans="1:10" x14ac:dyDescent="0.35">
      <c r="A2681" s="4" t="s">
        <v>6701</v>
      </c>
      <c r="B2681" s="7" t="s">
        <v>1181</v>
      </c>
      <c r="C2681" s="7" t="s">
        <v>3804</v>
      </c>
      <c r="D2681" s="5">
        <v>3</v>
      </c>
      <c r="E2681" s="7" t="str">
        <f>_xlfn.XLOOKUP(B2681,Customers!A2681:A3680,Customers!B2681:B3680,"Customer Not Found",0)</f>
        <v>Customer Not Found</v>
      </c>
      <c r="F2681" s="7" t="str">
        <f>_xlfn.XLOOKUP(Orders!B2681,Customers!A2681:A3680,Customers!C2681:C3680,"Country not Found",0)</f>
        <v>Country not Found</v>
      </c>
      <c r="G2681" s="7" t="str">
        <f>_xlfn.XLOOKUP(C2681,Products!A2681:A3180,Products!B2681:B3180,"Product Missing",0)</f>
        <v>Product Missing</v>
      </c>
      <c r="H2681" s="7" t="str">
        <f>_xlfn.XLOOKUP(C2681,Products!A2681:A3180,Products!C2681:C3180,"Category Missing",0)</f>
        <v>Category Missing</v>
      </c>
      <c r="I2681" s="11" t="str">
        <f>_xlfn.XLOOKUP(Orders!C2681,Products!A2681:A3180,Products!D2681:D3180,"Price Missing",0)</f>
        <v>Price Missing</v>
      </c>
      <c r="J2681" s="19">
        <f t="shared" si="41"/>
        <v>0</v>
      </c>
    </row>
    <row r="2682" spans="1:10" x14ac:dyDescent="0.35">
      <c r="A2682" s="4" t="s">
        <v>6702</v>
      </c>
      <c r="B2682" s="7" t="s">
        <v>2453</v>
      </c>
      <c r="C2682" s="7" t="s">
        <v>3572</v>
      </c>
      <c r="D2682" s="5">
        <v>7</v>
      </c>
      <c r="E2682" s="7" t="str">
        <f>_xlfn.XLOOKUP(B2682,Customers!A2682:A3681,Customers!B2682:B3681,"Customer Not Found",0)</f>
        <v>Customer Not Found</v>
      </c>
      <c r="F2682" s="7" t="str">
        <f>_xlfn.XLOOKUP(Orders!B2682,Customers!A2682:A3681,Customers!C2682:C3681,"Country not Found",0)</f>
        <v>Country not Found</v>
      </c>
      <c r="G2682" s="7" t="str">
        <f>_xlfn.XLOOKUP(C2682,Products!A2682:A3181,Products!B2682:B3181,"Product Missing",0)</f>
        <v>Product Missing</v>
      </c>
      <c r="H2682" s="7" t="str">
        <f>_xlfn.XLOOKUP(C2682,Products!A2682:A3181,Products!C2682:C3181,"Category Missing",0)</f>
        <v>Category Missing</v>
      </c>
      <c r="I2682" s="11" t="str">
        <f>_xlfn.XLOOKUP(Orders!C2682,Products!A2682:A3181,Products!D2682:D3181,"Price Missing",0)</f>
        <v>Price Missing</v>
      </c>
      <c r="J2682" s="19">
        <f t="shared" si="41"/>
        <v>0</v>
      </c>
    </row>
    <row r="2683" spans="1:10" x14ac:dyDescent="0.35">
      <c r="A2683" s="4" t="s">
        <v>6703</v>
      </c>
      <c r="B2683" s="7" t="s">
        <v>851</v>
      </c>
      <c r="C2683" s="7" t="s">
        <v>3238</v>
      </c>
      <c r="D2683" s="5">
        <v>2</v>
      </c>
      <c r="E2683" s="7" t="str">
        <f>_xlfn.XLOOKUP(B2683,Customers!A2683:A3682,Customers!B2683:B3682,"Customer Not Found",0)</f>
        <v>Customer Not Found</v>
      </c>
      <c r="F2683" s="7" t="str">
        <f>_xlfn.XLOOKUP(Orders!B2683,Customers!A2683:A3682,Customers!C2683:C3682,"Country not Found",0)</f>
        <v>Country not Found</v>
      </c>
      <c r="G2683" s="7" t="str">
        <f>_xlfn.XLOOKUP(C2683,Products!A2683:A3182,Products!B2683:B3182,"Product Missing",0)</f>
        <v>Product Missing</v>
      </c>
      <c r="H2683" s="7" t="str">
        <f>_xlfn.XLOOKUP(C2683,Products!A2683:A3182,Products!C2683:C3182,"Category Missing",0)</f>
        <v>Category Missing</v>
      </c>
      <c r="I2683" s="11" t="str">
        <f>_xlfn.XLOOKUP(Orders!C2683,Products!A2683:A3182,Products!D2683:D3182,"Price Missing",0)</f>
        <v>Price Missing</v>
      </c>
      <c r="J2683" s="19">
        <f t="shared" si="41"/>
        <v>0</v>
      </c>
    </row>
    <row r="2684" spans="1:10" x14ac:dyDescent="0.35">
      <c r="A2684" s="4" t="s">
        <v>6704</v>
      </c>
      <c r="B2684" s="7" t="s">
        <v>1694</v>
      </c>
      <c r="C2684" s="7" t="s">
        <v>3728</v>
      </c>
      <c r="D2684" s="5">
        <v>7</v>
      </c>
      <c r="E2684" s="7" t="str">
        <f>_xlfn.XLOOKUP(B2684,Customers!A2684:A3683,Customers!B2684:B3683,"Customer Not Found",0)</f>
        <v>Customer Not Found</v>
      </c>
      <c r="F2684" s="7" t="str">
        <f>_xlfn.XLOOKUP(Orders!B2684,Customers!A2684:A3683,Customers!C2684:C3683,"Country not Found",0)</f>
        <v>Country not Found</v>
      </c>
      <c r="G2684" s="7" t="str">
        <f>_xlfn.XLOOKUP(C2684,Products!A2684:A3183,Products!B2684:B3183,"Product Missing",0)</f>
        <v>Product Missing</v>
      </c>
      <c r="H2684" s="7" t="str">
        <f>_xlfn.XLOOKUP(C2684,Products!A2684:A3183,Products!C2684:C3183,"Category Missing",0)</f>
        <v>Category Missing</v>
      </c>
      <c r="I2684" s="11" t="str">
        <f>_xlfn.XLOOKUP(Orders!C2684,Products!A2684:A3183,Products!D2684:D3183,"Price Missing",0)</f>
        <v>Price Missing</v>
      </c>
      <c r="J2684" s="19">
        <f t="shared" si="41"/>
        <v>0</v>
      </c>
    </row>
    <row r="2685" spans="1:10" x14ac:dyDescent="0.35">
      <c r="A2685" s="4" t="s">
        <v>6705</v>
      </c>
      <c r="B2685" s="7" t="s">
        <v>2066</v>
      </c>
      <c r="C2685" s="7" t="s">
        <v>3908</v>
      </c>
      <c r="D2685" s="5">
        <v>3</v>
      </c>
      <c r="E2685" s="7" t="str">
        <f>_xlfn.XLOOKUP(B2685,Customers!A2685:A3684,Customers!B2685:B3684,"Customer Not Found",0)</f>
        <v>Customer Not Found</v>
      </c>
      <c r="F2685" s="7" t="str">
        <f>_xlfn.XLOOKUP(Orders!B2685,Customers!A2685:A3684,Customers!C2685:C3684,"Country not Found",0)</f>
        <v>Country not Found</v>
      </c>
      <c r="G2685" s="7" t="str">
        <f>_xlfn.XLOOKUP(C2685,Products!A2685:A3184,Products!B2685:B3184,"Product Missing",0)</f>
        <v>Product Missing</v>
      </c>
      <c r="H2685" s="7" t="str">
        <f>_xlfn.XLOOKUP(C2685,Products!A2685:A3184,Products!C2685:C3184,"Category Missing",0)</f>
        <v>Category Missing</v>
      </c>
      <c r="I2685" s="11" t="str">
        <f>_xlfn.XLOOKUP(Orders!C2685,Products!A2685:A3184,Products!D2685:D3184,"Price Missing",0)</f>
        <v>Price Missing</v>
      </c>
      <c r="J2685" s="19">
        <f t="shared" si="41"/>
        <v>0</v>
      </c>
    </row>
    <row r="2686" spans="1:10" x14ac:dyDescent="0.35">
      <c r="A2686" s="4" t="s">
        <v>6706</v>
      </c>
      <c r="B2686" s="7" t="s">
        <v>587</v>
      </c>
      <c r="C2686" s="7" t="s">
        <v>4016</v>
      </c>
      <c r="D2686" s="5">
        <v>9</v>
      </c>
      <c r="E2686" s="7" t="str">
        <f>_xlfn.XLOOKUP(B2686,Customers!A2686:A3685,Customers!B2686:B3685,"Customer Not Found",0)</f>
        <v>Customer Not Found</v>
      </c>
      <c r="F2686" s="7" t="str">
        <f>_xlfn.XLOOKUP(Orders!B2686,Customers!A2686:A3685,Customers!C2686:C3685,"Country not Found",0)</f>
        <v>Country not Found</v>
      </c>
      <c r="G2686" s="7" t="str">
        <f>_xlfn.XLOOKUP(C2686,Products!A2686:A3185,Products!B2686:B3185,"Product Missing",0)</f>
        <v>Product Missing</v>
      </c>
      <c r="H2686" s="7" t="str">
        <f>_xlfn.XLOOKUP(C2686,Products!A2686:A3185,Products!C2686:C3185,"Category Missing",0)</f>
        <v>Category Missing</v>
      </c>
      <c r="I2686" s="11" t="str">
        <f>_xlfn.XLOOKUP(Orders!C2686,Products!A2686:A3185,Products!D2686:D3185,"Price Missing",0)</f>
        <v>Price Missing</v>
      </c>
      <c r="J2686" s="19">
        <f t="shared" si="41"/>
        <v>0</v>
      </c>
    </row>
    <row r="2687" spans="1:10" x14ac:dyDescent="0.35">
      <c r="A2687" s="4" t="s">
        <v>6707</v>
      </c>
      <c r="B2687" s="7" t="s">
        <v>2849</v>
      </c>
      <c r="C2687" s="7" t="s">
        <v>4002</v>
      </c>
      <c r="D2687" s="5">
        <v>3</v>
      </c>
      <c r="E2687" s="7" t="str">
        <f>_xlfn.XLOOKUP(B2687,Customers!A2687:A3686,Customers!B2687:B3686,"Customer Not Found",0)</f>
        <v>Customer Not Found</v>
      </c>
      <c r="F2687" s="7" t="str">
        <f>_xlfn.XLOOKUP(Orders!B2687,Customers!A2687:A3686,Customers!C2687:C3686,"Country not Found",0)</f>
        <v>Country not Found</v>
      </c>
      <c r="G2687" s="7" t="str">
        <f>_xlfn.XLOOKUP(C2687,Products!A2687:A3186,Products!B2687:B3186,"Product Missing",0)</f>
        <v>Product Missing</v>
      </c>
      <c r="H2687" s="7" t="str">
        <f>_xlfn.XLOOKUP(C2687,Products!A2687:A3186,Products!C2687:C3186,"Category Missing",0)</f>
        <v>Category Missing</v>
      </c>
      <c r="I2687" s="11" t="str">
        <f>_xlfn.XLOOKUP(Orders!C2687,Products!A2687:A3186,Products!D2687:D3186,"Price Missing",0)</f>
        <v>Price Missing</v>
      </c>
      <c r="J2687" s="19">
        <f t="shared" si="41"/>
        <v>0</v>
      </c>
    </row>
    <row r="2688" spans="1:10" x14ac:dyDescent="0.35">
      <c r="A2688" s="4" t="s">
        <v>6708</v>
      </c>
      <c r="B2688" s="7" t="s">
        <v>1352</v>
      </c>
      <c r="C2688" s="7" t="s">
        <v>3984</v>
      </c>
      <c r="D2688" s="5">
        <v>3</v>
      </c>
      <c r="E2688" s="7" t="str">
        <f>_xlfn.XLOOKUP(B2688,Customers!A2688:A3687,Customers!B2688:B3687,"Customer Not Found",0)</f>
        <v>Customer Not Found</v>
      </c>
      <c r="F2688" s="7" t="str">
        <f>_xlfn.XLOOKUP(Orders!B2688,Customers!A2688:A3687,Customers!C2688:C3687,"Country not Found",0)</f>
        <v>Country not Found</v>
      </c>
      <c r="G2688" s="7" t="str">
        <f>_xlfn.XLOOKUP(C2688,Products!A2688:A3187,Products!B2688:B3187,"Product Missing",0)</f>
        <v>Product Missing</v>
      </c>
      <c r="H2688" s="7" t="str">
        <f>_xlfn.XLOOKUP(C2688,Products!A2688:A3187,Products!C2688:C3187,"Category Missing",0)</f>
        <v>Category Missing</v>
      </c>
      <c r="I2688" s="11" t="str">
        <f>_xlfn.XLOOKUP(Orders!C2688,Products!A2688:A3187,Products!D2688:D3187,"Price Missing",0)</f>
        <v>Price Missing</v>
      </c>
      <c r="J2688" s="19">
        <f t="shared" si="41"/>
        <v>0</v>
      </c>
    </row>
    <row r="2689" spans="1:10" x14ac:dyDescent="0.35">
      <c r="A2689" s="4" t="s">
        <v>6709</v>
      </c>
      <c r="B2689" s="7" t="s">
        <v>1988</v>
      </c>
      <c r="C2689" s="7" t="s">
        <v>3278</v>
      </c>
      <c r="D2689" s="5">
        <v>9</v>
      </c>
      <c r="E2689" s="7" t="str">
        <f>_xlfn.XLOOKUP(B2689,Customers!A2689:A3688,Customers!B2689:B3688,"Customer Not Found",0)</f>
        <v>Customer Not Found</v>
      </c>
      <c r="F2689" s="7" t="str">
        <f>_xlfn.XLOOKUP(Orders!B2689,Customers!A2689:A3688,Customers!C2689:C3688,"Country not Found",0)</f>
        <v>Country not Found</v>
      </c>
      <c r="G2689" s="7" t="str">
        <f>_xlfn.XLOOKUP(C2689,Products!A2689:A3188,Products!B2689:B3188,"Product Missing",0)</f>
        <v>Product Missing</v>
      </c>
      <c r="H2689" s="7" t="str">
        <f>_xlfn.XLOOKUP(C2689,Products!A2689:A3188,Products!C2689:C3188,"Category Missing",0)</f>
        <v>Category Missing</v>
      </c>
      <c r="I2689" s="11" t="str">
        <f>_xlfn.XLOOKUP(Orders!C2689,Products!A2689:A3188,Products!D2689:D3188,"Price Missing",0)</f>
        <v>Price Missing</v>
      </c>
      <c r="J2689" s="19">
        <f t="shared" si="41"/>
        <v>0</v>
      </c>
    </row>
    <row r="2690" spans="1:10" x14ac:dyDescent="0.35">
      <c r="A2690" s="4" t="s">
        <v>6710</v>
      </c>
      <c r="B2690" s="7" t="s">
        <v>2351</v>
      </c>
      <c r="C2690" s="7" t="s">
        <v>3608</v>
      </c>
      <c r="D2690" s="5">
        <v>7</v>
      </c>
      <c r="E2690" s="7" t="str">
        <f>_xlfn.XLOOKUP(B2690,Customers!A2690:A3689,Customers!B2690:B3689,"Customer Not Found",0)</f>
        <v>Customer Not Found</v>
      </c>
      <c r="F2690" s="7" t="str">
        <f>_xlfn.XLOOKUP(Orders!B2690,Customers!A2690:A3689,Customers!C2690:C3689,"Country not Found",0)</f>
        <v>Country not Found</v>
      </c>
      <c r="G2690" s="7" t="str">
        <f>_xlfn.XLOOKUP(C2690,Products!A2690:A3189,Products!B2690:B3189,"Product Missing",0)</f>
        <v>Product Missing</v>
      </c>
      <c r="H2690" s="7" t="str">
        <f>_xlfn.XLOOKUP(C2690,Products!A2690:A3189,Products!C2690:C3189,"Category Missing",0)</f>
        <v>Category Missing</v>
      </c>
      <c r="I2690" s="11" t="str">
        <f>_xlfn.XLOOKUP(Orders!C2690,Products!A2690:A3189,Products!D2690:D3189,"Price Missing",0)</f>
        <v>Price Missing</v>
      </c>
      <c r="J2690" s="19">
        <f t="shared" si="41"/>
        <v>0</v>
      </c>
    </row>
    <row r="2691" spans="1:10" x14ac:dyDescent="0.35">
      <c r="A2691" s="4" t="s">
        <v>6711</v>
      </c>
      <c r="B2691" s="7" t="s">
        <v>2372</v>
      </c>
      <c r="C2691" s="7" t="s">
        <v>3548</v>
      </c>
      <c r="D2691" s="5">
        <v>8</v>
      </c>
      <c r="E2691" s="7" t="str">
        <f>_xlfn.XLOOKUP(B2691,Customers!A2691:A3690,Customers!B2691:B3690,"Customer Not Found",0)</f>
        <v>Customer Not Found</v>
      </c>
      <c r="F2691" s="7" t="str">
        <f>_xlfn.XLOOKUP(Orders!B2691,Customers!A2691:A3690,Customers!C2691:C3690,"Country not Found",0)</f>
        <v>Country not Found</v>
      </c>
      <c r="G2691" s="7" t="str">
        <f>_xlfn.XLOOKUP(C2691,Products!A2691:A3190,Products!B2691:B3190,"Product Missing",0)</f>
        <v>Product Missing</v>
      </c>
      <c r="H2691" s="7" t="str">
        <f>_xlfn.XLOOKUP(C2691,Products!A2691:A3190,Products!C2691:C3190,"Category Missing",0)</f>
        <v>Category Missing</v>
      </c>
      <c r="I2691" s="11" t="str">
        <f>_xlfn.XLOOKUP(Orders!C2691,Products!A2691:A3190,Products!D2691:D3190,"Price Missing",0)</f>
        <v>Price Missing</v>
      </c>
      <c r="J2691" s="19">
        <f t="shared" ref="J2691:J2754" si="42">IFERROR(I2691*D2691,0)</f>
        <v>0</v>
      </c>
    </row>
    <row r="2692" spans="1:10" x14ac:dyDescent="0.35">
      <c r="A2692" s="4" t="s">
        <v>6712</v>
      </c>
      <c r="B2692" s="7" t="s">
        <v>1949</v>
      </c>
      <c r="C2692" s="7" t="s">
        <v>3246</v>
      </c>
      <c r="D2692" s="5">
        <v>8</v>
      </c>
      <c r="E2692" s="7" t="str">
        <f>_xlfn.XLOOKUP(B2692,Customers!A2692:A3691,Customers!B2692:B3691,"Customer Not Found",0)</f>
        <v>Customer Not Found</v>
      </c>
      <c r="F2692" s="7" t="str">
        <f>_xlfn.XLOOKUP(Orders!B2692,Customers!A2692:A3691,Customers!C2692:C3691,"Country not Found",0)</f>
        <v>Country not Found</v>
      </c>
      <c r="G2692" s="7" t="str">
        <f>_xlfn.XLOOKUP(C2692,Products!A2692:A3191,Products!B2692:B3191,"Product Missing",0)</f>
        <v>Product Missing</v>
      </c>
      <c r="H2692" s="7" t="str">
        <f>_xlfn.XLOOKUP(C2692,Products!A2692:A3191,Products!C2692:C3191,"Category Missing",0)</f>
        <v>Category Missing</v>
      </c>
      <c r="I2692" s="11" t="str">
        <f>_xlfn.XLOOKUP(Orders!C2692,Products!A2692:A3191,Products!D2692:D3191,"Price Missing",0)</f>
        <v>Price Missing</v>
      </c>
      <c r="J2692" s="19">
        <f t="shared" si="42"/>
        <v>0</v>
      </c>
    </row>
    <row r="2693" spans="1:10" x14ac:dyDescent="0.35">
      <c r="A2693" s="4" t="s">
        <v>6713</v>
      </c>
      <c r="B2693" s="7" t="s">
        <v>863</v>
      </c>
      <c r="C2693" s="7" t="s">
        <v>3326</v>
      </c>
      <c r="D2693" s="5">
        <v>3</v>
      </c>
      <c r="E2693" s="7" t="str">
        <f>_xlfn.XLOOKUP(B2693,Customers!A2693:A3692,Customers!B2693:B3692,"Customer Not Found",0)</f>
        <v>Customer Not Found</v>
      </c>
      <c r="F2693" s="7" t="str">
        <f>_xlfn.XLOOKUP(Orders!B2693,Customers!A2693:A3692,Customers!C2693:C3692,"Country not Found",0)</f>
        <v>Country not Found</v>
      </c>
      <c r="G2693" s="7" t="str">
        <f>_xlfn.XLOOKUP(C2693,Products!A2693:A3192,Products!B2693:B3192,"Product Missing",0)</f>
        <v>Product Missing</v>
      </c>
      <c r="H2693" s="7" t="str">
        <f>_xlfn.XLOOKUP(C2693,Products!A2693:A3192,Products!C2693:C3192,"Category Missing",0)</f>
        <v>Category Missing</v>
      </c>
      <c r="I2693" s="11" t="str">
        <f>_xlfn.XLOOKUP(Orders!C2693,Products!A2693:A3192,Products!D2693:D3192,"Price Missing",0)</f>
        <v>Price Missing</v>
      </c>
      <c r="J2693" s="19">
        <f t="shared" si="42"/>
        <v>0</v>
      </c>
    </row>
    <row r="2694" spans="1:10" x14ac:dyDescent="0.35">
      <c r="A2694" s="4" t="s">
        <v>6714</v>
      </c>
      <c r="B2694" s="7" t="s">
        <v>2123</v>
      </c>
      <c r="C2694" s="7" t="s">
        <v>3388</v>
      </c>
      <c r="D2694" s="5">
        <v>3</v>
      </c>
      <c r="E2694" s="7" t="str">
        <f>_xlfn.XLOOKUP(B2694,Customers!A2694:A3693,Customers!B2694:B3693,"Customer Not Found",0)</f>
        <v>Customer Not Found</v>
      </c>
      <c r="F2694" s="7" t="str">
        <f>_xlfn.XLOOKUP(Orders!B2694,Customers!A2694:A3693,Customers!C2694:C3693,"Country not Found",0)</f>
        <v>Country not Found</v>
      </c>
      <c r="G2694" s="7" t="str">
        <f>_xlfn.XLOOKUP(C2694,Products!A2694:A3193,Products!B2694:B3193,"Product Missing",0)</f>
        <v>Product Missing</v>
      </c>
      <c r="H2694" s="7" t="str">
        <f>_xlfn.XLOOKUP(C2694,Products!A2694:A3193,Products!C2694:C3193,"Category Missing",0)</f>
        <v>Category Missing</v>
      </c>
      <c r="I2694" s="11" t="str">
        <f>_xlfn.XLOOKUP(Orders!C2694,Products!A2694:A3193,Products!D2694:D3193,"Price Missing",0)</f>
        <v>Price Missing</v>
      </c>
      <c r="J2694" s="19">
        <f t="shared" si="42"/>
        <v>0</v>
      </c>
    </row>
    <row r="2695" spans="1:10" x14ac:dyDescent="0.35">
      <c r="A2695" s="4" t="s">
        <v>6715</v>
      </c>
      <c r="B2695" s="7" t="s">
        <v>1577</v>
      </c>
      <c r="C2695" s="7" t="s">
        <v>3390</v>
      </c>
      <c r="D2695" s="5">
        <v>10</v>
      </c>
      <c r="E2695" s="7" t="str">
        <f>_xlfn.XLOOKUP(B2695,Customers!A2695:A3694,Customers!B2695:B3694,"Customer Not Found",0)</f>
        <v>Customer Not Found</v>
      </c>
      <c r="F2695" s="7" t="str">
        <f>_xlfn.XLOOKUP(Orders!B2695,Customers!A2695:A3694,Customers!C2695:C3694,"Country not Found",0)</f>
        <v>Country not Found</v>
      </c>
      <c r="G2695" s="7" t="str">
        <f>_xlfn.XLOOKUP(C2695,Products!A2695:A3194,Products!B2695:B3194,"Product Missing",0)</f>
        <v>Product Missing</v>
      </c>
      <c r="H2695" s="7" t="str">
        <f>_xlfn.XLOOKUP(C2695,Products!A2695:A3194,Products!C2695:C3194,"Category Missing",0)</f>
        <v>Category Missing</v>
      </c>
      <c r="I2695" s="11" t="str">
        <f>_xlfn.XLOOKUP(Orders!C2695,Products!A2695:A3194,Products!D2695:D3194,"Price Missing",0)</f>
        <v>Price Missing</v>
      </c>
      <c r="J2695" s="19">
        <f t="shared" si="42"/>
        <v>0</v>
      </c>
    </row>
    <row r="2696" spans="1:10" x14ac:dyDescent="0.35">
      <c r="A2696" s="4" t="s">
        <v>6716</v>
      </c>
      <c r="B2696" s="7" t="s">
        <v>806</v>
      </c>
      <c r="C2696" s="7" t="s">
        <v>3820</v>
      </c>
      <c r="D2696" s="5">
        <v>6</v>
      </c>
      <c r="E2696" s="7" t="str">
        <f>_xlfn.XLOOKUP(B2696,Customers!A2696:A3695,Customers!B2696:B3695,"Customer Not Found",0)</f>
        <v>Customer Not Found</v>
      </c>
      <c r="F2696" s="7" t="str">
        <f>_xlfn.XLOOKUP(Orders!B2696,Customers!A2696:A3695,Customers!C2696:C3695,"Country not Found",0)</f>
        <v>Country not Found</v>
      </c>
      <c r="G2696" s="7" t="str">
        <f>_xlfn.XLOOKUP(C2696,Products!A2696:A3195,Products!B2696:B3195,"Product Missing",0)</f>
        <v>Product Missing</v>
      </c>
      <c r="H2696" s="7" t="str">
        <f>_xlfn.XLOOKUP(C2696,Products!A2696:A3195,Products!C2696:C3195,"Category Missing",0)</f>
        <v>Category Missing</v>
      </c>
      <c r="I2696" s="11" t="str">
        <f>_xlfn.XLOOKUP(Orders!C2696,Products!A2696:A3195,Products!D2696:D3195,"Price Missing",0)</f>
        <v>Price Missing</v>
      </c>
      <c r="J2696" s="19">
        <f t="shared" si="42"/>
        <v>0</v>
      </c>
    </row>
    <row r="2697" spans="1:10" x14ac:dyDescent="0.35">
      <c r="A2697" s="4" t="s">
        <v>6717</v>
      </c>
      <c r="B2697" s="7" t="s">
        <v>1418</v>
      </c>
      <c r="C2697" s="7" t="s">
        <v>3726</v>
      </c>
      <c r="D2697" s="5">
        <v>5</v>
      </c>
      <c r="E2697" s="7" t="str">
        <f>_xlfn.XLOOKUP(B2697,Customers!A2697:A3696,Customers!B2697:B3696,"Customer Not Found",0)</f>
        <v>Customer Not Found</v>
      </c>
      <c r="F2697" s="7" t="str">
        <f>_xlfn.XLOOKUP(Orders!B2697,Customers!A2697:A3696,Customers!C2697:C3696,"Country not Found",0)</f>
        <v>Country not Found</v>
      </c>
      <c r="G2697" s="7" t="str">
        <f>_xlfn.XLOOKUP(C2697,Products!A2697:A3196,Products!B2697:B3196,"Product Missing",0)</f>
        <v>Product Missing</v>
      </c>
      <c r="H2697" s="7" t="str">
        <f>_xlfn.XLOOKUP(C2697,Products!A2697:A3196,Products!C2697:C3196,"Category Missing",0)</f>
        <v>Category Missing</v>
      </c>
      <c r="I2697" s="11" t="str">
        <f>_xlfn.XLOOKUP(Orders!C2697,Products!A2697:A3196,Products!D2697:D3196,"Price Missing",0)</f>
        <v>Price Missing</v>
      </c>
      <c r="J2697" s="19">
        <f t="shared" si="42"/>
        <v>0</v>
      </c>
    </row>
    <row r="2698" spans="1:10" x14ac:dyDescent="0.35">
      <c r="A2698" s="4" t="s">
        <v>6718</v>
      </c>
      <c r="B2698" s="7" t="s">
        <v>2648</v>
      </c>
      <c r="C2698" s="7" t="s">
        <v>3570</v>
      </c>
      <c r="D2698" s="5">
        <v>2</v>
      </c>
      <c r="E2698" s="7" t="str">
        <f>_xlfn.XLOOKUP(B2698,Customers!A2698:A3697,Customers!B2698:B3697,"Customer Not Found",0)</f>
        <v>Customer Not Found</v>
      </c>
      <c r="F2698" s="7" t="str">
        <f>_xlfn.XLOOKUP(Orders!B2698,Customers!A2698:A3697,Customers!C2698:C3697,"Country not Found",0)</f>
        <v>Country not Found</v>
      </c>
      <c r="G2698" s="7" t="str">
        <f>_xlfn.XLOOKUP(C2698,Products!A2698:A3197,Products!B2698:B3197,"Product Missing",0)</f>
        <v>Product Missing</v>
      </c>
      <c r="H2698" s="7" t="str">
        <f>_xlfn.XLOOKUP(C2698,Products!A2698:A3197,Products!C2698:C3197,"Category Missing",0)</f>
        <v>Category Missing</v>
      </c>
      <c r="I2698" s="11" t="str">
        <f>_xlfn.XLOOKUP(Orders!C2698,Products!A2698:A3197,Products!D2698:D3197,"Price Missing",0)</f>
        <v>Price Missing</v>
      </c>
      <c r="J2698" s="19">
        <f t="shared" si="42"/>
        <v>0</v>
      </c>
    </row>
    <row r="2699" spans="1:10" x14ac:dyDescent="0.35">
      <c r="A2699" s="4" t="s">
        <v>6719</v>
      </c>
      <c r="B2699" s="7" t="s">
        <v>1994</v>
      </c>
      <c r="C2699" s="7" t="s">
        <v>3380</v>
      </c>
      <c r="D2699" s="5">
        <v>10</v>
      </c>
      <c r="E2699" s="7" t="str">
        <f>_xlfn.XLOOKUP(B2699,Customers!A2699:A3698,Customers!B2699:B3698,"Customer Not Found",0)</f>
        <v>Customer Not Found</v>
      </c>
      <c r="F2699" s="7" t="str">
        <f>_xlfn.XLOOKUP(Orders!B2699,Customers!A2699:A3698,Customers!C2699:C3698,"Country not Found",0)</f>
        <v>Country not Found</v>
      </c>
      <c r="G2699" s="7" t="str">
        <f>_xlfn.XLOOKUP(C2699,Products!A2699:A3198,Products!B2699:B3198,"Product Missing",0)</f>
        <v>Product Missing</v>
      </c>
      <c r="H2699" s="7" t="str">
        <f>_xlfn.XLOOKUP(C2699,Products!A2699:A3198,Products!C2699:C3198,"Category Missing",0)</f>
        <v>Category Missing</v>
      </c>
      <c r="I2699" s="11" t="str">
        <f>_xlfn.XLOOKUP(Orders!C2699,Products!A2699:A3198,Products!D2699:D3198,"Price Missing",0)</f>
        <v>Price Missing</v>
      </c>
      <c r="J2699" s="19">
        <f t="shared" si="42"/>
        <v>0</v>
      </c>
    </row>
    <row r="2700" spans="1:10" x14ac:dyDescent="0.35">
      <c r="A2700" s="4" t="s">
        <v>6720</v>
      </c>
      <c r="B2700" s="7" t="s">
        <v>1874</v>
      </c>
      <c r="C2700" s="7" t="s">
        <v>3064</v>
      </c>
      <c r="D2700" s="5">
        <v>1</v>
      </c>
      <c r="E2700" s="7" t="str">
        <f>_xlfn.XLOOKUP(B2700,Customers!A2700:A3699,Customers!B2700:B3699,"Customer Not Found",0)</f>
        <v>Customer Not Found</v>
      </c>
      <c r="F2700" s="7" t="str">
        <f>_xlfn.XLOOKUP(Orders!B2700,Customers!A2700:A3699,Customers!C2700:C3699,"Country not Found",0)</f>
        <v>Country not Found</v>
      </c>
      <c r="G2700" s="7" t="str">
        <f>_xlfn.XLOOKUP(C2700,Products!A2700:A3199,Products!B2700:B3199,"Product Missing",0)</f>
        <v>Product Missing</v>
      </c>
      <c r="H2700" s="7" t="str">
        <f>_xlfn.XLOOKUP(C2700,Products!A2700:A3199,Products!C2700:C3199,"Category Missing",0)</f>
        <v>Category Missing</v>
      </c>
      <c r="I2700" s="11" t="str">
        <f>_xlfn.XLOOKUP(Orders!C2700,Products!A2700:A3199,Products!D2700:D3199,"Price Missing",0)</f>
        <v>Price Missing</v>
      </c>
      <c r="J2700" s="19">
        <f t="shared" si="42"/>
        <v>0</v>
      </c>
    </row>
    <row r="2701" spans="1:10" x14ac:dyDescent="0.35">
      <c r="A2701" s="4" t="s">
        <v>6721</v>
      </c>
      <c r="B2701" s="7" t="s">
        <v>1442</v>
      </c>
      <c r="C2701" s="7" t="s">
        <v>3430</v>
      </c>
      <c r="D2701" s="5">
        <v>2</v>
      </c>
      <c r="E2701" s="7" t="str">
        <f>_xlfn.XLOOKUP(B2701,Customers!A2701:A3700,Customers!B2701:B3700,"Customer Not Found",0)</f>
        <v>Customer Not Found</v>
      </c>
      <c r="F2701" s="7" t="str">
        <f>_xlfn.XLOOKUP(Orders!B2701,Customers!A2701:A3700,Customers!C2701:C3700,"Country not Found",0)</f>
        <v>Country not Found</v>
      </c>
      <c r="G2701" s="7" t="str">
        <f>_xlfn.XLOOKUP(C2701,Products!A2701:A3200,Products!B2701:B3200,"Product Missing",0)</f>
        <v>Product Missing</v>
      </c>
      <c r="H2701" s="7" t="str">
        <f>_xlfn.XLOOKUP(C2701,Products!A2701:A3200,Products!C2701:C3200,"Category Missing",0)</f>
        <v>Category Missing</v>
      </c>
      <c r="I2701" s="11" t="str">
        <f>_xlfn.XLOOKUP(Orders!C2701,Products!A2701:A3200,Products!D2701:D3200,"Price Missing",0)</f>
        <v>Price Missing</v>
      </c>
      <c r="J2701" s="19">
        <f t="shared" si="42"/>
        <v>0</v>
      </c>
    </row>
    <row r="2702" spans="1:10" x14ac:dyDescent="0.35">
      <c r="A2702" s="4" t="s">
        <v>6722</v>
      </c>
      <c r="B2702" s="7" t="s">
        <v>1862</v>
      </c>
      <c r="C2702" s="7" t="s">
        <v>3468</v>
      </c>
      <c r="D2702" s="5">
        <v>1</v>
      </c>
      <c r="E2702" s="7" t="str">
        <f>_xlfn.XLOOKUP(B2702,Customers!A2702:A3701,Customers!B2702:B3701,"Customer Not Found",0)</f>
        <v>Customer Not Found</v>
      </c>
      <c r="F2702" s="7" t="str">
        <f>_xlfn.XLOOKUP(Orders!B2702,Customers!A2702:A3701,Customers!C2702:C3701,"Country not Found",0)</f>
        <v>Country not Found</v>
      </c>
      <c r="G2702" s="7" t="str">
        <f>_xlfn.XLOOKUP(C2702,Products!A2702:A3201,Products!B2702:B3201,"Product Missing",0)</f>
        <v>Product Missing</v>
      </c>
      <c r="H2702" s="7" t="str">
        <f>_xlfn.XLOOKUP(C2702,Products!A2702:A3201,Products!C2702:C3201,"Category Missing",0)</f>
        <v>Category Missing</v>
      </c>
      <c r="I2702" s="11" t="str">
        <f>_xlfn.XLOOKUP(Orders!C2702,Products!A2702:A3201,Products!D2702:D3201,"Price Missing",0)</f>
        <v>Price Missing</v>
      </c>
      <c r="J2702" s="19">
        <f t="shared" si="42"/>
        <v>0</v>
      </c>
    </row>
    <row r="2703" spans="1:10" x14ac:dyDescent="0.35">
      <c r="A2703" s="4" t="s">
        <v>6723</v>
      </c>
      <c r="B2703" s="7" t="s">
        <v>1505</v>
      </c>
      <c r="C2703" s="7" t="s">
        <v>3212</v>
      </c>
      <c r="D2703" s="5">
        <v>8</v>
      </c>
      <c r="E2703" s="7" t="str">
        <f>_xlfn.XLOOKUP(B2703,Customers!A2703:A3702,Customers!B2703:B3702,"Customer Not Found",0)</f>
        <v>Customer Not Found</v>
      </c>
      <c r="F2703" s="7" t="str">
        <f>_xlfn.XLOOKUP(Orders!B2703,Customers!A2703:A3702,Customers!C2703:C3702,"Country not Found",0)</f>
        <v>Country not Found</v>
      </c>
      <c r="G2703" s="7" t="str">
        <f>_xlfn.XLOOKUP(C2703,Products!A2703:A3202,Products!B2703:B3202,"Product Missing",0)</f>
        <v>Product Missing</v>
      </c>
      <c r="H2703" s="7" t="str">
        <f>_xlfn.XLOOKUP(C2703,Products!A2703:A3202,Products!C2703:C3202,"Category Missing",0)</f>
        <v>Category Missing</v>
      </c>
      <c r="I2703" s="11" t="str">
        <f>_xlfn.XLOOKUP(Orders!C2703,Products!A2703:A3202,Products!D2703:D3202,"Price Missing",0)</f>
        <v>Price Missing</v>
      </c>
      <c r="J2703" s="19">
        <f t="shared" si="42"/>
        <v>0</v>
      </c>
    </row>
    <row r="2704" spans="1:10" x14ac:dyDescent="0.35">
      <c r="A2704" s="4" t="s">
        <v>6724</v>
      </c>
      <c r="B2704" s="7" t="s">
        <v>1697</v>
      </c>
      <c r="C2704" s="7" t="s">
        <v>3894</v>
      </c>
      <c r="D2704" s="5">
        <v>5</v>
      </c>
      <c r="E2704" s="7" t="str">
        <f>_xlfn.XLOOKUP(B2704,Customers!A2704:A3703,Customers!B2704:B3703,"Customer Not Found",0)</f>
        <v>Customer Not Found</v>
      </c>
      <c r="F2704" s="7" t="str">
        <f>_xlfn.XLOOKUP(Orders!B2704,Customers!A2704:A3703,Customers!C2704:C3703,"Country not Found",0)</f>
        <v>Country not Found</v>
      </c>
      <c r="G2704" s="7" t="str">
        <f>_xlfn.XLOOKUP(C2704,Products!A2704:A3203,Products!B2704:B3203,"Product Missing",0)</f>
        <v>Product Missing</v>
      </c>
      <c r="H2704" s="7" t="str">
        <f>_xlfn.XLOOKUP(C2704,Products!A2704:A3203,Products!C2704:C3203,"Category Missing",0)</f>
        <v>Category Missing</v>
      </c>
      <c r="I2704" s="11" t="str">
        <f>_xlfn.XLOOKUP(Orders!C2704,Products!A2704:A3203,Products!D2704:D3203,"Price Missing",0)</f>
        <v>Price Missing</v>
      </c>
      <c r="J2704" s="19">
        <f t="shared" si="42"/>
        <v>0</v>
      </c>
    </row>
    <row r="2705" spans="1:10" x14ac:dyDescent="0.35">
      <c r="A2705" s="4" t="s">
        <v>6725</v>
      </c>
      <c r="B2705" s="7" t="s">
        <v>872</v>
      </c>
      <c r="C2705" s="7" t="s">
        <v>3268</v>
      </c>
      <c r="D2705" s="5">
        <v>8</v>
      </c>
      <c r="E2705" s="7" t="str">
        <f>_xlfn.XLOOKUP(B2705,Customers!A2705:A3704,Customers!B2705:B3704,"Customer Not Found",0)</f>
        <v>Customer Not Found</v>
      </c>
      <c r="F2705" s="7" t="str">
        <f>_xlfn.XLOOKUP(Orders!B2705,Customers!A2705:A3704,Customers!C2705:C3704,"Country not Found",0)</f>
        <v>Country not Found</v>
      </c>
      <c r="G2705" s="7" t="str">
        <f>_xlfn.XLOOKUP(C2705,Products!A2705:A3204,Products!B2705:B3204,"Product Missing",0)</f>
        <v>Product Missing</v>
      </c>
      <c r="H2705" s="7" t="str">
        <f>_xlfn.XLOOKUP(C2705,Products!A2705:A3204,Products!C2705:C3204,"Category Missing",0)</f>
        <v>Category Missing</v>
      </c>
      <c r="I2705" s="11" t="str">
        <f>_xlfn.XLOOKUP(Orders!C2705,Products!A2705:A3204,Products!D2705:D3204,"Price Missing",0)</f>
        <v>Price Missing</v>
      </c>
      <c r="J2705" s="19">
        <f t="shared" si="42"/>
        <v>0</v>
      </c>
    </row>
    <row r="2706" spans="1:10" x14ac:dyDescent="0.35">
      <c r="A2706" s="4" t="s">
        <v>6726</v>
      </c>
      <c r="B2706" s="7" t="s">
        <v>1628</v>
      </c>
      <c r="C2706" s="7" t="s">
        <v>3664</v>
      </c>
      <c r="D2706" s="5">
        <v>8</v>
      </c>
      <c r="E2706" s="7" t="str">
        <f>_xlfn.XLOOKUP(B2706,Customers!A2706:A3705,Customers!B2706:B3705,"Customer Not Found",0)</f>
        <v>Customer Not Found</v>
      </c>
      <c r="F2706" s="7" t="str">
        <f>_xlfn.XLOOKUP(Orders!B2706,Customers!A2706:A3705,Customers!C2706:C3705,"Country not Found",0)</f>
        <v>Country not Found</v>
      </c>
      <c r="G2706" s="7" t="str">
        <f>_xlfn.XLOOKUP(C2706,Products!A2706:A3205,Products!B2706:B3205,"Product Missing",0)</f>
        <v>Product Missing</v>
      </c>
      <c r="H2706" s="7" t="str">
        <f>_xlfn.XLOOKUP(C2706,Products!A2706:A3205,Products!C2706:C3205,"Category Missing",0)</f>
        <v>Category Missing</v>
      </c>
      <c r="I2706" s="11" t="str">
        <f>_xlfn.XLOOKUP(Orders!C2706,Products!A2706:A3205,Products!D2706:D3205,"Price Missing",0)</f>
        <v>Price Missing</v>
      </c>
      <c r="J2706" s="19">
        <f t="shared" si="42"/>
        <v>0</v>
      </c>
    </row>
    <row r="2707" spans="1:10" x14ac:dyDescent="0.35">
      <c r="A2707" s="4" t="s">
        <v>6727</v>
      </c>
      <c r="B2707" s="7" t="s">
        <v>1109</v>
      </c>
      <c r="C2707" s="7" t="s">
        <v>3776</v>
      </c>
      <c r="D2707" s="5">
        <v>8</v>
      </c>
      <c r="E2707" s="7" t="str">
        <f>_xlfn.XLOOKUP(B2707,Customers!A2707:A3706,Customers!B2707:B3706,"Customer Not Found",0)</f>
        <v>Customer Not Found</v>
      </c>
      <c r="F2707" s="7" t="str">
        <f>_xlfn.XLOOKUP(Orders!B2707,Customers!A2707:A3706,Customers!C2707:C3706,"Country not Found",0)</f>
        <v>Country not Found</v>
      </c>
      <c r="G2707" s="7" t="str">
        <f>_xlfn.XLOOKUP(C2707,Products!A2707:A3206,Products!B2707:B3206,"Product Missing",0)</f>
        <v>Product Missing</v>
      </c>
      <c r="H2707" s="7" t="str">
        <f>_xlfn.XLOOKUP(C2707,Products!A2707:A3206,Products!C2707:C3206,"Category Missing",0)</f>
        <v>Category Missing</v>
      </c>
      <c r="I2707" s="11" t="str">
        <f>_xlfn.XLOOKUP(Orders!C2707,Products!A2707:A3206,Products!D2707:D3206,"Price Missing",0)</f>
        <v>Price Missing</v>
      </c>
      <c r="J2707" s="19">
        <f t="shared" si="42"/>
        <v>0</v>
      </c>
    </row>
    <row r="2708" spans="1:10" x14ac:dyDescent="0.35">
      <c r="A2708" s="4" t="s">
        <v>6728</v>
      </c>
      <c r="B2708" s="7" t="s">
        <v>2090</v>
      </c>
      <c r="C2708" s="7" t="s">
        <v>3546</v>
      </c>
      <c r="D2708" s="5">
        <v>2</v>
      </c>
      <c r="E2708" s="7" t="str">
        <f>_xlfn.XLOOKUP(B2708,Customers!A2708:A3707,Customers!B2708:B3707,"Customer Not Found",0)</f>
        <v>Customer Not Found</v>
      </c>
      <c r="F2708" s="7" t="str">
        <f>_xlfn.XLOOKUP(Orders!B2708,Customers!A2708:A3707,Customers!C2708:C3707,"Country not Found",0)</f>
        <v>Country not Found</v>
      </c>
      <c r="G2708" s="7" t="str">
        <f>_xlfn.XLOOKUP(C2708,Products!A2708:A3207,Products!B2708:B3207,"Product Missing",0)</f>
        <v>Product Missing</v>
      </c>
      <c r="H2708" s="7" t="str">
        <f>_xlfn.XLOOKUP(C2708,Products!A2708:A3207,Products!C2708:C3207,"Category Missing",0)</f>
        <v>Category Missing</v>
      </c>
      <c r="I2708" s="11" t="str">
        <f>_xlfn.XLOOKUP(Orders!C2708,Products!A2708:A3207,Products!D2708:D3207,"Price Missing",0)</f>
        <v>Price Missing</v>
      </c>
      <c r="J2708" s="19">
        <f t="shared" si="42"/>
        <v>0</v>
      </c>
    </row>
    <row r="2709" spans="1:10" x14ac:dyDescent="0.35">
      <c r="A2709" s="4" t="s">
        <v>6729</v>
      </c>
      <c r="B2709" s="7" t="s">
        <v>431</v>
      </c>
      <c r="C2709" s="7" t="s">
        <v>3760</v>
      </c>
      <c r="D2709" s="5">
        <v>8</v>
      </c>
      <c r="E2709" s="7" t="str">
        <f>_xlfn.XLOOKUP(B2709,Customers!A2709:A3708,Customers!B2709:B3708,"Customer Not Found",0)</f>
        <v>Customer Not Found</v>
      </c>
      <c r="F2709" s="7" t="str">
        <f>_xlfn.XLOOKUP(Orders!B2709,Customers!A2709:A3708,Customers!C2709:C3708,"Country not Found",0)</f>
        <v>Country not Found</v>
      </c>
      <c r="G2709" s="7" t="str">
        <f>_xlfn.XLOOKUP(C2709,Products!A2709:A3208,Products!B2709:B3208,"Product Missing",0)</f>
        <v>Product Missing</v>
      </c>
      <c r="H2709" s="7" t="str">
        <f>_xlfn.XLOOKUP(C2709,Products!A2709:A3208,Products!C2709:C3208,"Category Missing",0)</f>
        <v>Category Missing</v>
      </c>
      <c r="I2709" s="11" t="str">
        <f>_xlfn.XLOOKUP(Orders!C2709,Products!A2709:A3208,Products!D2709:D3208,"Price Missing",0)</f>
        <v>Price Missing</v>
      </c>
      <c r="J2709" s="19">
        <f t="shared" si="42"/>
        <v>0</v>
      </c>
    </row>
    <row r="2710" spans="1:10" x14ac:dyDescent="0.35">
      <c r="A2710" s="4" t="s">
        <v>6730</v>
      </c>
      <c r="B2710" s="7" t="s">
        <v>22</v>
      </c>
      <c r="C2710" s="7" t="s">
        <v>3942</v>
      </c>
      <c r="D2710" s="5">
        <v>6</v>
      </c>
      <c r="E2710" s="7" t="str">
        <f>_xlfn.XLOOKUP(B2710,Customers!A2710:A3709,Customers!B2710:B3709,"Customer Not Found",0)</f>
        <v>Customer Not Found</v>
      </c>
      <c r="F2710" s="7" t="str">
        <f>_xlfn.XLOOKUP(Orders!B2710,Customers!A2710:A3709,Customers!C2710:C3709,"Country not Found",0)</f>
        <v>Country not Found</v>
      </c>
      <c r="G2710" s="7" t="str">
        <f>_xlfn.XLOOKUP(C2710,Products!A2710:A3209,Products!B2710:B3209,"Product Missing",0)</f>
        <v>Product Missing</v>
      </c>
      <c r="H2710" s="7" t="str">
        <f>_xlfn.XLOOKUP(C2710,Products!A2710:A3209,Products!C2710:C3209,"Category Missing",0)</f>
        <v>Category Missing</v>
      </c>
      <c r="I2710" s="11" t="str">
        <f>_xlfn.XLOOKUP(Orders!C2710,Products!A2710:A3209,Products!D2710:D3209,"Price Missing",0)</f>
        <v>Price Missing</v>
      </c>
      <c r="J2710" s="19">
        <f t="shared" si="42"/>
        <v>0</v>
      </c>
    </row>
    <row r="2711" spans="1:10" x14ac:dyDescent="0.35">
      <c r="A2711" s="4" t="s">
        <v>6731</v>
      </c>
      <c r="B2711" s="7" t="s">
        <v>404</v>
      </c>
      <c r="C2711" s="7" t="s">
        <v>3404</v>
      </c>
      <c r="D2711" s="5">
        <v>1</v>
      </c>
      <c r="E2711" s="7" t="str">
        <f>_xlfn.XLOOKUP(B2711,Customers!A2711:A3710,Customers!B2711:B3710,"Customer Not Found",0)</f>
        <v>Customer Not Found</v>
      </c>
      <c r="F2711" s="7" t="str">
        <f>_xlfn.XLOOKUP(Orders!B2711,Customers!A2711:A3710,Customers!C2711:C3710,"Country not Found",0)</f>
        <v>Country not Found</v>
      </c>
      <c r="G2711" s="7" t="str">
        <f>_xlfn.XLOOKUP(C2711,Products!A2711:A3210,Products!B2711:B3210,"Product Missing",0)</f>
        <v>Product Missing</v>
      </c>
      <c r="H2711" s="7" t="str">
        <f>_xlfn.XLOOKUP(C2711,Products!A2711:A3210,Products!C2711:C3210,"Category Missing",0)</f>
        <v>Category Missing</v>
      </c>
      <c r="I2711" s="11" t="str">
        <f>_xlfn.XLOOKUP(Orders!C2711,Products!A2711:A3210,Products!D2711:D3210,"Price Missing",0)</f>
        <v>Price Missing</v>
      </c>
      <c r="J2711" s="19">
        <f t="shared" si="42"/>
        <v>0</v>
      </c>
    </row>
    <row r="2712" spans="1:10" x14ac:dyDescent="0.35">
      <c r="A2712" s="4" t="s">
        <v>6732</v>
      </c>
      <c r="B2712" s="7" t="s">
        <v>1508</v>
      </c>
      <c r="C2712" s="7" t="s">
        <v>3932</v>
      </c>
      <c r="D2712" s="5">
        <v>10</v>
      </c>
      <c r="E2712" s="7" t="str">
        <f>_xlfn.XLOOKUP(B2712,Customers!A2712:A3711,Customers!B2712:B3711,"Customer Not Found",0)</f>
        <v>Customer Not Found</v>
      </c>
      <c r="F2712" s="7" t="str">
        <f>_xlfn.XLOOKUP(Orders!B2712,Customers!A2712:A3711,Customers!C2712:C3711,"Country not Found",0)</f>
        <v>Country not Found</v>
      </c>
      <c r="G2712" s="7" t="str">
        <f>_xlfn.XLOOKUP(C2712,Products!A2712:A3211,Products!B2712:B3211,"Product Missing",0)</f>
        <v>Product Missing</v>
      </c>
      <c r="H2712" s="7" t="str">
        <f>_xlfn.XLOOKUP(C2712,Products!A2712:A3211,Products!C2712:C3211,"Category Missing",0)</f>
        <v>Category Missing</v>
      </c>
      <c r="I2712" s="11" t="str">
        <f>_xlfn.XLOOKUP(Orders!C2712,Products!A2712:A3211,Products!D2712:D3211,"Price Missing",0)</f>
        <v>Price Missing</v>
      </c>
      <c r="J2712" s="19">
        <f t="shared" si="42"/>
        <v>0</v>
      </c>
    </row>
    <row r="2713" spans="1:10" x14ac:dyDescent="0.35">
      <c r="A2713" s="4" t="s">
        <v>6733</v>
      </c>
      <c r="B2713" s="7" t="s">
        <v>1463</v>
      </c>
      <c r="C2713" s="7" t="s">
        <v>3996</v>
      </c>
      <c r="D2713" s="5">
        <v>9</v>
      </c>
      <c r="E2713" s="7" t="str">
        <f>_xlfn.XLOOKUP(B2713,Customers!A2713:A3712,Customers!B2713:B3712,"Customer Not Found",0)</f>
        <v>Customer Not Found</v>
      </c>
      <c r="F2713" s="7" t="str">
        <f>_xlfn.XLOOKUP(Orders!B2713,Customers!A2713:A3712,Customers!C2713:C3712,"Country not Found",0)</f>
        <v>Country not Found</v>
      </c>
      <c r="G2713" s="7" t="str">
        <f>_xlfn.XLOOKUP(C2713,Products!A2713:A3212,Products!B2713:B3212,"Product Missing",0)</f>
        <v>Product Missing</v>
      </c>
      <c r="H2713" s="7" t="str">
        <f>_xlfn.XLOOKUP(C2713,Products!A2713:A3212,Products!C2713:C3212,"Category Missing",0)</f>
        <v>Category Missing</v>
      </c>
      <c r="I2713" s="11" t="str">
        <f>_xlfn.XLOOKUP(Orders!C2713,Products!A2713:A3212,Products!D2713:D3212,"Price Missing",0)</f>
        <v>Price Missing</v>
      </c>
      <c r="J2713" s="19">
        <f t="shared" si="42"/>
        <v>0</v>
      </c>
    </row>
    <row r="2714" spans="1:10" x14ac:dyDescent="0.35">
      <c r="A2714" s="4" t="s">
        <v>6734</v>
      </c>
      <c r="B2714" s="7" t="s">
        <v>1781</v>
      </c>
      <c r="C2714" s="7" t="s">
        <v>3472</v>
      </c>
      <c r="D2714" s="5">
        <v>9</v>
      </c>
      <c r="E2714" s="7" t="str">
        <f>_xlfn.XLOOKUP(B2714,Customers!A2714:A3713,Customers!B2714:B3713,"Customer Not Found",0)</f>
        <v>Customer Not Found</v>
      </c>
      <c r="F2714" s="7" t="str">
        <f>_xlfn.XLOOKUP(Orders!B2714,Customers!A2714:A3713,Customers!C2714:C3713,"Country not Found",0)</f>
        <v>Country not Found</v>
      </c>
      <c r="G2714" s="7" t="str">
        <f>_xlfn.XLOOKUP(C2714,Products!A2714:A3213,Products!B2714:B3213,"Product Missing",0)</f>
        <v>Product Missing</v>
      </c>
      <c r="H2714" s="7" t="str">
        <f>_xlfn.XLOOKUP(C2714,Products!A2714:A3213,Products!C2714:C3213,"Category Missing",0)</f>
        <v>Category Missing</v>
      </c>
      <c r="I2714" s="11" t="str">
        <f>_xlfn.XLOOKUP(Orders!C2714,Products!A2714:A3213,Products!D2714:D3213,"Price Missing",0)</f>
        <v>Price Missing</v>
      </c>
      <c r="J2714" s="19">
        <f t="shared" si="42"/>
        <v>0</v>
      </c>
    </row>
    <row r="2715" spans="1:10" x14ac:dyDescent="0.35">
      <c r="A2715" s="4" t="s">
        <v>6735</v>
      </c>
      <c r="B2715" s="7" t="s">
        <v>2420</v>
      </c>
      <c r="C2715" s="7" t="s">
        <v>3474</v>
      </c>
      <c r="D2715" s="5">
        <v>3</v>
      </c>
      <c r="E2715" s="7" t="str">
        <f>_xlfn.XLOOKUP(B2715,Customers!A2715:A3714,Customers!B2715:B3714,"Customer Not Found",0)</f>
        <v>Customer Not Found</v>
      </c>
      <c r="F2715" s="7" t="str">
        <f>_xlfn.XLOOKUP(Orders!B2715,Customers!A2715:A3714,Customers!C2715:C3714,"Country not Found",0)</f>
        <v>Country not Found</v>
      </c>
      <c r="G2715" s="7" t="str">
        <f>_xlfn.XLOOKUP(C2715,Products!A2715:A3214,Products!B2715:B3214,"Product Missing",0)</f>
        <v>Product Missing</v>
      </c>
      <c r="H2715" s="7" t="str">
        <f>_xlfn.XLOOKUP(C2715,Products!A2715:A3214,Products!C2715:C3214,"Category Missing",0)</f>
        <v>Category Missing</v>
      </c>
      <c r="I2715" s="11" t="str">
        <f>_xlfn.XLOOKUP(Orders!C2715,Products!A2715:A3214,Products!D2715:D3214,"Price Missing",0)</f>
        <v>Price Missing</v>
      </c>
      <c r="J2715" s="19">
        <f t="shared" si="42"/>
        <v>0</v>
      </c>
    </row>
    <row r="2716" spans="1:10" x14ac:dyDescent="0.35">
      <c r="A2716" s="4" t="s">
        <v>6736</v>
      </c>
      <c r="B2716" s="7" t="s">
        <v>1457</v>
      </c>
      <c r="C2716" s="7" t="s">
        <v>3015</v>
      </c>
      <c r="D2716" s="5">
        <v>3</v>
      </c>
      <c r="E2716" s="7" t="str">
        <f>_xlfn.XLOOKUP(B2716,Customers!A2716:A3715,Customers!B2716:B3715,"Customer Not Found",0)</f>
        <v>Customer Not Found</v>
      </c>
      <c r="F2716" s="7" t="str">
        <f>_xlfn.XLOOKUP(Orders!B2716,Customers!A2716:A3715,Customers!C2716:C3715,"Country not Found",0)</f>
        <v>Country not Found</v>
      </c>
      <c r="G2716" s="7" t="str">
        <f>_xlfn.XLOOKUP(C2716,Products!A2716:A3215,Products!B2716:B3215,"Product Missing",0)</f>
        <v>Product Missing</v>
      </c>
      <c r="H2716" s="7" t="str">
        <f>_xlfn.XLOOKUP(C2716,Products!A2716:A3215,Products!C2716:C3215,"Category Missing",0)</f>
        <v>Category Missing</v>
      </c>
      <c r="I2716" s="11" t="str">
        <f>_xlfn.XLOOKUP(Orders!C2716,Products!A2716:A3215,Products!D2716:D3215,"Price Missing",0)</f>
        <v>Price Missing</v>
      </c>
      <c r="J2716" s="19">
        <f t="shared" si="42"/>
        <v>0</v>
      </c>
    </row>
    <row r="2717" spans="1:10" x14ac:dyDescent="0.35">
      <c r="A2717" s="4" t="s">
        <v>6737</v>
      </c>
      <c r="B2717" s="7" t="s">
        <v>158</v>
      </c>
      <c r="C2717" s="7" t="s">
        <v>3348</v>
      </c>
      <c r="D2717" s="5">
        <v>4</v>
      </c>
      <c r="E2717" s="7" t="str">
        <f>_xlfn.XLOOKUP(B2717,Customers!A2717:A3716,Customers!B2717:B3716,"Customer Not Found",0)</f>
        <v>Customer Not Found</v>
      </c>
      <c r="F2717" s="7" t="str">
        <f>_xlfn.XLOOKUP(Orders!B2717,Customers!A2717:A3716,Customers!C2717:C3716,"Country not Found",0)</f>
        <v>Country not Found</v>
      </c>
      <c r="G2717" s="7" t="str">
        <f>_xlfn.XLOOKUP(C2717,Products!A2717:A3216,Products!B2717:B3216,"Product Missing",0)</f>
        <v>Product Missing</v>
      </c>
      <c r="H2717" s="7" t="str">
        <f>_xlfn.XLOOKUP(C2717,Products!A2717:A3216,Products!C2717:C3216,"Category Missing",0)</f>
        <v>Category Missing</v>
      </c>
      <c r="I2717" s="11" t="str">
        <f>_xlfn.XLOOKUP(Orders!C2717,Products!A2717:A3216,Products!D2717:D3216,"Price Missing",0)</f>
        <v>Price Missing</v>
      </c>
      <c r="J2717" s="19">
        <f t="shared" si="42"/>
        <v>0</v>
      </c>
    </row>
    <row r="2718" spans="1:10" x14ac:dyDescent="0.35">
      <c r="A2718" s="4" t="s">
        <v>6738</v>
      </c>
      <c r="B2718" s="7" t="s">
        <v>2462</v>
      </c>
      <c r="C2718" s="7" t="s">
        <v>3848</v>
      </c>
      <c r="D2718" s="5">
        <v>7</v>
      </c>
      <c r="E2718" s="7" t="str">
        <f>_xlfn.XLOOKUP(B2718,Customers!A2718:A3717,Customers!B2718:B3717,"Customer Not Found",0)</f>
        <v>Customer Not Found</v>
      </c>
      <c r="F2718" s="7" t="str">
        <f>_xlfn.XLOOKUP(Orders!B2718,Customers!A2718:A3717,Customers!C2718:C3717,"Country not Found",0)</f>
        <v>Country not Found</v>
      </c>
      <c r="G2718" s="7" t="str">
        <f>_xlfn.XLOOKUP(C2718,Products!A2718:A3217,Products!B2718:B3217,"Product Missing",0)</f>
        <v>Product Missing</v>
      </c>
      <c r="H2718" s="7" t="str">
        <f>_xlfn.XLOOKUP(C2718,Products!A2718:A3217,Products!C2718:C3217,"Category Missing",0)</f>
        <v>Category Missing</v>
      </c>
      <c r="I2718" s="11" t="str">
        <f>_xlfn.XLOOKUP(Orders!C2718,Products!A2718:A3217,Products!D2718:D3217,"Price Missing",0)</f>
        <v>Price Missing</v>
      </c>
      <c r="J2718" s="19">
        <f t="shared" si="42"/>
        <v>0</v>
      </c>
    </row>
    <row r="2719" spans="1:10" x14ac:dyDescent="0.35">
      <c r="A2719" s="4" t="s">
        <v>6739</v>
      </c>
      <c r="B2719" s="7" t="s">
        <v>1505</v>
      </c>
      <c r="C2719" s="7" t="s">
        <v>3268</v>
      </c>
      <c r="D2719" s="5">
        <v>6</v>
      </c>
      <c r="E2719" s="7" t="str">
        <f>_xlfn.XLOOKUP(B2719,Customers!A2719:A3718,Customers!B2719:B3718,"Customer Not Found",0)</f>
        <v>Customer Not Found</v>
      </c>
      <c r="F2719" s="7" t="str">
        <f>_xlfn.XLOOKUP(Orders!B2719,Customers!A2719:A3718,Customers!C2719:C3718,"Country not Found",0)</f>
        <v>Country not Found</v>
      </c>
      <c r="G2719" s="7" t="str">
        <f>_xlfn.XLOOKUP(C2719,Products!A2719:A3218,Products!B2719:B3218,"Product Missing",0)</f>
        <v>Product Missing</v>
      </c>
      <c r="H2719" s="7" t="str">
        <f>_xlfn.XLOOKUP(C2719,Products!A2719:A3218,Products!C2719:C3218,"Category Missing",0)</f>
        <v>Category Missing</v>
      </c>
      <c r="I2719" s="11" t="str">
        <f>_xlfn.XLOOKUP(Orders!C2719,Products!A2719:A3218,Products!D2719:D3218,"Price Missing",0)</f>
        <v>Price Missing</v>
      </c>
      <c r="J2719" s="19">
        <f t="shared" si="42"/>
        <v>0</v>
      </c>
    </row>
    <row r="2720" spans="1:10" x14ac:dyDescent="0.35">
      <c r="A2720" s="4" t="s">
        <v>6740</v>
      </c>
      <c r="B2720" s="7" t="s">
        <v>1175</v>
      </c>
      <c r="C2720" s="7" t="s">
        <v>3382</v>
      </c>
      <c r="D2720" s="5">
        <v>1</v>
      </c>
      <c r="E2720" s="7" t="str">
        <f>_xlfn.XLOOKUP(B2720,Customers!A2720:A3719,Customers!B2720:B3719,"Customer Not Found",0)</f>
        <v>Customer Not Found</v>
      </c>
      <c r="F2720" s="7" t="str">
        <f>_xlfn.XLOOKUP(Orders!B2720,Customers!A2720:A3719,Customers!C2720:C3719,"Country not Found",0)</f>
        <v>Country not Found</v>
      </c>
      <c r="G2720" s="7" t="str">
        <f>_xlfn.XLOOKUP(C2720,Products!A2720:A3219,Products!B2720:B3219,"Product Missing",0)</f>
        <v>Product Missing</v>
      </c>
      <c r="H2720" s="7" t="str">
        <f>_xlfn.XLOOKUP(C2720,Products!A2720:A3219,Products!C2720:C3219,"Category Missing",0)</f>
        <v>Category Missing</v>
      </c>
      <c r="I2720" s="11" t="str">
        <f>_xlfn.XLOOKUP(Orders!C2720,Products!A2720:A3219,Products!D2720:D3219,"Price Missing",0)</f>
        <v>Price Missing</v>
      </c>
      <c r="J2720" s="19">
        <f t="shared" si="42"/>
        <v>0</v>
      </c>
    </row>
    <row r="2721" spans="1:10" x14ac:dyDescent="0.35">
      <c r="A2721" s="4" t="s">
        <v>6741</v>
      </c>
      <c r="B2721" s="7" t="s">
        <v>1799</v>
      </c>
      <c r="C2721" s="7" t="s">
        <v>3206</v>
      </c>
      <c r="D2721" s="5">
        <v>10</v>
      </c>
      <c r="E2721" s="7" t="str">
        <f>_xlfn.XLOOKUP(B2721,Customers!A2721:A3720,Customers!B2721:B3720,"Customer Not Found",0)</f>
        <v>Customer Not Found</v>
      </c>
      <c r="F2721" s="7" t="str">
        <f>_xlfn.XLOOKUP(Orders!B2721,Customers!A2721:A3720,Customers!C2721:C3720,"Country not Found",0)</f>
        <v>Country not Found</v>
      </c>
      <c r="G2721" s="7" t="str">
        <f>_xlfn.XLOOKUP(C2721,Products!A2721:A3220,Products!B2721:B3220,"Product Missing",0)</f>
        <v>Product Missing</v>
      </c>
      <c r="H2721" s="7" t="str">
        <f>_xlfn.XLOOKUP(C2721,Products!A2721:A3220,Products!C2721:C3220,"Category Missing",0)</f>
        <v>Category Missing</v>
      </c>
      <c r="I2721" s="11" t="str">
        <f>_xlfn.XLOOKUP(Orders!C2721,Products!A2721:A3220,Products!D2721:D3220,"Price Missing",0)</f>
        <v>Price Missing</v>
      </c>
      <c r="J2721" s="19">
        <f t="shared" si="42"/>
        <v>0</v>
      </c>
    </row>
    <row r="2722" spans="1:10" x14ac:dyDescent="0.35">
      <c r="A2722" s="4" t="s">
        <v>6742</v>
      </c>
      <c r="B2722" s="7" t="s">
        <v>2849</v>
      </c>
      <c r="C2722" s="7" t="s">
        <v>3548</v>
      </c>
      <c r="D2722" s="5">
        <v>10</v>
      </c>
      <c r="E2722" s="7" t="str">
        <f>_xlfn.XLOOKUP(B2722,Customers!A2722:A3721,Customers!B2722:B3721,"Customer Not Found",0)</f>
        <v>Customer Not Found</v>
      </c>
      <c r="F2722" s="7" t="str">
        <f>_xlfn.XLOOKUP(Orders!B2722,Customers!A2722:A3721,Customers!C2722:C3721,"Country not Found",0)</f>
        <v>Country not Found</v>
      </c>
      <c r="G2722" s="7" t="str">
        <f>_xlfn.XLOOKUP(C2722,Products!A2722:A3221,Products!B2722:B3221,"Product Missing",0)</f>
        <v>Product Missing</v>
      </c>
      <c r="H2722" s="7" t="str">
        <f>_xlfn.XLOOKUP(C2722,Products!A2722:A3221,Products!C2722:C3221,"Category Missing",0)</f>
        <v>Category Missing</v>
      </c>
      <c r="I2722" s="11" t="str">
        <f>_xlfn.XLOOKUP(Orders!C2722,Products!A2722:A3221,Products!D2722:D3221,"Price Missing",0)</f>
        <v>Price Missing</v>
      </c>
      <c r="J2722" s="19">
        <f t="shared" si="42"/>
        <v>0</v>
      </c>
    </row>
    <row r="2723" spans="1:10" x14ac:dyDescent="0.35">
      <c r="A2723" s="4" t="s">
        <v>6743</v>
      </c>
      <c r="B2723" s="7" t="s">
        <v>2435</v>
      </c>
      <c r="C2723" s="7" t="s">
        <v>3516</v>
      </c>
      <c r="D2723" s="5">
        <v>9</v>
      </c>
      <c r="E2723" s="7" t="str">
        <f>_xlfn.XLOOKUP(B2723,Customers!A2723:A3722,Customers!B2723:B3722,"Customer Not Found",0)</f>
        <v>Customer Not Found</v>
      </c>
      <c r="F2723" s="7" t="str">
        <f>_xlfn.XLOOKUP(Orders!B2723,Customers!A2723:A3722,Customers!C2723:C3722,"Country not Found",0)</f>
        <v>Country not Found</v>
      </c>
      <c r="G2723" s="7" t="str">
        <f>_xlfn.XLOOKUP(C2723,Products!A2723:A3222,Products!B2723:B3222,"Product Missing",0)</f>
        <v>Product Missing</v>
      </c>
      <c r="H2723" s="7" t="str">
        <f>_xlfn.XLOOKUP(C2723,Products!A2723:A3222,Products!C2723:C3222,"Category Missing",0)</f>
        <v>Category Missing</v>
      </c>
      <c r="I2723" s="11" t="str">
        <f>_xlfn.XLOOKUP(Orders!C2723,Products!A2723:A3222,Products!D2723:D3222,"Price Missing",0)</f>
        <v>Price Missing</v>
      </c>
      <c r="J2723" s="19">
        <f t="shared" si="42"/>
        <v>0</v>
      </c>
    </row>
    <row r="2724" spans="1:10" x14ac:dyDescent="0.35">
      <c r="A2724" s="4" t="s">
        <v>6744</v>
      </c>
      <c r="B2724" s="7" t="s">
        <v>1733</v>
      </c>
      <c r="C2724" s="7" t="s">
        <v>3536</v>
      </c>
      <c r="D2724" s="5">
        <v>10</v>
      </c>
      <c r="E2724" s="7" t="str">
        <f>_xlfn.XLOOKUP(B2724,Customers!A2724:A3723,Customers!B2724:B3723,"Customer Not Found",0)</f>
        <v>Customer Not Found</v>
      </c>
      <c r="F2724" s="7" t="str">
        <f>_xlfn.XLOOKUP(Orders!B2724,Customers!A2724:A3723,Customers!C2724:C3723,"Country not Found",0)</f>
        <v>Country not Found</v>
      </c>
      <c r="G2724" s="7" t="str">
        <f>_xlfn.XLOOKUP(C2724,Products!A2724:A3223,Products!B2724:B3223,"Product Missing",0)</f>
        <v>Product Missing</v>
      </c>
      <c r="H2724" s="7" t="str">
        <f>_xlfn.XLOOKUP(C2724,Products!A2724:A3223,Products!C2724:C3223,"Category Missing",0)</f>
        <v>Category Missing</v>
      </c>
      <c r="I2724" s="11" t="str">
        <f>_xlfn.XLOOKUP(Orders!C2724,Products!A2724:A3223,Products!D2724:D3223,"Price Missing",0)</f>
        <v>Price Missing</v>
      </c>
      <c r="J2724" s="19">
        <f t="shared" si="42"/>
        <v>0</v>
      </c>
    </row>
    <row r="2725" spans="1:10" x14ac:dyDescent="0.35">
      <c r="A2725" s="4" t="s">
        <v>6745</v>
      </c>
      <c r="B2725" s="7" t="s">
        <v>1910</v>
      </c>
      <c r="C2725" s="7" t="s">
        <v>3366</v>
      </c>
      <c r="D2725" s="5">
        <v>2</v>
      </c>
      <c r="E2725" s="7" t="str">
        <f>_xlfn.XLOOKUP(B2725,Customers!A2725:A3724,Customers!B2725:B3724,"Customer Not Found",0)</f>
        <v>Customer Not Found</v>
      </c>
      <c r="F2725" s="7" t="str">
        <f>_xlfn.XLOOKUP(Orders!B2725,Customers!A2725:A3724,Customers!C2725:C3724,"Country not Found",0)</f>
        <v>Country not Found</v>
      </c>
      <c r="G2725" s="7" t="str">
        <f>_xlfn.XLOOKUP(C2725,Products!A2725:A3224,Products!B2725:B3224,"Product Missing",0)</f>
        <v>Product Missing</v>
      </c>
      <c r="H2725" s="7" t="str">
        <f>_xlfn.XLOOKUP(C2725,Products!A2725:A3224,Products!C2725:C3224,"Category Missing",0)</f>
        <v>Category Missing</v>
      </c>
      <c r="I2725" s="11" t="str">
        <f>_xlfn.XLOOKUP(Orders!C2725,Products!A2725:A3224,Products!D2725:D3224,"Price Missing",0)</f>
        <v>Price Missing</v>
      </c>
      <c r="J2725" s="19">
        <f t="shared" si="42"/>
        <v>0</v>
      </c>
    </row>
    <row r="2726" spans="1:10" x14ac:dyDescent="0.35">
      <c r="A2726" s="4" t="s">
        <v>6746</v>
      </c>
      <c r="B2726" s="7" t="s">
        <v>2780</v>
      </c>
      <c r="C2726" s="7" t="s">
        <v>3810</v>
      </c>
      <c r="D2726" s="5">
        <v>8</v>
      </c>
      <c r="E2726" s="7" t="str">
        <f>_xlfn.XLOOKUP(B2726,Customers!A2726:A3725,Customers!B2726:B3725,"Customer Not Found",0)</f>
        <v>Customer Not Found</v>
      </c>
      <c r="F2726" s="7" t="str">
        <f>_xlfn.XLOOKUP(Orders!B2726,Customers!A2726:A3725,Customers!C2726:C3725,"Country not Found",0)</f>
        <v>Country not Found</v>
      </c>
      <c r="G2726" s="7" t="str">
        <f>_xlfn.XLOOKUP(C2726,Products!A2726:A3225,Products!B2726:B3225,"Product Missing",0)</f>
        <v>Product Missing</v>
      </c>
      <c r="H2726" s="7" t="str">
        <f>_xlfn.XLOOKUP(C2726,Products!A2726:A3225,Products!C2726:C3225,"Category Missing",0)</f>
        <v>Category Missing</v>
      </c>
      <c r="I2726" s="11" t="str">
        <f>_xlfn.XLOOKUP(Orders!C2726,Products!A2726:A3225,Products!D2726:D3225,"Price Missing",0)</f>
        <v>Price Missing</v>
      </c>
      <c r="J2726" s="19">
        <f t="shared" si="42"/>
        <v>0</v>
      </c>
    </row>
    <row r="2727" spans="1:10" x14ac:dyDescent="0.35">
      <c r="A2727" s="4" t="s">
        <v>6747</v>
      </c>
      <c r="B2727" s="7" t="s">
        <v>2060</v>
      </c>
      <c r="C2727" s="7" t="s">
        <v>3248</v>
      </c>
      <c r="D2727" s="5">
        <v>1</v>
      </c>
      <c r="E2727" s="7" t="str">
        <f>_xlfn.XLOOKUP(B2727,Customers!A2727:A3726,Customers!B2727:B3726,"Customer Not Found",0)</f>
        <v>Customer Not Found</v>
      </c>
      <c r="F2727" s="7" t="str">
        <f>_xlfn.XLOOKUP(Orders!B2727,Customers!A2727:A3726,Customers!C2727:C3726,"Country not Found",0)</f>
        <v>Country not Found</v>
      </c>
      <c r="G2727" s="7" t="str">
        <f>_xlfn.XLOOKUP(C2727,Products!A2727:A3226,Products!B2727:B3226,"Product Missing",0)</f>
        <v>Product Missing</v>
      </c>
      <c r="H2727" s="7" t="str">
        <f>_xlfn.XLOOKUP(C2727,Products!A2727:A3226,Products!C2727:C3226,"Category Missing",0)</f>
        <v>Category Missing</v>
      </c>
      <c r="I2727" s="11" t="str">
        <f>_xlfn.XLOOKUP(Orders!C2727,Products!A2727:A3226,Products!D2727:D3226,"Price Missing",0)</f>
        <v>Price Missing</v>
      </c>
      <c r="J2727" s="19">
        <f t="shared" si="42"/>
        <v>0</v>
      </c>
    </row>
    <row r="2728" spans="1:10" x14ac:dyDescent="0.35">
      <c r="A2728" s="4" t="s">
        <v>6748</v>
      </c>
      <c r="B2728" s="7" t="s">
        <v>1970</v>
      </c>
      <c r="C2728" s="7" t="s">
        <v>3352</v>
      </c>
      <c r="D2728" s="5">
        <v>4</v>
      </c>
      <c r="E2728" s="7" t="str">
        <f>_xlfn.XLOOKUP(B2728,Customers!A2728:A3727,Customers!B2728:B3727,"Customer Not Found",0)</f>
        <v>Customer Not Found</v>
      </c>
      <c r="F2728" s="7" t="str">
        <f>_xlfn.XLOOKUP(Orders!B2728,Customers!A2728:A3727,Customers!C2728:C3727,"Country not Found",0)</f>
        <v>Country not Found</v>
      </c>
      <c r="G2728" s="7" t="str">
        <f>_xlfn.XLOOKUP(C2728,Products!A2728:A3227,Products!B2728:B3227,"Product Missing",0)</f>
        <v>Product Missing</v>
      </c>
      <c r="H2728" s="7" t="str">
        <f>_xlfn.XLOOKUP(C2728,Products!A2728:A3227,Products!C2728:C3227,"Category Missing",0)</f>
        <v>Category Missing</v>
      </c>
      <c r="I2728" s="11" t="str">
        <f>_xlfn.XLOOKUP(Orders!C2728,Products!A2728:A3227,Products!D2728:D3227,"Price Missing",0)</f>
        <v>Price Missing</v>
      </c>
      <c r="J2728" s="19">
        <f t="shared" si="42"/>
        <v>0</v>
      </c>
    </row>
    <row r="2729" spans="1:10" x14ac:dyDescent="0.35">
      <c r="A2729" s="4" t="s">
        <v>6749</v>
      </c>
      <c r="B2729" s="7" t="s">
        <v>1574</v>
      </c>
      <c r="C2729" s="7" t="s">
        <v>3518</v>
      </c>
      <c r="D2729" s="5">
        <v>5</v>
      </c>
      <c r="E2729" s="7" t="str">
        <f>_xlfn.XLOOKUP(B2729,Customers!A2729:A3728,Customers!B2729:B3728,"Customer Not Found",0)</f>
        <v>Customer Not Found</v>
      </c>
      <c r="F2729" s="7" t="str">
        <f>_xlfn.XLOOKUP(Orders!B2729,Customers!A2729:A3728,Customers!C2729:C3728,"Country not Found",0)</f>
        <v>Country not Found</v>
      </c>
      <c r="G2729" s="7" t="str">
        <f>_xlfn.XLOOKUP(C2729,Products!A2729:A3228,Products!B2729:B3228,"Product Missing",0)</f>
        <v>Product Missing</v>
      </c>
      <c r="H2729" s="7" t="str">
        <f>_xlfn.XLOOKUP(C2729,Products!A2729:A3228,Products!C2729:C3228,"Category Missing",0)</f>
        <v>Category Missing</v>
      </c>
      <c r="I2729" s="11" t="str">
        <f>_xlfn.XLOOKUP(Orders!C2729,Products!A2729:A3228,Products!D2729:D3228,"Price Missing",0)</f>
        <v>Price Missing</v>
      </c>
      <c r="J2729" s="19">
        <f t="shared" si="42"/>
        <v>0</v>
      </c>
    </row>
    <row r="2730" spans="1:10" x14ac:dyDescent="0.35">
      <c r="A2730" s="4" t="s">
        <v>6750</v>
      </c>
      <c r="B2730" s="7" t="s">
        <v>2099</v>
      </c>
      <c r="C2730" s="7" t="s">
        <v>3446</v>
      </c>
      <c r="D2730" s="5">
        <v>3</v>
      </c>
      <c r="E2730" s="7" t="str">
        <f>_xlfn.XLOOKUP(B2730,Customers!A2730:A3729,Customers!B2730:B3729,"Customer Not Found",0)</f>
        <v>Customer Not Found</v>
      </c>
      <c r="F2730" s="7" t="str">
        <f>_xlfn.XLOOKUP(Orders!B2730,Customers!A2730:A3729,Customers!C2730:C3729,"Country not Found",0)</f>
        <v>Country not Found</v>
      </c>
      <c r="G2730" s="7" t="str">
        <f>_xlfn.XLOOKUP(C2730,Products!A2730:A3229,Products!B2730:B3229,"Product Missing",0)</f>
        <v>Product Missing</v>
      </c>
      <c r="H2730" s="7" t="str">
        <f>_xlfn.XLOOKUP(C2730,Products!A2730:A3229,Products!C2730:C3229,"Category Missing",0)</f>
        <v>Category Missing</v>
      </c>
      <c r="I2730" s="11" t="str">
        <f>_xlfn.XLOOKUP(Orders!C2730,Products!A2730:A3229,Products!D2730:D3229,"Price Missing",0)</f>
        <v>Price Missing</v>
      </c>
      <c r="J2730" s="19">
        <f t="shared" si="42"/>
        <v>0</v>
      </c>
    </row>
    <row r="2731" spans="1:10" x14ac:dyDescent="0.35">
      <c r="A2731" s="4" t="s">
        <v>6751</v>
      </c>
      <c r="B2731" s="7" t="s">
        <v>2675</v>
      </c>
      <c r="C2731" s="7" t="s">
        <v>3938</v>
      </c>
      <c r="D2731" s="5">
        <v>10</v>
      </c>
      <c r="E2731" s="7" t="str">
        <f>_xlfn.XLOOKUP(B2731,Customers!A2731:A3730,Customers!B2731:B3730,"Customer Not Found",0)</f>
        <v>Customer Not Found</v>
      </c>
      <c r="F2731" s="7" t="str">
        <f>_xlfn.XLOOKUP(Orders!B2731,Customers!A2731:A3730,Customers!C2731:C3730,"Country not Found",0)</f>
        <v>Country not Found</v>
      </c>
      <c r="G2731" s="7" t="str">
        <f>_xlfn.XLOOKUP(C2731,Products!A2731:A3230,Products!B2731:B3230,"Product Missing",0)</f>
        <v>Product Missing</v>
      </c>
      <c r="H2731" s="7" t="str">
        <f>_xlfn.XLOOKUP(C2731,Products!A2731:A3230,Products!C2731:C3230,"Category Missing",0)</f>
        <v>Category Missing</v>
      </c>
      <c r="I2731" s="11" t="str">
        <f>_xlfn.XLOOKUP(Orders!C2731,Products!A2731:A3230,Products!D2731:D3230,"Price Missing",0)</f>
        <v>Price Missing</v>
      </c>
      <c r="J2731" s="19">
        <f t="shared" si="42"/>
        <v>0</v>
      </c>
    </row>
    <row r="2732" spans="1:10" x14ac:dyDescent="0.35">
      <c r="A2732" s="4" t="s">
        <v>6752</v>
      </c>
      <c r="B2732" s="7" t="s">
        <v>2342</v>
      </c>
      <c r="C2732" s="7" t="s">
        <v>3468</v>
      </c>
      <c r="D2732" s="5">
        <v>7</v>
      </c>
      <c r="E2732" s="7" t="str">
        <f>_xlfn.XLOOKUP(B2732,Customers!A2732:A3731,Customers!B2732:B3731,"Customer Not Found",0)</f>
        <v>Customer Not Found</v>
      </c>
      <c r="F2732" s="7" t="str">
        <f>_xlfn.XLOOKUP(Orders!B2732,Customers!A2732:A3731,Customers!C2732:C3731,"Country not Found",0)</f>
        <v>Country not Found</v>
      </c>
      <c r="G2732" s="7" t="str">
        <f>_xlfn.XLOOKUP(C2732,Products!A2732:A3231,Products!B2732:B3231,"Product Missing",0)</f>
        <v>Product Missing</v>
      </c>
      <c r="H2732" s="7" t="str">
        <f>_xlfn.XLOOKUP(C2732,Products!A2732:A3231,Products!C2732:C3231,"Category Missing",0)</f>
        <v>Category Missing</v>
      </c>
      <c r="I2732" s="11" t="str">
        <f>_xlfn.XLOOKUP(Orders!C2732,Products!A2732:A3231,Products!D2732:D3231,"Price Missing",0)</f>
        <v>Price Missing</v>
      </c>
      <c r="J2732" s="19">
        <f t="shared" si="42"/>
        <v>0</v>
      </c>
    </row>
    <row r="2733" spans="1:10" x14ac:dyDescent="0.35">
      <c r="A2733" s="4" t="s">
        <v>6753</v>
      </c>
      <c r="B2733" s="7" t="s">
        <v>2387</v>
      </c>
      <c r="C2733" s="7" t="s">
        <v>3272</v>
      </c>
      <c r="D2733" s="5">
        <v>8</v>
      </c>
      <c r="E2733" s="7" t="str">
        <f>_xlfn.XLOOKUP(B2733,Customers!A2733:A3732,Customers!B2733:B3732,"Customer Not Found",0)</f>
        <v>Customer Not Found</v>
      </c>
      <c r="F2733" s="7" t="str">
        <f>_xlfn.XLOOKUP(Orders!B2733,Customers!A2733:A3732,Customers!C2733:C3732,"Country not Found",0)</f>
        <v>Country not Found</v>
      </c>
      <c r="G2733" s="7" t="str">
        <f>_xlfn.XLOOKUP(C2733,Products!A2733:A3232,Products!B2733:B3232,"Product Missing",0)</f>
        <v>Product Missing</v>
      </c>
      <c r="H2733" s="7" t="str">
        <f>_xlfn.XLOOKUP(C2733,Products!A2733:A3232,Products!C2733:C3232,"Category Missing",0)</f>
        <v>Category Missing</v>
      </c>
      <c r="I2733" s="11" t="str">
        <f>_xlfn.XLOOKUP(Orders!C2733,Products!A2733:A3232,Products!D2733:D3232,"Price Missing",0)</f>
        <v>Price Missing</v>
      </c>
      <c r="J2733" s="19">
        <f t="shared" si="42"/>
        <v>0</v>
      </c>
    </row>
    <row r="2734" spans="1:10" x14ac:dyDescent="0.35">
      <c r="A2734" s="4" t="s">
        <v>6754</v>
      </c>
      <c r="B2734" s="7" t="s">
        <v>614</v>
      </c>
      <c r="C2734" s="7" t="s">
        <v>3958</v>
      </c>
      <c r="D2734" s="5">
        <v>1</v>
      </c>
      <c r="E2734" s="7" t="str">
        <f>_xlfn.XLOOKUP(B2734,Customers!A2734:A3733,Customers!B2734:B3733,"Customer Not Found",0)</f>
        <v>Customer Not Found</v>
      </c>
      <c r="F2734" s="7" t="str">
        <f>_xlfn.XLOOKUP(Orders!B2734,Customers!A2734:A3733,Customers!C2734:C3733,"Country not Found",0)</f>
        <v>Country not Found</v>
      </c>
      <c r="G2734" s="7" t="str">
        <f>_xlfn.XLOOKUP(C2734,Products!A2734:A3233,Products!B2734:B3233,"Product Missing",0)</f>
        <v>Product Missing</v>
      </c>
      <c r="H2734" s="7" t="str">
        <f>_xlfn.XLOOKUP(C2734,Products!A2734:A3233,Products!C2734:C3233,"Category Missing",0)</f>
        <v>Category Missing</v>
      </c>
      <c r="I2734" s="11" t="str">
        <f>_xlfn.XLOOKUP(Orders!C2734,Products!A2734:A3233,Products!D2734:D3233,"Price Missing",0)</f>
        <v>Price Missing</v>
      </c>
      <c r="J2734" s="19">
        <f t="shared" si="42"/>
        <v>0</v>
      </c>
    </row>
    <row r="2735" spans="1:10" x14ac:dyDescent="0.35">
      <c r="A2735" s="4" t="s">
        <v>6755</v>
      </c>
      <c r="B2735" s="7" t="s">
        <v>2039</v>
      </c>
      <c r="C2735" s="7" t="s">
        <v>3360</v>
      </c>
      <c r="D2735" s="5">
        <v>4</v>
      </c>
      <c r="E2735" s="7" t="str">
        <f>_xlfn.XLOOKUP(B2735,Customers!A2735:A3734,Customers!B2735:B3734,"Customer Not Found",0)</f>
        <v>Customer Not Found</v>
      </c>
      <c r="F2735" s="7" t="str">
        <f>_xlfn.XLOOKUP(Orders!B2735,Customers!A2735:A3734,Customers!C2735:C3734,"Country not Found",0)</f>
        <v>Country not Found</v>
      </c>
      <c r="G2735" s="7" t="str">
        <f>_xlfn.XLOOKUP(C2735,Products!A2735:A3234,Products!B2735:B3234,"Product Missing",0)</f>
        <v>Product Missing</v>
      </c>
      <c r="H2735" s="7" t="str">
        <f>_xlfn.XLOOKUP(C2735,Products!A2735:A3234,Products!C2735:C3234,"Category Missing",0)</f>
        <v>Category Missing</v>
      </c>
      <c r="I2735" s="11" t="str">
        <f>_xlfn.XLOOKUP(Orders!C2735,Products!A2735:A3234,Products!D2735:D3234,"Price Missing",0)</f>
        <v>Price Missing</v>
      </c>
      <c r="J2735" s="19">
        <f t="shared" si="42"/>
        <v>0</v>
      </c>
    </row>
    <row r="2736" spans="1:10" x14ac:dyDescent="0.35">
      <c r="A2736" s="4" t="s">
        <v>6756</v>
      </c>
      <c r="B2736" s="7" t="s">
        <v>1709</v>
      </c>
      <c r="C2736" s="7" t="s">
        <v>3884</v>
      </c>
      <c r="D2736" s="5">
        <v>1</v>
      </c>
      <c r="E2736" s="7" t="str">
        <f>_xlfn.XLOOKUP(B2736,Customers!A2736:A3735,Customers!B2736:B3735,"Customer Not Found",0)</f>
        <v>Customer Not Found</v>
      </c>
      <c r="F2736" s="7" t="str">
        <f>_xlfn.XLOOKUP(Orders!B2736,Customers!A2736:A3735,Customers!C2736:C3735,"Country not Found",0)</f>
        <v>Country not Found</v>
      </c>
      <c r="G2736" s="7" t="str">
        <f>_xlfn.XLOOKUP(C2736,Products!A2736:A3235,Products!B2736:B3235,"Product Missing",0)</f>
        <v>Product Missing</v>
      </c>
      <c r="H2736" s="7" t="str">
        <f>_xlfn.XLOOKUP(C2736,Products!A2736:A3235,Products!C2736:C3235,"Category Missing",0)</f>
        <v>Category Missing</v>
      </c>
      <c r="I2736" s="11" t="str">
        <f>_xlfn.XLOOKUP(Orders!C2736,Products!A2736:A3235,Products!D2736:D3235,"Price Missing",0)</f>
        <v>Price Missing</v>
      </c>
      <c r="J2736" s="19">
        <f t="shared" si="42"/>
        <v>0</v>
      </c>
    </row>
    <row r="2737" spans="1:10" x14ac:dyDescent="0.35">
      <c r="A2737" s="4" t="s">
        <v>6757</v>
      </c>
      <c r="B2737" s="7" t="s">
        <v>2738</v>
      </c>
      <c r="C2737" s="7" t="s">
        <v>3722</v>
      </c>
      <c r="D2737" s="5">
        <v>8</v>
      </c>
      <c r="E2737" s="7" t="str">
        <f>_xlfn.XLOOKUP(B2737,Customers!A2737:A3736,Customers!B2737:B3736,"Customer Not Found",0)</f>
        <v>Customer Not Found</v>
      </c>
      <c r="F2737" s="7" t="str">
        <f>_xlfn.XLOOKUP(Orders!B2737,Customers!A2737:A3736,Customers!C2737:C3736,"Country not Found",0)</f>
        <v>Country not Found</v>
      </c>
      <c r="G2737" s="7" t="str">
        <f>_xlfn.XLOOKUP(C2737,Products!A2737:A3236,Products!B2737:B3236,"Product Missing",0)</f>
        <v>Product Missing</v>
      </c>
      <c r="H2737" s="7" t="str">
        <f>_xlfn.XLOOKUP(C2737,Products!A2737:A3236,Products!C2737:C3236,"Category Missing",0)</f>
        <v>Category Missing</v>
      </c>
      <c r="I2737" s="11" t="str">
        <f>_xlfn.XLOOKUP(Orders!C2737,Products!A2737:A3236,Products!D2737:D3236,"Price Missing",0)</f>
        <v>Price Missing</v>
      </c>
      <c r="J2737" s="19">
        <f t="shared" si="42"/>
        <v>0</v>
      </c>
    </row>
    <row r="2738" spans="1:10" x14ac:dyDescent="0.35">
      <c r="A2738" s="4" t="s">
        <v>6758</v>
      </c>
      <c r="B2738" s="7" t="s">
        <v>2807</v>
      </c>
      <c r="C2738" s="7" t="s">
        <v>3382</v>
      </c>
      <c r="D2738" s="5">
        <v>1</v>
      </c>
      <c r="E2738" s="7" t="str">
        <f>_xlfn.XLOOKUP(B2738,Customers!A2738:A3737,Customers!B2738:B3737,"Customer Not Found",0)</f>
        <v>Customer Not Found</v>
      </c>
      <c r="F2738" s="7" t="str">
        <f>_xlfn.XLOOKUP(Orders!B2738,Customers!A2738:A3737,Customers!C2738:C3737,"Country not Found",0)</f>
        <v>Country not Found</v>
      </c>
      <c r="G2738" s="7" t="str">
        <f>_xlfn.XLOOKUP(C2738,Products!A2738:A3237,Products!B2738:B3237,"Product Missing",0)</f>
        <v>Product Missing</v>
      </c>
      <c r="H2738" s="7" t="str">
        <f>_xlfn.XLOOKUP(C2738,Products!A2738:A3237,Products!C2738:C3237,"Category Missing",0)</f>
        <v>Category Missing</v>
      </c>
      <c r="I2738" s="11" t="str">
        <f>_xlfn.XLOOKUP(Orders!C2738,Products!A2738:A3237,Products!D2738:D3237,"Price Missing",0)</f>
        <v>Price Missing</v>
      </c>
      <c r="J2738" s="19">
        <f t="shared" si="42"/>
        <v>0</v>
      </c>
    </row>
    <row r="2739" spans="1:10" x14ac:dyDescent="0.35">
      <c r="A2739" s="4" t="s">
        <v>6759</v>
      </c>
      <c r="B2739" s="7" t="s">
        <v>1856</v>
      </c>
      <c r="C2739" s="7" t="s">
        <v>4008</v>
      </c>
      <c r="D2739" s="5">
        <v>9</v>
      </c>
      <c r="E2739" s="7" t="str">
        <f>_xlfn.XLOOKUP(B2739,Customers!A2739:A3738,Customers!B2739:B3738,"Customer Not Found",0)</f>
        <v>Customer Not Found</v>
      </c>
      <c r="F2739" s="7" t="str">
        <f>_xlfn.XLOOKUP(Orders!B2739,Customers!A2739:A3738,Customers!C2739:C3738,"Country not Found",0)</f>
        <v>Country not Found</v>
      </c>
      <c r="G2739" s="7" t="str">
        <f>_xlfn.XLOOKUP(C2739,Products!A2739:A3238,Products!B2739:B3238,"Product Missing",0)</f>
        <v>Product Missing</v>
      </c>
      <c r="H2739" s="7" t="str">
        <f>_xlfn.XLOOKUP(C2739,Products!A2739:A3238,Products!C2739:C3238,"Category Missing",0)</f>
        <v>Category Missing</v>
      </c>
      <c r="I2739" s="11" t="str">
        <f>_xlfn.XLOOKUP(Orders!C2739,Products!A2739:A3238,Products!D2739:D3238,"Price Missing",0)</f>
        <v>Price Missing</v>
      </c>
      <c r="J2739" s="19">
        <f t="shared" si="42"/>
        <v>0</v>
      </c>
    </row>
    <row r="2740" spans="1:10" x14ac:dyDescent="0.35">
      <c r="A2740" s="4" t="s">
        <v>6760</v>
      </c>
      <c r="B2740" s="7" t="s">
        <v>2111</v>
      </c>
      <c r="C2740" s="7" t="s">
        <v>3400</v>
      </c>
      <c r="D2740" s="5">
        <v>2</v>
      </c>
      <c r="E2740" s="7" t="str">
        <f>_xlfn.XLOOKUP(B2740,Customers!A2740:A3739,Customers!B2740:B3739,"Customer Not Found",0)</f>
        <v>Customer Not Found</v>
      </c>
      <c r="F2740" s="7" t="str">
        <f>_xlfn.XLOOKUP(Orders!B2740,Customers!A2740:A3739,Customers!C2740:C3739,"Country not Found",0)</f>
        <v>Country not Found</v>
      </c>
      <c r="G2740" s="7" t="str">
        <f>_xlfn.XLOOKUP(C2740,Products!A2740:A3239,Products!B2740:B3239,"Product Missing",0)</f>
        <v>Product Missing</v>
      </c>
      <c r="H2740" s="7" t="str">
        <f>_xlfn.XLOOKUP(C2740,Products!A2740:A3239,Products!C2740:C3239,"Category Missing",0)</f>
        <v>Category Missing</v>
      </c>
      <c r="I2740" s="11" t="str">
        <f>_xlfn.XLOOKUP(Orders!C2740,Products!A2740:A3239,Products!D2740:D3239,"Price Missing",0)</f>
        <v>Price Missing</v>
      </c>
      <c r="J2740" s="19">
        <f t="shared" si="42"/>
        <v>0</v>
      </c>
    </row>
    <row r="2741" spans="1:10" x14ac:dyDescent="0.35">
      <c r="A2741" s="4" t="s">
        <v>6761</v>
      </c>
      <c r="B2741" s="7" t="s">
        <v>2969</v>
      </c>
      <c r="C2741" s="7" t="s">
        <v>3982</v>
      </c>
      <c r="D2741" s="5">
        <v>4</v>
      </c>
      <c r="E2741" s="7" t="str">
        <f>_xlfn.XLOOKUP(B2741,Customers!A2741:A3740,Customers!B2741:B3740,"Customer Not Found",0)</f>
        <v>Customer Not Found</v>
      </c>
      <c r="F2741" s="7" t="str">
        <f>_xlfn.XLOOKUP(Orders!B2741,Customers!A2741:A3740,Customers!C2741:C3740,"Country not Found",0)</f>
        <v>Country not Found</v>
      </c>
      <c r="G2741" s="7" t="str">
        <f>_xlfn.XLOOKUP(C2741,Products!A2741:A3240,Products!B2741:B3240,"Product Missing",0)</f>
        <v>Product Missing</v>
      </c>
      <c r="H2741" s="7" t="str">
        <f>_xlfn.XLOOKUP(C2741,Products!A2741:A3240,Products!C2741:C3240,"Category Missing",0)</f>
        <v>Category Missing</v>
      </c>
      <c r="I2741" s="11" t="str">
        <f>_xlfn.XLOOKUP(Orders!C2741,Products!A2741:A3240,Products!D2741:D3240,"Price Missing",0)</f>
        <v>Price Missing</v>
      </c>
      <c r="J2741" s="19">
        <f t="shared" si="42"/>
        <v>0</v>
      </c>
    </row>
    <row r="2742" spans="1:10" x14ac:dyDescent="0.35">
      <c r="A2742" s="4" t="s">
        <v>6762</v>
      </c>
      <c r="B2742" s="7" t="s">
        <v>2258</v>
      </c>
      <c r="C2742" s="7" t="s">
        <v>3238</v>
      </c>
      <c r="D2742" s="5">
        <v>4</v>
      </c>
      <c r="E2742" s="7" t="str">
        <f>_xlfn.XLOOKUP(B2742,Customers!A2742:A3741,Customers!B2742:B3741,"Customer Not Found",0)</f>
        <v>Customer Not Found</v>
      </c>
      <c r="F2742" s="7" t="str">
        <f>_xlfn.XLOOKUP(Orders!B2742,Customers!A2742:A3741,Customers!C2742:C3741,"Country not Found",0)</f>
        <v>Country not Found</v>
      </c>
      <c r="G2742" s="7" t="str">
        <f>_xlfn.XLOOKUP(C2742,Products!A2742:A3241,Products!B2742:B3241,"Product Missing",0)</f>
        <v>Product Missing</v>
      </c>
      <c r="H2742" s="7" t="str">
        <f>_xlfn.XLOOKUP(C2742,Products!A2742:A3241,Products!C2742:C3241,"Category Missing",0)</f>
        <v>Category Missing</v>
      </c>
      <c r="I2742" s="11" t="str">
        <f>_xlfn.XLOOKUP(Orders!C2742,Products!A2742:A3241,Products!D2742:D3241,"Price Missing",0)</f>
        <v>Price Missing</v>
      </c>
      <c r="J2742" s="19">
        <f t="shared" si="42"/>
        <v>0</v>
      </c>
    </row>
    <row r="2743" spans="1:10" x14ac:dyDescent="0.35">
      <c r="A2743" s="4" t="s">
        <v>6763</v>
      </c>
      <c r="B2743" s="7" t="s">
        <v>980</v>
      </c>
      <c r="C2743" s="7" t="s">
        <v>3586</v>
      </c>
      <c r="D2743" s="5">
        <v>9</v>
      </c>
      <c r="E2743" s="7" t="str">
        <f>_xlfn.XLOOKUP(B2743,Customers!A2743:A3742,Customers!B2743:B3742,"Customer Not Found",0)</f>
        <v>Customer Not Found</v>
      </c>
      <c r="F2743" s="7" t="str">
        <f>_xlfn.XLOOKUP(Orders!B2743,Customers!A2743:A3742,Customers!C2743:C3742,"Country not Found",0)</f>
        <v>Country not Found</v>
      </c>
      <c r="G2743" s="7" t="str">
        <f>_xlfn.XLOOKUP(C2743,Products!A2743:A3242,Products!B2743:B3242,"Product Missing",0)</f>
        <v>Product Missing</v>
      </c>
      <c r="H2743" s="7" t="str">
        <f>_xlfn.XLOOKUP(C2743,Products!A2743:A3242,Products!C2743:C3242,"Category Missing",0)</f>
        <v>Category Missing</v>
      </c>
      <c r="I2743" s="11" t="str">
        <f>_xlfn.XLOOKUP(Orders!C2743,Products!A2743:A3242,Products!D2743:D3242,"Price Missing",0)</f>
        <v>Price Missing</v>
      </c>
      <c r="J2743" s="19">
        <f t="shared" si="42"/>
        <v>0</v>
      </c>
    </row>
    <row r="2744" spans="1:10" x14ac:dyDescent="0.35">
      <c r="A2744" s="4" t="s">
        <v>6764</v>
      </c>
      <c r="B2744" s="7" t="s">
        <v>2924</v>
      </c>
      <c r="C2744" s="7" t="s">
        <v>3050</v>
      </c>
      <c r="D2744" s="5">
        <v>7</v>
      </c>
      <c r="E2744" s="7" t="str">
        <f>_xlfn.XLOOKUP(B2744,Customers!A2744:A3743,Customers!B2744:B3743,"Customer Not Found",0)</f>
        <v>Customer Not Found</v>
      </c>
      <c r="F2744" s="7" t="str">
        <f>_xlfn.XLOOKUP(Orders!B2744,Customers!A2744:A3743,Customers!C2744:C3743,"Country not Found",0)</f>
        <v>Country not Found</v>
      </c>
      <c r="G2744" s="7" t="str">
        <f>_xlfn.XLOOKUP(C2744,Products!A2744:A3243,Products!B2744:B3243,"Product Missing",0)</f>
        <v>Product Missing</v>
      </c>
      <c r="H2744" s="7" t="str">
        <f>_xlfn.XLOOKUP(C2744,Products!A2744:A3243,Products!C2744:C3243,"Category Missing",0)</f>
        <v>Category Missing</v>
      </c>
      <c r="I2744" s="11" t="str">
        <f>_xlfn.XLOOKUP(Orders!C2744,Products!A2744:A3243,Products!D2744:D3243,"Price Missing",0)</f>
        <v>Price Missing</v>
      </c>
      <c r="J2744" s="19">
        <f t="shared" si="42"/>
        <v>0</v>
      </c>
    </row>
    <row r="2745" spans="1:10" x14ac:dyDescent="0.35">
      <c r="A2745" s="4" t="s">
        <v>6765</v>
      </c>
      <c r="B2745" s="7" t="s">
        <v>3005</v>
      </c>
      <c r="C2745" s="7" t="s">
        <v>3756</v>
      </c>
      <c r="D2745" s="5">
        <v>9</v>
      </c>
      <c r="E2745" s="7" t="str">
        <f>_xlfn.XLOOKUP(B2745,Customers!A2745:A3744,Customers!B2745:B3744,"Customer Not Found",0)</f>
        <v>Customer Not Found</v>
      </c>
      <c r="F2745" s="7" t="str">
        <f>_xlfn.XLOOKUP(Orders!B2745,Customers!A2745:A3744,Customers!C2745:C3744,"Country not Found",0)</f>
        <v>Country not Found</v>
      </c>
      <c r="G2745" s="7" t="str">
        <f>_xlfn.XLOOKUP(C2745,Products!A2745:A3244,Products!B2745:B3244,"Product Missing",0)</f>
        <v>Product Missing</v>
      </c>
      <c r="H2745" s="7" t="str">
        <f>_xlfn.XLOOKUP(C2745,Products!A2745:A3244,Products!C2745:C3244,"Category Missing",0)</f>
        <v>Category Missing</v>
      </c>
      <c r="I2745" s="11" t="str">
        <f>_xlfn.XLOOKUP(Orders!C2745,Products!A2745:A3244,Products!D2745:D3244,"Price Missing",0)</f>
        <v>Price Missing</v>
      </c>
      <c r="J2745" s="19">
        <f t="shared" si="42"/>
        <v>0</v>
      </c>
    </row>
    <row r="2746" spans="1:10" x14ac:dyDescent="0.35">
      <c r="A2746" s="4" t="s">
        <v>6766</v>
      </c>
      <c r="B2746" s="7" t="s">
        <v>3002</v>
      </c>
      <c r="C2746" s="7" t="s">
        <v>3338</v>
      </c>
      <c r="D2746" s="5">
        <v>9</v>
      </c>
      <c r="E2746" s="7" t="str">
        <f>_xlfn.XLOOKUP(B2746,Customers!A2746:A3745,Customers!B2746:B3745,"Customer Not Found",0)</f>
        <v>Customer Not Found</v>
      </c>
      <c r="F2746" s="7" t="str">
        <f>_xlfn.XLOOKUP(Orders!B2746,Customers!A2746:A3745,Customers!C2746:C3745,"Country not Found",0)</f>
        <v>Country not Found</v>
      </c>
      <c r="G2746" s="7" t="str">
        <f>_xlfn.XLOOKUP(C2746,Products!A2746:A3245,Products!B2746:B3245,"Product Missing",0)</f>
        <v>Product Missing</v>
      </c>
      <c r="H2746" s="7" t="str">
        <f>_xlfn.XLOOKUP(C2746,Products!A2746:A3245,Products!C2746:C3245,"Category Missing",0)</f>
        <v>Category Missing</v>
      </c>
      <c r="I2746" s="11" t="str">
        <f>_xlfn.XLOOKUP(Orders!C2746,Products!A2746:A3245,Products!D2746:D3245,"Price Missing",0)</f>
        <v>Price Missing</v>
      </c>
      <c r="J2746" s="19">
        <f t="shared" si="42"/>
        <v>0</v>
      </c>
    </row>
    <row r="2747" spans="1:10" x14ac:dyDescent="0.35">
      <c r="A2747" s="4" t="s">
        <v>6767</v>
      </c>
      <c r="B2747" s="7" t="s">
        <v>1013</v>
      </c>
      <c r="C2747" s="7" t="s">
        <v>3508</v>
      </c>
      <c r="D2747" s="5">
        <v>7</v>
      </c>
      <c r="E2747" s="7" t="str">
        <f>_xlfn.XLOOKUP(B2747,Customers!A2747:A3746,Customers!B2747:B3746,"Customer Not Found",0)</f>
        <v>Customer Not Found</v>
      </c>
      <c r="F2747" s="7" t="str">
        <f>_xlfn.XLOOKUP(Orders!B2747,Customers!A2747:A3746,Customers!C2747:C3746,"Country not Found",0)</f>
        <v>Country not Found</v>
      </c>
      <c r="G2747" s="7" t="str">
        <f>_xlfn.XLOOKUP(C2747,Products!A2747:A3246,Products!B2747:B3246,"Product Missing",0)</f>
        <v>Product Missing</v>
      </c>
      <c r="H2747" s="7" t="str">
        <f>_xlfn.XLOOKUP(C2747,Products!A2747:A3246,Products!C2747:C3246,"Category Missing",0)</f>
        <v>Category Missing</v>
      </c>
      <c r="I2747" s="11" t="str">
        <f>_xlfn.XLOOKUP(Orders!C2747,Products!A2747:A3246,Products!D2747:D3246,"Price Missing",0)</f>
        <v>Price Missing</v>
      </c>
      <c r="J2747" s="19">
        <f t="shared" si="42"/>
        <v>0</v>
      </c>
    </row>
    <row r="2748" spans="1:10" x14ac:dyDescent="0.35">
      <c r="A2748" s="4" t="s">
        <v>6768</v>
      </c>
      <c r="B2748" s="7" t="s">
        <v>2309</v>
      </c>
      <c r="C2748" s="7" t="s">
        <v>3966</v>
      </c>
      <c r="D2748" s="5">
        <v>10</v>
      </c>
      <c r="E2748" s="7" t="str">
        <f>_xlfn.XLOOKUP(B2748,Customers!A2748:A3747,Customers!B2748:B3747,"Customer Not Found",0)</f>
        <v>Customer Not Found</v>
      </c>
      <c r="F2748" s="7" t="str">
        <f>_xlfn.XLOOKUP(Orders!B2748,Customers!A2748:A3747,Customers!C2748:C3747,"Country not Found",0)</f>
        <v>Country not Found</v>
      </c>
      <c r="G2748" s="7" t="str">
        <f>_xlfn.XLOOKUP(C2748,Products!A2748:A3247,Products!B2748:B3247,"Product Missing",0)</f>
        <v>Product Missing</v>
      </c>
      <c r="H2748" s="7" t="str">
        <f>_xlfn.XLOOKUP(C2748,Products!A2748:A3247,Products!C2748:C3247,"Category Missing",0)</f>
        <v>Category Missing</v>
      </c>
      <c r="I2748" s="11" t="str">
        <f>_xlfn.XLOOKUP(Orders!C2748,Products!A2748:A3247,Products!D2748:D3247,"Price Missing",0)</f>
        <v>Price Missing</v>
      </c>
      <c r="J2748" s="19">
        <f t="shared" si="42"/>
        <v>0</v>
      </c>
    </row>
    <row r="2749" spans="1:10" x14ac:dyDescent="0.35">
      <c r="A2749" s="4" t="s">
        <v>6769</v>
      </c>
      <c r="B2749" s="7" t="s">
        <v>2618</v>
      </c>
      <c r="C2749" s="7" t="s">
        <v>3974</v>
      </c>
      <c r="D2749" s="5">
        <v>10</v>
      </c>
      <c r="E2749" s="7" t="str">
        <f>_xlfn.XLOOKUP(B2749,Customers!A2749:A3748,Customers!B2749:B3748,"Customer Not Found",0)</f>
        <v>Customer Not Found</v>
      </c>
      <c r="F2749" s="7" t="str">
        <f>_xlfn.XLOOKUP(Orders!B2749,Customers!A2749:A3748,Customers!C2749:C3748,"Country not Found",0)</f>
        <v>Country not Found</v>
      </c>
      <c r="G2749" s="7" t="str">
        <f>_xlfn.XLOOKUP(C2749,Products!A2749:A3248,Products!B2749:B3248,"Product Missing",0)</f>
        <v>Product Missing</v>
      </c>
      <c r="H2749" s="7" t="str">
        <f>_xlfn.XLOOKUP(C2749,Products!A2749:A3248,Products!C2749:C3248,"Category Missing",0)</f>
        <v>Category Missing</v>
      </c>
      <c r="I2749" s="11" t="str">
        <f>_xlfn.XLOOKUP(Orders!C2749,Products!A2749:A3248,Products!D2749:D3248,"Price Missing",0)</f>
        <v>Price Missing</v>
      </c>
      <c r="J2749" s="19">
        <f t="shared" si="42"/>
        <v>0</v>
      </c>
    </row>
    <row r="2750" spans="1:10" x14ac:dyDescent="0.35">
      <c r="A2750" s="4" t="s">
        <v>6770</v>
      </c>
      <c r="B2750" s="7" t="s">
        <v>764</v>
      </c>
      <c r="C2750" s="7" t="s">
        <v>3572</v>
      </c>
      <c r="D2750" s="5">
        <v>5</v>
      </c>
      <c r="E2750" s="7" t="str">
        <f>_xlfn.XLOOKUP(B2750,Customers!A2750:A3749,Customers!B2750:B3749,"Customer Not Found",0)</f>
        <v>Customer Not Found</v>
      </c>
      <c r="F2750" s="7" t="str">
        <f>_xlfn.XLOOKUP(Orders!B2750,Customers!A2750:A3749,Customers!C2750:C3749,"Country not Found",0)</f>
        <v>Country not Found</v>
      </c>
      <c r="G2750" s="7" t="str">
        <f>_xlfn.XLOOKUP(C2750,Products!A2750:A3249,Products!B2750:B3249,"Product Missing",0)</f>
        <v>Product Missing</v>
      </c>
      <c r="H2750" s="7" t="str">
        <f>_xlfn.XLOOKUP(C2750,Products!A2750:A3249,Products!C2750:C3249,"Category Missing",0)</f>
        <v>Category Missing</v>
      </c>
      <c r="I2750" s="11" t="str">
        <f>_xlfn.XLOOKUP(Orders!C2750,Products!A2750:A3249,Products!D2750:D3249,"Price Missing",0)</f>
        <v>Price Missing</v>
      </c>
      <c r="J2750" s="19">
        <f t="shared" si="42"/>
        <v>0</v>
      </c>
    </row>
    <row r="2751" spans="1:10" x14ac:dyDescent="0.35">
      <c r="A2751" s="4" t="s">
        <v>6771</v>
      </c>
      <c r="B2751" s="7" t="s">
        <v>227</v>
      </c>
      <c r="C2751" s="7" t="s">
        <v>3058</v>
      </c>
      <c r="D2751" s="5">
        <v>3</v>
      </c>
      <c r="E2751" s="7" t="str">
        <f>_xlfn.XLOOKUP(B2751,Customers!A2751:A3750,Customers!B2751:B3750,"Customer Not Found",0)</f>
        <v>Customer Not Found</v>
      </c>
      <c r="F2751" s="7" t="str">
        <f>_xlfn.XLOOKUP(Orders!B2751,Customers!A2751:A3750,Customers!C2751:C3750,"Country not Found",0)</f>
        <v>Country not Found</v>
      </c>
      <c r="G2751" s="7" t="str">
        <f>_xlfn.XLOOKUP(C2751,Products!A2751:A3250,Products!B2751:B3250,"Product Missing",0)</f>
        <v>Product Missing</v>
      </c>
      <c r="H2751" s="7" t="str">
        <f>_xlfn.XLOOKUP(C2751,Products!A2751:A3250,Products!C2751:C3250,"Category Missing",0)</f>
        <v>Category Missing</v>
      </c>
      <c r="I2751" s="11" t="str">
        <f>_xlfn.XLOOKUP(Orders!C2751,Products!A2751:A3250,Products!D2751:D3250,"Price Missing",0)</f>
        <v>Price Missing</v>
      </c>
      <c r="J2751" s="19">
        <f t="shared" si="42"/>
        <v>0</v>
      </c>
    </row>
    <row r="2752" spans="1:10" x14ac:dyDescent="0.35">
      <c r="A2752" s="4" t="s">
        <v>6772</v>
      </c>
      <c r="B2752" s="7" t="s">
        <v>36</v>
      </c>
      <c r="C2752" s="7" t="s">
        <v>3402</v>
      </c>
      <c r="D2752" s="5">
        <v>3</v>
      </c>
      <c r="E2752" s="7" t="str">
        <f>_xlfn.XLOOKUP(B2752,Customers!A2752:A3751,Customers!B2752:B3751,"Customer Not Found",0)</f>
        <v>Customer Not Found</v>
      </c>
      <c r="F2752" s="7" t="str">
        <f>_xlfn.XLOOKUP(Orders!B2752,Customers!A2752:A3751,Customers!C2752:C3751,"Country not Found",0)</f>
        <v>Country not Found</v>
      </c>
      <c r="G2752" s="7" t="str">
        <f>_xlfn.XLOOKUP(C2752,Products!A2752:A3251,Products!B2752:B3251,"Product Missing",0)</f>
        <v>Product Missing</v>
      </c>
      <c r="H2752" s="7" t="str">
        <f>_xlfn.XLOOKUP(C2752,Products!A2752:A3251,Products!C2752:C3251,"Category Missing",0)</f>
        <v>Category Missing</v>
      </c>
      <c r="I2752" s="11" t="str">
        <f>_xlfn.XLOOKUP(Orders!C2752,Products!A2752:A3251,Products!D2752:D3251,"Price Missing",0)</f>
        <v>Price Missing</v>
      </c>
      <c r="J2752" s="19">
        <f t="shared" si="42"/>
        <v>0</v>
      </c>
    </row>
    <row r="2753" spans="1:10" x14ac:dyDescent="0.35">
      <c r="A2753" s="4" t="s">
        <v>6773</v>
      </c>
      <c r="B2753" s="7" t="s">
        <v>2975</v>
      </c>
      <c r="C2753" s="7" t="s">
        <v>3966</v>
      </c>
      <c r="D2753" s="5">
        <v>10</v>
      </c>
      <c r="E2753" s="7" t="str">
        <f>_xlfn.XLOOKUP(B2753,Customers!A2753:A3752,Customers!B2753:B3752,"Customer Not Found",0)</f>
        <v>Customer Not Found</v>
      </c>
      <c r="F2753" s="7" t="str">
        <f>_xlfn.XLOOKUP(Orders!B2753,Customers!A2753:A3752,Customers!C2753:C3752,"Country not Found",0)</f>
        <v>Country not Found</v>
      </c>
      <c r="G2753" s="7" t="str">
        <f>_xlfn.XLOOKUP(C2753,Products!A2753:A3252,Products!B2753:B3252,"Product Missing",0)</f>
        <v>Product Missing</v>
      </c>
      <c r="H2753" s="7" t="str">
        <f>_xlfn.XLOOKUP(C2753,Products!A2753:A3252,Products!C2753:C3252,"Category Missing",0)</f>
        <v>Category Missing</v>
      </c>
      <c r="I2753" s="11" t="str">
        <f>_xlfn.XLOOKUP(Orders!C2753,Products!A2753:A3252,Products!D2753:D3252,"Price Missing",0)</f>
        <v>Price Missing</v>
      </c>
      <c r="J2753" s="19">
        <f t="shared" si="42"/>
        <v>0</v>
      </c>
    </row>
    <row r="2754" spans="1:10" x14ac:dyDescent="0.35">
      <c r="A2754" s="4" t="s">
        <v>6774</v>
      </c>
      <c r="B2754" s="7" t="s">
        <v>1499</v>
      </c>
      <c r="C2754" s="7" t="s">
        <v>3050</v>
      </c>
      <c r="D2754" s="5">
        <v>6</v>
      </c>
      <c r="E2754" s="7" t="str">
        <f>_xlfn.XLOOKUP(B2754,Customers!A2754:A3753,Customers!B2754:B3753,"Customer Not Found",0)</f>
        <v>Customer Not Found</v>
      </c>
      <c r="F2754" s="7" t="str">
        <f>_xlfn.XLOOKUP(Orders!B2754,Customers!A2754:A3753,Customers!C2754:C3753,"Country not Found",0)</f>
        <v>Country not Found</v>
      </c>
      <c r="G2754" s="7" t="str">
        <f>_xlfn.XLOOKUP(C2754,Products!A2754:A3253,Products!B2754:B3253,"Product Missing",0)</f>
        <v>Product Missing</v>
      </c>
      <c r="H2754" s="7" t="str">
        <f>_xlfn.XLOOKUP(C2754,Products!A2754:A3253,Products!C2754:C3253,"Category Missing",0)</f>
        <v>Category Missing</v>
      </c>
      <c r="I2754" s="11" t="str">
        <f>_xlfn.XLOOKUP(Orders!C2754,Products!A2754:A3253,Products!D2754:D3253,"Price Missing",0)</f>
        <v>Price Missing</v>
      </c>
      <c r="J2754" s="19">
        <f t="shared" si="42"/>
        <v>0</v>
      </c>
    </row>
    <row r="2755" spans="1:10" x14ac:dyDescent="0.35">
      <c r="A2755" s="4" t="s">
        <v>6775</v>
      </c>
      <c r="B2755" s="7" t="s">
        <v>2279</v>
      </c>
      <c r="C2755" s="7" t="s">
        <v>3370</v>
      </c>
      <c r="D2755" s="5">
        <v>7</v>
      </c>
      <c r="E2755" s="7" t="str">
        <f>_xlfn.XLOOKUP(B2755,Customers!A2755:A3754,Customers!B2755:B3754,"Customer Not Found",0)</f>
        <v>Customer Not Found</v>
      </c>
      <c r="F2755" s="7" t="str">
        <f>_xlfn.XLOOKUP(Orders!B2755,Customers!A2755:A3754,Customers!C2755:C3754,"Country not Found",0)</f>
        <v>Country not Found</v>
      </c>
      <c r="G2755" s="7" t="str">
        <f>_xlfn.XLOOKUP(C2755,Products!A2755:A3254,Products!B2755:B3254,"Product Missing",0)</f>
        <v>Product Missing</v>
      </c>
      <c r="H2755" s="7" t="str">
        <f>_xlfn.XLOOKUP(C2755,Products!A2755:A3254,Products!C2755:C3254,"Category Missing",0)</f>
        <v>Category Missing</v>
      </c>
      <c r="I2755" s="11" t="str">
        <f>_xlfn.XLOOKUP(Orders!C2755,Products!A2755:A3254,Products!D2755:D3254,"Price Missing",0)</f>
        <v>Price Missing</v>
      </c>
      <c r="J2755" s="19">
        <f t="shared" ref="J2755:J2818" si="43">IFERROR(I2755*D2755,0)</f>
        <v>0</v>
      </c>
    </row>
    <row r="2756" spans="1:10" x14ac:dyDescent="0.35">
      <c r="A2756" s="4" t="s">
        <v>6776</v>
      </c>
      <c r="B2756" s="7" t="s">
        <v>67</v>
      </c>
      <c r="C2756" s="7" t="s">
        <v>3748</v>
      </c>
      <c r="D2756" s="5">
        <v>8</v>
      </c>
      <c r="E2756" s="7" t="str">
        <f>_xlfn.XLOOKUP(B2756,Customers!A2756:A3755,Customers!B2756:B3755,"Customer Not Found",0)</f>
        <v>Customer Not Found</v>
      </c>
      <c r="F2756" s="7" t="str">
        <f>_xlfn.XLOOKUP(Orders!B2756,Customers!A2756:A3755,Customers!C2756:C3755,"Country not Found",0)</f>
        <v>Country not Found</v>
      </c>
      <c r="G2756" s="7" t="str">
        <f>_xlfn.XLOOKUP(C2756,Products!A2756:A3255,Products!B2756:B3255,"Product Missing",0)</f>
        <v>Product Missing</v>
      </c>
      <c r="H2756" s="7" t="str">
        <f>_xlfn.XLOOKUP(C2756,Products!A2756:A3255,Products!C2756:C3255,"Category Missing",0)</f>
        <v>Category Missing</v>
      </c>
      <c r="I2756" s="11" t="str">
        <f>_xlfn.XLOOKUP(Orders!C2756,Products!A2756:A3255,Products!D2756:D3255,"Price Missing",0)</f>
        <v>Price Missing</v>
      </c>
      <c r="J2756" s="19">
        <f t="shared" si="43"/>
        <v>0</v>
      </c>
    </row>
    <row r="2757" spans="1:10" x14ac:dyDescent="0.35">
      <c r="A2757" s="4" t="s">
        <v>6777</v>
      </c>
      <c r="B2757" s="7" t="s">
        <v>1880</v>
      </c>
      <c r="C2757" s="7" t="s">
        <v>3640</v>
      </c>
      <c r="D2757" s="5">
        <v>9</v>
      </c>
      <c r="E2757" s="7" t="str">
        <f>_xlfn.XLOOKUP(B2757,Customers!A2757:A3756,Customers!B2757:B3756,"Customer Not Found",0)</f>
        <v>Customer Not Found</v>
      </c>
      <c r="F2757" s="7" t="str">
        <f>_xlfn.XLOOKUP(Orders!B2757,Customers!A2757:A3756,Customers!C2757:C3756,"Country not Found",0)</f>
        <v>Country not Found</v>
      </c>
      <c r="G2757" s="7" t="str">
        <f>_xlfn.XLOOKUP(C2757,Products!A2757:A3256,Products!B2757:B3256,"Product Missing",0)</f>
        <v>Product Missing</v>
      </c>
      <c r="H2757" s="7" t="str">
        <f>_xlfn.XLOOKUP(C2757,Products!A2757:A3256,Products!C2757:C3256,"Category Missing",0)</f>
        <v>Category Missing</v>
      </c>
      <c r="I2757" s="11" t="str">
        <f>_xlfn.XLOOKUP(Orders!C2757,Products!A2757:A3256,Products!D2757:D3256,"Price Missing",0)</f>
        <v>Price Missing</v>
      </c>
      <c r="J2757" s="19">
        <f t="shared" si="43"/>
        <v>0</v>
      </c>
    </row>
    <row r="2758" spans="1:10" x14ac:dyDescent="0.35">
      <c r="A2758" s="4" t="s">
        <v>6778</v>
      </c>
      <c r="B2758" s="7" t="s">
        <v>2699</v>
      </c>
      <c r="C2758" s="7" t="s">
        <v>3748</v>
      </c>
      <c r="D2758" s="5">
        <v>1</v>
      </c>
      <c r="E2758" s="7" t="str">
        <f>_xlfn.XLOOKUP(B2758,Customers!A2758:A3757,Customers!B2758:B3757,"Customer Not Found",0)</f>
        <v>Customer Not Found</v>
      </c>
      <c r="F2758" s="7" t="str">
        <f>_xlfn.XLOOKUP(Orders!B2758,Customers!A2758:A3757,Customers!C2758:C3757,"Country not Found",0)</f>
        <v>Country not Found</v>
      </c>
      <c r="G2758" s="7" t="str">
        <f>_xlfn.XLOOKUP(C2758,Products!A2758:A3257,Products!B2758:B3257,"Product Missing",0)</f>
        <v>Product Missing</v>
      </c>
      <c r="H2758" s="7" t="str">
        <f>_xlfn.XLOOKUP(C2758,Products!A2758:A3257,Products!C2758:C3257,"Category Missing",0)</f>
        <v>Category Missing</v>
      </c>
      <c r="I2758" s="11" t="str">
        <f>_xlfn.XLOOKUP(Orders!C2758,Products!A2758:A3257,Products!D2758:D3257,"Price Missing",0)</f>
        <v>Price Missing</v>
      </c>
      <c r="J2758" s="19">
        <f t="shared" si="43"/>
        <v>0</v>
      </c>
    </row>
    <row r="2759" spans="1:10" x14ac:dyDescent="0.35">
      <c r="A2759" s="4" t="s">
        <v>6779</v>
      </c>
      <c r="B2759" s="7" t="s">
        <v>884</v>
      </c>
      <c r="C2759" s="7" t="s">
        <v>3292</v>
      </c>
      <c r="D2759" s="5">
        <v>4</v>
      </c>
      <c r="E2759" s="7" t="str">
        <f>_xlfn.XLOOKUP(B2759,Customers!A2759:A3758,Customers!B2759:B3758,"Customer Not Found",0)</f>
        <v>Customer Not Found</v>
      </c>
      <c r="F2759" s="7" t="str">
        <f>_xlfn.XLOOKUP(Orders!B2759,Customers!A2759:A3758,Customers!C2759:C3758,"Country not Found",0)</f>
        <v>Country not Found</v>
      </c>
      <c r="G2759" s="7" t="str">
        <f>_xlfn.XLOOKUP(C2759,Products!A2759:A3258,Products!B2759:B3258,"Product Missing",0)</f>
        <v>Product Missing</v>
      </c>
      <c r="H2759" s="7" t="str">
        <f>_xlfn.XLOOKUP(C2759,Products!A2759:A3258,Products!C2759:C3258,"Category Missing",0)</f>
        <v>Category Missing</v>
      </c>
      <c r="I2759" s="11" t="str">
        <f>_xlfn.XLOOKUP(Orders!C2759,Products!A2759:A3258,Products!D2759:D3258,"Price Missing",0)</f>
        <v>Price Missing</v>
      </c>
      <c r="J2759" s="19">
        <f t="shared" si="43"/>
        <v>0</v>
      </c>
    </row>
    <row r="2760" spans="1:10" x14ac:dyDescent="0.35">
      <c r="A2760" s="4" t="s">
        <v>6780</v>
      </c>
      <c r="B2760" s="7" t="s">
        <v>2522</v>
      </c>
      <c r="C2760" s="7" t="s">
        <v>3476</v>
      </c>
      <c r="D2760" s="5">
        <v>9</v>
      </c>
      <c r="E2760" s="7" t="str">
        <f>_xlfn.XLOOKUP(B2760,Customers!A2760:A3759,Customers!B2760:B3759,"Customer Not Found",0)</f>
        <v>Customer Not Found</v>
      </c>
      <c r="F2760" s="7" t="str">
        <f>_xlfn.XLOOKUP(Orders!B2760,Customers!A2760:A3759,Customers!C2760:C3759,"Country not Found",0)</f>
        <v>Country not Found</v>
      </c>
      <c r="G2760" s="7" t="str">
        <f>_xlfn.XLOOKUP(C2760,Products!A2760:A3259,Products!B2760:B3259,"Product Missing",0)</f>
        <v>Product Missing</v>
      </c>
      <c r="H2760" s="7" t="str">
        <f>_xlfn.XLOOKUP(C2760,Products!A2760:A3259,Products!C2760:C3259,"Category Missing",0)</f>
        <v>Category Missing</v>
      </c>
      <c r="I2760" s="11" t="str">
        <f>_xlfn.XLOOKUP(Orders!C2760,Products!A2760:A3259,Products!D2760:D3259,"Price Missing",0)</f>
        <v>Price Missing</v>
      </c>
      <c r="J2760" s="19">
        <f t="shared" si="43"/>
        <v>0</v>
      </c>
    </row>
    <row r="2761" spans="1:10" x14ac:dyDescent="0.35">
      <c r="A2761" s="4" t="s">
        <v>6781</v>
      </c>
      <c r="B2761" s="7" t="s">
        <v>572</v>
      </c>
      <c r="C2761" s="7" t="s">
        <v>3158</v>
      </c>
      <c r="D2761" s="5">
        <v>6</v>
      </c>
      <c r="E2761" s="7" t="str">
        <f>_xlfn.XLOOKUP(B2761,Customers!A2761:A3760,Customers!B2761:B3760,"Customer Not Found",0)</f>
        <v>Customer Not Found</v>
      </c>
      <c r="F2761" s="7" t="str">
        <f>_xlfn.XLOOKUP(Orders!B2761,Customers!A2761:A3760,Customers!C2761:C3760,"Country not Found",0)</f>
        <v>Country not Found</v>
      </c>
      <c r="G2761" s="7" t="str">
        <f>_xlfn.XLOOKUP(C2761,Products!A2761:A3260,Products!B2761:B3260,"Product Missing",0)</f>
        <v>Product Missing</v>
      </c>
      <c r="H2761" s="7" t="str">
        <f>_xlfn.XLOOKUP(C2761,Products!A2761:A3260,Products!C2761:C3260,"Category Missing",0)</f>
        <v>Category Missing</v>
      </c>
      <c r="I2761" s="11" t="str">
        <f>_xlfn.XLOOKUP(Orders!C2761,Products!A2761:A3260,Products!D2761:D3260,"Price Missing",0)</f>
        <v>Price Missing</v>
      </c>
      <c r="J2761" s="19">
        <f t="shared" si="43"/>
        <v>0</v>
      </c>
    </row>
    <row r="2762" spans="1:10" x14ac:dyDescent="0.35">
      <c r="A2762" s="4" t="s">
        <v>6782</v>
      </c>
      <c r="B2762" s="7" t="s">
        <v>743</v>
      </c>
      <c r="C2762" s="7" t="s">
        <v>3948</v>
      </c>
      <c r="D2762" s="5">
        <v>4</v>
      </c>
      <c r="E2762" s="7" t="str">
        <f>_xlfn.XLOOKUP(B2762,Customers!A2762:A3761,Customers!B2762:B3761,"Customer Not Found",0)</f>
        <v>Customer Not Found</v>
      </c>
      <c r="F2762" s="7" t="str">
        <f>_xlfn.XLOOKUP(Orders!B2762,Customers!A2762:A3761,Customers!C2762:C3761,"Country not Found",0)</f>
        <v>Country not Found</v>
      </c>
      <c r="G2762" s="7" t="str">
        <f>_xlfn.XLOOKUP(C2762,Products!A2762:A3261,Products!B2762:B3261,"Product Missing",0)</f>
        <v>Product Missing</v>
      </c>
      <c r="H2762" s="7" t="str">
        <f>_xlfn.XLOOKUP(C2762,Products!A2762:A3261,Products!C2762:C3261,"Category Missing",0)</f>
        <v>Category Missing</v>
      </c>
      <c r="I2762" s="11" t="str">
        <f>_xlfn.XLOOKUP(Orders!C2762,Products!A2762:A3261,Products!D2762:D3261,"Price Missing",0)</f>
        <v>Price Missing</v>
      </c>
      <c r="J2762" s="19">
        <f t="shared" si="43"/>
        <v>0</v>
      </c>
    </row>
    <row r="2763" spans="1:10" x14ac:dyDescent="0.35">
      <c r="A2763" s="4" t="s">
        <v>6783</v>
      </c>
      <c r="B2763" s="7" t="s">
        <v>431</v>
      </c>
      <c r="C2763" s="7" t="s">
        <v>3738</v>
      </c>
      <c r="D2763" s="5">
        <v>7</v>
      </c>
      <c r="E2763" s="7" t="str">
        <f>_xlfn.XLOOKUP(B2763,Customers!A2763:A3762,Customers!B2763:B3762,"Customer Not Found",0)</f>
        <v>Customer Not Found</v>
      </c>
      <c r="F2763" s="7" t="str">
        <f>_xlfn.XLOOKUP(Orders!B2763,Customers!A2763:A3762,Customers!C2763:C3762,"Country not Found",0)</f>
        <v>Country not Found</v>
      </c>
      <c r="G2763" s="7" t="str">
        <f>_xlfn.XLOOKUP(C2763,Products!A2763:A3262,Products!B2763:B3262,"Product Missing",0)</f>
        <v>Product Missing</v>
      </c>
      <c r="H2763" s="7" t="str">
        <f>_xlfn.XLOOKUP(C2763,Products!A2763:A3262,Products!C2763:C3262,"Category Missing",0)</f>
        <v>Category Missing</v>
      </c>
      <c r="I2763" s="11" t="str">
        <f>_xlfn.XLOOKUP(Orders!C2763,Products!A2763:A3262,Products!D2763:D3262,"Price Missing",0)</f>
        <v>Price Missing</v>
      </c>
      <c r="J2763" s="19">
        <f t="shared" si="43"/>
        <v>0</v>
      </c>
    </row>
    <row r="2764" spans="1:10" x14ac:dyDescent="0.35">
      <c r="A2764" s="4" t="s">
        <v>6784</v>
      </c>
      <c r="B2764" s="7" t="s">
        <v>2069</v>
      </c>
      <c r="C2764" s="7" t="s">
        <v>3614</v>
      </c>
      <c r="D2764" s="5">
        <v>7</v>
      </c>
      <c r="E2764" s="7" t="str">
        <f>_xlfn.XLOOKUP(B2764,Customers!A2764:A3763,Customers!B2764:B3763,"Customer Not Found",0)</f>
        <v>Customer Not Found</v>
      </c>
      <c r="F2764" s="7" t="str">
        <f>_xlfn.XLOOKUP(Orders!B2764,Customers!A2764:A3763,Customers!C2764:C3763,"Country not Found",0)</f>
        <v>Country not Found</v>
      </c>
      <c r="G2764" s="7" t="str">
        <f>_xlfn.XLOOKUP(C2764,Products!A2764:A3263,Products!B2764:B3263,"Product Missing",0)</f>
        <v>Product Missing</v>
      </c>
      <c r="H2764" s="7" t="str">
        <f>_xlfn.XLOOKUP(C2764,Products!A2764:A3263,Products!C2764:C3263,"Category Missing",0)</f>
        <v>Category Missing</v>
      </c>
      <c r="I2764" s="11" t="str">
        <f>_xlfn.XLOOKUP(Orders!C2764,Products!A2764:A3263,Products!D2764:D3263,"Price Missing",0)</f>
        <v>Price Missing</v>
      </c>
      <c r="J2764" s="19">
        <f t="shared" si="43"/>
        <v>0</v>
      </c>
    </row>
    <row r="2765" spans="1:10" x14ac:dyDescent="0.35">
      <c r="A2765" s="4" t="s">
        <v>6785</v>
      </c>
      <c r="B2765" s="7" t="s">
        <v>1862</v>
      </c>
      <c r="C2765" s="7" t="s">
        <v>3298</v>
      </c>
      <c r="D2765" s="5">
        <v>1</v>
      </c>
      <c r="E2765" s="7" t="str">
        <f>_xlfn.XLOOKUP(B2765,Customers!A2765:A3764,Customers!B2765:B3764,"Customer Not Found",0)</f>
        <v>Customer Not Found</v>
      </c>
      <c r="F2765" s="7" t="str">
        <f>_xlfn.XLOOKUP(Orders!B2765,Customers!A2765:A3764,Customers!C2765:C3764,"Country not Found",0)</f>
        <v>Country not Found</v>
      </c>
      <c r="G2765" s="7" t="str">
        <f>_xlfn.XLOOKUP(C2765,Products!A2765:A3264,Products!B2765:B3264,"Product Missing",0)</f>
        <v>Product Missing</v>
      </c>
      <c r="H2765" s="7" t="str">
        <f>_xlfn.XLOOKUP(C2765,Products!A2765:A3264,Products!C2765:C3264,"Category Missing",0)</f>
        <v>Category Missing</v>
      </c>
      <c r="I2765" s="11" t="str">
        <f>_xlfn.XLOOKUP(Orders!C2765,Products!A2765:A3264,Products!D2765:D3264,"Price Missing",0)</f>
        <v>Price Missing</v>
      </c>
      <c r="J2765" s="19">
        <f t="shared" si="43"/>
        <v>0</v>
      </c>
    </row>
    <row r="2766" spans="1:10" x14ac:dyDescent="0.35">
      <c r="A2766" s="4" t="s">
        <v>6786</v>
      </c>
      <c r="B2766" s="7" t="s">
        <v>1781</v>
      </c>
      <c r="C2766" s="7" t="s">
        <v>3336</v>
      </c>
      <c r="D2766" s="5">
        <v>7</v>
      </c>
      <c r="E2766" s="7" t="str">
        <f>_xlfn.XLOOKUP(B2766,Customers!A2766:A3765,Customers!B2766:B3765,"Customer Not Found",0)</f>
        <v>Customer Not Found</v>
      </c>
      <c r="F2766" s="7" t="str">
        <f>_xlfn.XLOOKUP(Orders!B2766,Customers!A2766:A3765,Customers!C2766:C3765,"Country not Found",0)</f>
        <v>Country not Found</v>
      </c>
      <c r="G2766" s="7" t="str">
        <f>_xlfn.XLOOKUP(C2766,Products!A2766:A3265,Products!B2766:B3265,"Product Missing",0)</f>
        <v>Product Missing</v>
      </c>
      <c r="H2766" s="7" t="str">
        <f>_xlfn.XLOOKUP(C2766,Products!A2766:A3265,Products!C2766:C3265,"Category Missing",0)</f>
        <v>Category Missing</v>
      </c>
      <c r="I2766" s="11" t="str">
        <f>_xlfn.XLOOKUP(Orders!C2766,Products!A2766:A3265,Products!D2766:D3265,"Price Missing",0)</f>
        <v>Price Missing</v>
      </c>
      <c r="J2766" s="19">
        <f t="shared" si="43"/>
        <v>0</v>
      </c>
    </row>
    <row r="2767" spans="1:10" x14ac:dyDescent="0.35">
      <c r="A2767" s="4" t="s">
        <v>6787</v>
      </c>
      <c r="B2767" s="7" t="s">
        <v>2141</v>
      </c>
      <c r="C2767" s="7" t="s">
        <v>3041</v>
      </c>
      <c r="D2767" s="5">
        <v>4</v>
      </c>
      <c r="E2767" s="7" t="str">
        <f>_xlfn.XLOOKUP(B2767,Customers!A2767:A3766,Customers!B2767:B3766,"Customer Not Found",0)</f>
        <v>Customer Not Found</v>
      </c>
      <c r="F2767" s="7" t="str">
        <f>_xlfn.XLOOKUP(Orders!B2767,Customers!A2767:A3766,Customers!C2767:C3766,"Country not Found",0)</f>
        <v>Country not Found</v>
      </c>
      <c r="G2767" s="7" t="str">
        <f>_xlfn.XLOOKUP(C2767,Products!A2767:A3266,Products!B2767:B3266,"Product Missing",0)</f>
        <v>Product Missing</v>
      </c>
      <c r="H2767" s="7" t="str">
        <f>_xlfn.XLOOKUP(C2767,Products!A2767:A3266,Products!C2767:C3266,"Category Missing",0)</f>
        <v>Category Missing</v>
      </c>
      <c r="I2767" s="11" t="str">
        <f>_xlfn.XLOOKUP(Orders!C2767,Products!A2767:A3266,Products!D2767:D3266,"Price Missing",0)</f>
        <v>Price Missing</v>
      </c>
      <c r="J2767" s="19">
        <f t="shared" si="43"/>
        <v>0</v>
      </c>
    </row>
    <row r="2768" spans="1:10" x14ac:dyDescent="0.35">
      <c r="A2768" s="4" t="s">
        <v>6788</v>
      </c>
      <c r="B2768" s="7" t="s">
        <v>2972</v>
      </c>
      <c r="C2768" s="7" t="s">
        <v>3216</v>
      </c>
      <c r="D2768" s="5">
        <v>3</v>
      </c>
      <c r="E2768" s="7" t="str">
        <f>_xlfn.XLOOKUP(B2768,Customers!A2768:A3767,Customers!B2768:B3767,"Customer Not Found",0)</f>
        <v>Customer Not Found</v>
      </c>
      <c r="F2768" s="7" t="str">
        <f>_xlfn.XLOOKUP(Orders!B2768,Customers!A2768:A3767,Customers!C2768:C3767,"Country not Found",0)</f>
        <v>Country not Found</v>
      </c>
      <c r="G2768" s="7" t="str">
        <f>_xlfn.XLOOKUP(C2768,Products!A2768:A3267,Products!B2768:B3267,"Product Missing",0)</f>
        <v>Product Missing</v>
      </c>
      <c r="H2768" s="7" t="str">
        <f>_xlfn.XLOOKUP(C2768,Products!A2768:A3267,Products!C2768:C3267,"Category Missing",0)</f>
        <v>Category Missing</v>
      </c>
      <c r="I2768" s="11" t="str">
        <f>_xlfn.XLOOKUP(Orders!C2768,Products!A2768:A3267,Products!D2768:D3267,"Price Missing",0)</f>
        <v>Price Missing</v>
      </c>
      <c r="J2768" s="19">
        <f t="shared" si="43"/>
        <v>0</v>
      </c>
    </row>
    <row r="2769" spans="1:10" x14ac:dyDescent="0.35">
      <c r="A2769" s="4" t="s">
        <v>6789</v>
      </c>
      <c r="B2769" s="7" t="s">
        <v>1157</v>
      </c>
      <c r="C2769" s="7" t="s">
        <v>3636</v>
      </c>
      <c r="D2769" s="5">
        <v>7</v>
      </c>
      <c r="E2769" s="7" t="str">
        <f>_xlfn.XLOOKUP(B2769,Customers!A2769:A3768,Customers!B2769:B3768,"Customer Not Found",0)</f>
        <v>Customer Not Found</v>
      </c>
      <c r="F2769" s="7" t="str">
        <f>_xlfn.XLOOKUP(Orders!B2769,Customers!A2769:A3768,Customers!C2769:C3768,"Country not Found",0)</f>
        <v>Country not Found</v>
      </c>
      <c r="G2769" s="7" t="str">
        <f>_xlfn.XLOOKUP(C2769,Products!A2769:A3268,Products!B2769:B3268,"Product Missing",0)</f>
        <v>Product Missing</v>
      </c>
      <c r="H2769" s="7" t="str">
        <f>_xlfn.XLOOKUP(C2769,Products!A2769:A3268,Products!C2769:C3268,"Category Missing",0)</f>
        <v>Category Missing</v>
      </c>
      <c r="I2769" s="11" t="str">
        <f>_xlfn.XLOOKUP(Orders!C2769,Products!A2769:A3268,Products!D2769:D3268,"Price Missing",0)</f>
        <v>Price Missing</v>
      </c>
      <c r="J2769" s="19">
        <f t="shared" si="43"/>
        <v>0</v>
      </c>
    </row>
    <row r="2770" spans="1:10" x14ac:dyDescent="0.35">
      <c r="A2770" s="4" t="s">
        <v>6790</v>
      </c>
      <c r="B2770" s="7" t="s">
        <v>932</v>
      </c>
      <c r="C2770" s="7" t="s">
        <v>3756</v>
      </c>
      <c r="D2770" s="5">
        <v>7</v>
      </c>
      <c r="E2770" s="7" t="str">
        <f>_xlfn.XLOOKUP(B2770,Customers!A2770:A3769,Customers!B2770:B3769,"Customer Not Found",0)</f>
        <v>Customer Not Found</v>
      </c>
      <c r="F2770" s="7" t="str">
        <f>_xlfn.XLOOKUP(Orders!B2770,Customers!A2770:A3769,Customers!C2770:C3769,"Country not Found",0)</f>
        <v>Country not Found</v>
      </c>
      <c r="G2770" s="7" t="str">
        <f>_xlfn.XLOOKUP(C2770,Products!A2770:A3269,Products!B2770:B3269,"Product Missing",0)</f>
        <v>Product Missing</v>
      </c>
      <c r="H2770" s="7" t="str">
        <f>_xlfn.XLOOKUP(C2770,Products!A2770:A3269,Products!C2770:C3269,"Category Missing",0)</f>
        <v>Category Missing</v>
      </c>
      <c r="I2770" s="11" t="str">
        <f>_xlfn.XLOOKUP(Orders!C2770,Products!A2770:A3269,Products!D2770:D3269,"Price Missing",0)</f>
        <v>Price Missing</v>
      </c>
      <c r="J2770" s="19">
        <f t="shared" si="43"/>
        <v>0</v>
      </c>
    </row>
    <row r="2771" spans="1:10" x14ac:dyDescent="0.35">
      <c r="A2771" s="4" t="s">
        <v>6791</v>
      </c>
      <c r="B2771" s="7" t="s">
        <v>2084</v>
      </c>
      <c r="C2771" s="7" t="s">
        <v>3426</v>
      </c>
      <c r="D2771" s="5">
        <v>1</v>
      </c>
      <c r="E2771" s="7" t="str">
        <f>_xlfn.XLOOKUP(B2771,Customers!A2771:A3770,Customers!B2771:B3770,"Customer Not Found",0)</f>
        <v>Customer Not Found</v>
      </c>
      <c r="F2771" s="7" t="str">
        <f>_xlfn.XLOOKUP(Orders!B2771,Customers!A2771:A3770,Customers!C2771:C3770,"Country not Found",0)</f>
        <v>Country not Found</v>
      </c>
      <c r="G2771" s="7" t="str">
        <f>_xlfn.XLOOKUP(C2771,Products!A2771:A3270,Products!B2771:B3270,"Product Missing",0)</f>
        <v>Product Missing</v>
      </c>
      <c r="H2771" s="7" t="str">
        <f>_xlfn.XLOOKUP(C2771,Products!A2771:A3270,Products!C2771:C3270,"Category Missing",0)</f>
        <v>Category Missing</v>
      </c>
      <c r="I2771" s="11" t="str">
        <f>_xlfn.XLOOKUP(Orders!C2771,Products!A2771:A3270,Products!D2771:D3270,"Price Missing",0)</f>
        <v>Price Missing</v>
      </c>
      <c r="J2771" s="19">
        <f t="shared" si="43"/>
        <v>0</v>
      </c>
    </row>
    <row r="2772" spans="1:10" x14ac:dyDescent="0.35">
      <c r="A2772" s="4" t="s">
        <v>6792</v>
      </c>
      <c r="B2772" s="7" t="s">
        <v>2489</v>
      </c>
      <c r="C2772" s="7" t="s">
        <v>3334</v>
      </c>
      <c r="D2772" s="5">
        <v>3</v>
      </c>
      <c r="E2772" s="7" t="str">
        <f>_xlfn.XLOOKUP(B2772,Customers!A2772:A3771,Customers!B2772:B3771,"Customer Not Found",0)</f>
        <v>Customer Not Found</v>
      </c>
      <c r="F2772" s="7" t="str">
        <f>_xlfn.XLOOKUP(Orders!B2772,Customers!A2772:A3771,Customers!C2772:C3771,"Country not Found",0)</f>
        <v>Country not Found</v>
      </c>
      <c r="G2772" s="7" t="str">
        <f>_xlfn.XLOOKUP(C2772,Products!A2772:A3271,Products!B2772:B3271,"Product Missing",0)</f>
        <v>Product Missing</v>
      </c>
      <c r="H2772" s="7" t="str">
        <f>_xlfn.XLOOKUP(C2772,Products!A2772:A3271,Products!C2772:C3271,"Category Missing",0)</f>
        <v>Category Missing</v>
      </c>
      <c r="I2772" s="11" t="str">
        <f>_xlfn.XLOOKUP(Orders!C2772,Products!A2772:A3271,Products!D2772:D3271,"Price Missing",0)</f>
        <v>Price Missing</v>
      </c>
      <c r="J2772" s="19">
        <f t="shared" si="43"/>
        <v>0</v>
      </c>
    </row>
    <row r="2773" spans="1:10" x14ac:dyDescent="0.35">
      <c r="A2773" s="4" t="s">
        <v>6793</v>
      </c>
      <c r="B2773" s="7" t="s">
        <v>1817</v>
      </c>
      <c r="C2773" s="7" t="s">
        <v>3148</v>
      </c>
      <c r="D2773" s="5">
        <v>4</v>
      </c>
      <c r="E2773" s="7" t="str">
        <f>_xlfn.XLOOKUP(B2773,Customers!A2773:A3772,Customers!B2773:B3772,"Customer Not Found",0)</f>
        <v>Customer Not Found</v>
      </c>
      <c r="F2773" s="7" t="str">
        <f>_xlfn.XLOOKUP(Orders!B2773,Customers!A2773:A3772,Customers!C2773:C3772,"Country not Found",0)</f>
        <v>Country not Found</v>
      </c>
      <c r="G2773" s="7" t="str">
        <f>_xlfn.XLOOKUP(C2773,Products!A2773:A3272,Products!B2773:B3272,"Product Missing",0)</f>
        <v>Product Missing</v>
      </c>
      <c r="H2773" s="7" t="str">
        <f>_xlfn.XLOOKUP(C2773,Products!A2773:A3272,Products!C2773:C3272,"Category Missing",0)</f>
        <v>Category Missing</v>
      </c>
      <c r="I2773" s="11" t="str">
        <f>_xlfn.XLOOKUP(Orders!C2773,Products!A2773:A3272,Products!D2773:D3272,"Price Missing",0)</f>
        <v>Price Missing</v>
      </c>
      <c r="J2773" s="19">
        <f t="shared" si="43"/>
        <v>0</v>
      </c>
    </row>
    <row r="2774" spans="1:10" x14ac:dyDescent="0.35">
      <c r="A2774" s="4" t="s">
        <v>6794</v>
      </c>
      <c r="B2774" s="7" t="s">
        <v>521</v>
      </c>
      <c r="C2774" s="7" t="s">
        <v>3548</v>
      </c>
      <c r="D2774" s="5">
        <v>3</v>
      </c>
      <c r="E2774" s="7" t="str">
        <f>_xlfn.XLOOKUP(B2774,Customers!A2774:A3773,Customers!B2774:B3773,"Customer Not Found",0)</f>
        <v>Customer Not Found</v>
      </c>
      <c r="F2774" s="7" t="str">
        <f>_xlfn.XLOOKUP(Orders!B2774,Customers!A2774:A3773,Customers!C2774:C3773,"Country not Found",0)</f>
        <v>Country not Found</v>
      </c>
      <c r="G2774" s="7" t="str">
        <f>_xlfn.XLOOKUP(C2774,Products!A2774:A3273,Products!B2774:B3273,"Product Missing",0)</f>
        <v>Product Missing</v>
      </c>
      <c r="H2774" s="7" t="str">
        <f>_xlfn.XLOOKUP(C2774,Products!A2774:A3273,Products!C2774:C3273,"Category Missing",0)</f>
        <v>Category Missing</v>
      </c>
      <c r="I2774" s="11" t="str">
        <f>_xlfn.XLOOKUP(Orders!C2774,Products!A2774:A3273,Products!D2774:D3273,"Price Missing",0)</f>
        <v>Price Missing</v>
      </c>
      <c r="J2774" s="19">
        <f t="shared" si="43"/>
        <v>0</v>
      </c>
    </row>
    <row r="2775" spans="1:10" x14ac:dyDescent="0.35">
      <c r="A2775" s="4" t="s">
        <v>6795</v>
      </c>
      <c r="B2775" s="7" t="s">
        <v>305</v>
      </c>
      <c r="C2775" s="7" t="s">
        <v>3496</v>
      </c>
      <c r="D2775" s="5">
        <v>4</v>
      </c>
      <c r="E2775" s="7" t="str">
        <f>_xlfn.XLOOKUP(B2775,Customers!A2775:A3774,Customers!B2775:B3774,"Customer Not Found",0)</f>
        <v>Customer Not Found</v>
      </c>
      <c r="F2775" s="7" t="str">
        <f>_xlfn.XLOOKUP(Orders!B2775,Customers!A2775:A3774,Customers!C2775:C3774,"Country not Found",0)</f>
        <v>Country not Found</v>
      </c>
      <c r="G2775" s="7" t="str">
        <f>_xlfn.XLOOKUP(C2775,Products!A2775:A3274,Products!B2775:B3274,"Product Missing",0)</f>
        <v>Product Missing</v>
      </c>
      <c r="H2775" s="7" t="str">
        <f>_xlfn.XLOOKUP(C2775,Products!A2775:A3274,Products!C2775:C3274,"Category Missing",0)</f>
        <v>Category Missing</v>
      </c>
      <c r="I2775" s="11" t="str">
        <f>_xlfn.XLOOKUP(Orders!C2775,Products!A2775:A3274,Products!D2775:D3274,"Price Missing",0)</f>
        <v>Price Missing</v>
      </c>
      <c r="J2775" s="19">
        <f t="shared" si="43"/>
        <v>0</v>
      </c>
    </row>
    <row r="2776" spans="1:10" x14ac:dyDescent="0.35">
      <c r="A2776" s="4" t="s">
        <v>6796</v>
      </c>
      <c r="B2776" s="7" t="s">
        <v>2510</v>
      </c>
      <c r="C2776" s="7" t="s">
        <v>3538</v>
      </c>
      <c r="D2776" s="5">
        <v>6</v>
      </c>
      <c r="E2776" s="7" t="str">
        <f>_xlfn.XLOOKUP(B2776,Customers!A2776:A3775,Customers!B2776:B3775,"Customer Not Found",0)</f>
        <v>Customer Not Found</v>
      </c>
      <c r="F2776" s="7" t="str">
        <f>_xlfn.XLOOKUP(Orders!B2776,Customers!A2776:A3775,Customers!C2776:C3775,"Country not Found",0)</f>
        <v>Country not Found</v>
      </c>
      <c r="G2776" s="7" t="str">
        <f>_xlfn.XLOOKUP(C2776,Products!A2776:A3275,Products!B2776:B3275,"Product Missing",0)</f>
        <v>Product Missing</v>
      </c>
      <c r="H2776" s="7" t="str">
        <f>_xlfn.XLOOKUP(C2776,Products!A2776:A3275,Products!C2776:C3275,"Category Missing",0)</f>
        <v>Category Missing</v>
      </c>
      <c r="I2776" s="11" t="str">
        <f>_xlfn.XLOOKUP(Orders!C2776,Products!A2776:A3275,Products!D2776:D3275,"Price Missing",0)</f>
        <v>Price Missing</v>
      </c>
      <c r="J2776" s="19">
        <f t="shared" si="43"/>
        <v>0</v>
      </c>
    </row>
    <row r="2777" spans="1:10" x14ac:dyDescent="0.35">
      <c r="A2777" s="4" t="s">
        <v>6797</v>
      </c>
      <c r="B2777" s="7" t="s">
        <v>563</v>
      </c>
      <c r="C2777" s="7" t="s">
        <v>3052</v>
      </c>
      <c r="D2777" s="5">
        <v>7</v>
      </c>
      <c r="E2777" s="7" t="str">
        <f>_xlfn.XLOOKUP(B2777,Customers!A2777:A3776,Customers!B2777:B3776,"Customer Not Found",0)</f>
        <v>Customer Not Found</v>
      </c>
      <c r="F2777" s="7" t="str">
        <f>_xlfn.XLOOKUP(Orders!B2777,Customers!A2777:A3776,Customers!C2777:C3776,"Country not Found",0)</f>
        <v>Country not Found</v>
      </c>
      <c r="G2777" s="7" t="str">
        <f>_xlfn.XLOOKUP(C2777,Products!A2777:A3276,Products!B2777:B3276,"Product Missing",0)</f>
        <v>Product Missing</v>
      </c>
      <c r="H2777" s="7" t="str">
        <f>_xlfn.XLOOKUP(C2777,Products!A2777:A3276,Products!C2777:C3276,"Category Missing",0)</f>
        <v>Category Missing</v>
      </c>
      <c r="I2777" s="11" t="str">
        <f>_xlfn.XLOOKUP(Orders!C2777,Products!A2777:A3276,Products!D2777:D3276,"Price Missing",0)</f>
        <v>Price Missing</v>
      </c>
      <c r="J2777" s="19">
        <f t="shared" si="43"/>
        <v>0</v>
      </c>
    </row>
    <row r="2778" spans="1:10" x14ac:dyDescent="0.35">
      <c r="A2778" s="4" t="s">
        <v>6798</v>
      </c>
      <c r="B2778" s="7" t="s">
        <v>1130</v>
      </c>
      <c r="C2778" s="7" t="s">
        <v>3574</v>
      </c>
      <c r="D2778" s="5">
        <v>4</v>
      </c>
      <c r="E2778" s="7" t="str">
        <f>_xlfn.XLOOKUP(B2778,Customers!A2778:A3777,Customers!B2778:B3777,"Customer Not Found",0)</f>
        <v>Customer Not Found</v>
      </c>
      <c r="F2778" s="7" t="str">
        <f>_xlfn.XLOOKUP(Orders!B2778,Customers!A2778:A3777,Customers!C2778:C3777,"Country not Found",0)</f>
        <v>Country not Found</v>
      </c>
      <c r="G2778" s="7" t="str">
        <f>_xlfn.XLOOKUP(C2778,Products!A2778:A3277,Products!B2778:B3277,"Product Missing",0)</f>
        <v>Product Missing</v>
      </c>
      <c r="H2778" s="7" t="str">
        <f>_xlfn.XLOOKUP(C2778,Products!A2778:A3277,Products!C2778:C3277,"Category Missing",0)</f>
        <v>Category Missing</v>
      </c>
      <c r="I2778" s="11" t="str">
        <f>_xlfn.XLOOKUP(Orders!C2778,Products!A2778:A3277,Products!D2778:D3277,"Price Missing",0)</f>
        <v>Price Missing</v>
      </c>
      <c r="J2778" s="19">
        <f t="shared" si="43"/>
        <v>0</v>
      </c>
    </row>
    <row r="2779" spans="1:10" x14ac:dyDescent="0.35">
      <c r="A2779" s="4" t="s">
        <v>6799</v>
      </c>
      <c r="B2779" s="7" t="s">
        <v>2606</v>
      </c>
      <c r="C2779" s="7" t="s">
        <v>3344</v>
      </c>
      <c r="D2779" s="5">
        <v>10</v>
      </c>
      <c r="E2779" s="7" t="str">
        <f>_xlfn.XLOOKUP(B2779,Customers!A2779:A3778,Customers!B2779:B3778,"Customer Not Found",0)</f>
        <v>Customer Not Found</v>
      </c>
      <c r="F2779" s="7" t="str">
        <f>_xlfn.XLOOKUP(Orders!B2779,Customers!A2779:A3778,Customers!C2779:C3778,"Country not Found",0)</f>
        <v>Country not Found</v>
      </c>
      <c r="G2779" s="7" t="str">
        <f>_xlfn.XLOOKUP(C2779,Products!A2779:A3278,Products!B2779:B3278,"Product Missing",0)</f>
        <v>Product Missing</v>
      </c>
      <c r="H2779" s="7" t="str">
        <f>_xlfn.XLOOKUP(C2779,Products!A2779:A3278,Products!C2779:C3278,"Category Missing",0)</f>
        <v>Category Missing</v>
      </c>
      <c r="I2779" s="11" t="str">
        <f>_xlfn.XLOOKUP(Orders!C2779,Products!A2779:A3278,Products!D2779:D3278,"Price Missing",0)</f>
        <v>Price Missing</v>
      </c>
      <c r="J2779" s="19">
        <f t="shared" si="43"/>
        <v>0</v>
      </c>
    </row>
    <row r="2780" spans="1:10" x14ac:dyDescent="0.35">
      <c r="A2780" s="4" t="s">
        <v>6800</v>
      </c>
      <c r="B2780" s="7" t="s">
        <v>2801</v>
      </c>
      <c r="C2780" s="7" t="s">
        <v>3100</v>
      </c>
      <c r="D2780" s="5">
        <v>8</v>
      </c>
      <c r="E2780" s="7" t="str">
        <f>_xlfn.XLOOKUP(B2780,Customers!A2780:A3779,Customers!B2780:B3779,"Customer Not Found",0)</f>
        <v>Customer Not Found</v>
      </c>
      <c r="F2780" s="7" t="str">
        <f>_xlfn.XLOOKUP(Orders!B2780,Customers!A2780:A3779,Customers!C2780:C3779,"Country not Found",0)</f>
        <v>Country not Found</v>
      </c>
      <c r="G2780" s="7" t="str">
        <f>_xlfn.XLOOKUP(C2780,Products!A2780:A3279,Products!B2780:B3279,"Product Missing",0)</f>
        <v>Product Missing</v>
      </c>
      <c r="H2780" s="7" t="str">
        <f>_xlfn.XLOOKUP(C2780,Products!A2780:A3279,Products!C2780:C3279,"Category Missing",0)</f>
        <v>Category Missing</v>
      </c>
      <c r="I2780" s="11" t="str">
        <f>_xlfn.XLOOKUP(Orders!C2780,Products!A2780:A3279,Products!D2780:D3279,"Price Missing",0)</f>
        <v>Price Missing</v>
      </c>
      <c r="J2780" s="19">
        <f t="shared" si="43"/>
        <v>0</v>
      </c>
    </row>
    <row r="2781" spans="1:10" x14ac:dyDescent="0.35">
      <c r="A2781" s="4" t="s">
        <v>6801</v>
      </c>
      <c r="B2781" s="7" t="s">
        <v>2177</v>
      </c>
      <c r="C2781" s="7" t="s">
        <v>3460</v>
      </c>
      <c r="D2781" s="5">
        <v>6</v>
      </c>
      <c r="E2781" s="7" t="str">
        <f>_xlfn.XLOOKUP(B2781,Customers!A2781:A3780,Customers!B2781:B3780,"Customer Not Found",0)</f>
        <v>Customer Not Found</v>
      </c>
      <c r="F2781" s="7" t="str">
        <f>_xlfn.XLOOKUP(Orders!B2781,Customers!A2781:A3780,Customers!C2781:C3780,"Country not Found",0)</f>
        <v>Country not Found</v>
      </c>
      <c r="G2781" s="7" t="str">
        <f>_xlfn.XLOOKUP(C2781,Products!A2781:A3280,Products!B2781:B3280,"Product Missing",0)</f>
        <v>Product Missing</v>
      </c>
      <c r="H2781" s="7" t="str">
        <f>_xlfn.XLOOKUP(C2781,Products!A2781:A3280,Products!C2781:C3280,"Category Missing",0)</f>
        <v>Category Missing</v>
      </c>
      <c r="I2781" s="11" t="str">
        <f>_xlfn.XLOOKUP(Orders!C2781,Products!A2781:A3280,Products!D2781:D3280,"Price Missing",0)</f>
        <v>Price Missing</v>
      </c>
      <c r="J2781" s="19">
        <f t="shared" si="43"/>
        <v>0</v>
      </c>
    </row>
    <row r="2782" spans="1:10" x14ac:dyDescent="0.35">
      <c r="A2782" s="4" t="s">
        <v>6802</v>
      </c>
      <c r="B2782" s="7" t="s">
        <v>2135</v>
      </c>
      <c r="C2782" s="7" t="s">
        <v>3730</v>
      </c>
      <c r="D2782" s="5">
        <v>9</v>
      </c>
      <c r="E2782" s="7" t="str">
        <f>_xlfn.XLOOKUP(B2782,Customers!A2782:A3781,Customers!B2782:B3781,"Customer Not Found",0)</f>
        <v>Customer Not Found</v>
      </c>
      <c r="F2782" s="7" t="str">
        <f>_xlfn.XLOOKUP(Orders!B2782,Customers!A2782:A3781,Customers!C2782:C3781,"Country not Found",0)</f>
        <v>Country not Found</v>
      </c>
      <c r="G2782" s="7" t="str">
        <f>_xlfn.XLOOKUP(C2782,Products!A2782:A3281,Products!B2782:B3281,"Product Missing",0)</f>
        <v>Product Missing</v>
      </c>
      <c r="H2782" s="7" t="str">
        <f>_xlfn.XLOOKUP(C2782,Products!A2782:A3281,Products!C2782:C3281,"Category Missing",0)</f>
        <v>Category Missing</v>
      </c>
      <c r="I2782" s="11" t="str">
        <f>_xlfn.XLOOKUP(Orders!C2782,Products!A2782:A3281,Products!D2782:D3281,"Price Missing",0)</f>
        <v>Price Missing</v>
      </c>
      <c r="J2782" s="19">
        <f t="shared" si="43"/>
        <v>0</v>
      </c>
    </row>
    <row r="2783" spans="1:10" x14ac:dyDescent="0.35">
      <c r="A2783" s="4" t="s">
        <v>6803</v>
      </c>
      <c r="B2783" s="7" t="s">
        <v>116</v>
      </c>
      <c r="C2783" s="7" t="s">
        <v>3836</v>
      </c>
      <c r="D2783" s="5">
        <v>10</v>
      </c>
      <c r="E2783" s="7" t="str">
        <f>_xlfn.XLOOKUP(B2783,Customers!A2783:A3782,Customers!B2783:B3782,"Customer Not Found",0)</f>
        <v>Customer Not Found</v>
      </c>
      <c r="F2783" s="7" t="str">
        <f>_xlfn.XLOOKUP(Orders!B2783,Customers!A2783:A3782,Customers!C2783:C3782,"Country not Found",0)</f>
        <v>Country not Found</v>
      </c>
      <c r="G2783" s="7" t="str">
        <f>_xlfn.XLOOKUP(C2783,Products!A2783:A3282,Products!B2783:B3282,"Product Missing",0)</f>
        <v>Product Missing</v>
      </c>
      <c r="H2783" s="7" t="str">
        <f>_xlfn.XLOOKUP(C2783,Products!A2783:A3282,Products!C2783:C3282,"Category Missing",0)</f>
        <v>Category Missing</v>
      </c>
      <c r="I2783" s="11" t="str">
        <f>_xlfn.XLOOKUP(Orders!C2783,Products!A2783:A3282,Products!D2783:D3282,"Price Missing",0)</f>
        <v>Price Missing</v>
      </c>
      <c r="J2783" s="19">
        <f t="shared" si="43"/>
        <v>0</v>
      </c>
    </row>
    <row r="2784" spans="1:10" x14ac:dyDescent="0.35">
      <c r="A2784" s="4" t="s">
        <v>6804</v>
      </c>
      <c r="B2784" s="7" t="s">
        <v>2513</v>
      </c>
      <c r="C2784" s="7" t="s">
        <v>3232</v>
      </c>
      <c r="D2784" s="5">
        <v>9</v>
      </c>
      <c r="E2784" s="7" t="str">
        <f>_xlfn.XLOOKUP(B2784,Customers!A2784:A3783,Customers!B2784:B3783,"Customer Not Found",0)</f>
        <v>Customer Not Found</v>
      </c>
      <c r="F2784" s="7" t="str">
        <f>_xlfn.XLOOKUP(Orders!B2784,Customers!A2784:A3783,Customers!C2784:C3783,"Country not Found",0)</f>
        <v>Country not Found</v>
      </c>
      <c r="G2784" s="7" t="str">
        <f>_xlfn.XLOOKUP(C2784,Products!A2784:A3283,Products!B2784:B3283,"Product Missing",0)</f>
        <v>Product Missing</v>
      </c>
      <c r="H2784" s="7" t="str">
        <f>_xlfn.XLOOKUP(C2784,Products!A2784:A3283,Products!C2784:C3283,"Category Missing",0)</f>
        <v>Category Missing</v>
      </c>
      <c r="I2784" s="11" t="str">
        <f>_xlfn.XLOOKUP(Orders!C2784,Products!A2784:A3283,Products!D2784:D3283,"Price Missing",0)</f>
        <v>Price Missing</v>
      </c>
      <c r="J2784" s="19">
        <f t="shared" si="43"/>
        <v>0</v>
      </c>
    </row>
    <row r="2785" spans="1:10" x14ac:dyDescent="0.35">
      <c r="A2785" s="4" t="s">
        <v>6805</v>
      </c>
      <c r="B2785" s="7" t="s">
        <v>323</v>
      </c>
      <c r="C2785" s="7" t="s">
        <v>3708</v>
      </c>
      <c r="D2785" s="5">
        <v>3</v>
      </c>
      <c r="E2785" s="7" t="str">
        <f>_xlfn.XLOOKUP(B2785,Customers!A2785:A3784,Customers!B2785:B3784,"Customer Not Found",0)</f>
        <v>Customer Not Found</v>
      </c>
      <c r="F2785" s="7" t="str">
        <f>_xlfn.XLOOKUP(Orders!B2785,Customers!A2785:A3784,Customers!C2785:C3784,"Country not Found",0)</f>
        <v>Country not Found</v>
      </c>
      <c r="G2785" s="7" t="str">
        <f>_xlfn.XLOOKUP(C2785,Products!A2785:A3284,Products!B2785:B3284,"Product Missing",0)</f>
        <v>Product Missing</v>
      </c>
      <c r="H2785" s="7" t="str">
        <f>_xlfn.XLOOKUP(C2785,Products!A2785:A3284,Products!C2785:C3284,"Category Missing",0)</f>
        <v>Category Missing</v>
      </c>
      <c r="I2785" s="11" t="str">
        <f>_xlfn.XLOOKUP(Orders!C2785,Products!A2785:A3284,Products!D2785:D3284,"Price Missing",0)</f>
        <v>Price Missing</v>
      </c>
      <c r="J2785" s="19">
        <f t="shared" si="43"/>
        <v>0</v>
      </c>
    </row>
    <row r="2786" spans="1:10" x14ac:dyDescent="0.35">
      <c r="A2786" s="4" t="s">
        <v>6806</v>
      </c>
      <c r="B2786" s="7" t="s">
        <v>1652</v>
      </c>
      <c r="C2786" s="7" t="s">
        <v>3018</v>
      </c>
      <c r="D2786" s="5">
        <v>10</v>
      </c>
      <c r="E2786" s="7" t="str">
        <f>_xlfn.XLOOKUP(B2786,Customers!A2786:A3785,Customers!B2786:B3785,"Customer Not Found",0)</f>
        <v>Customer Not Found</v>
      </c>
      <c r="F2786" s="7" t="str">
        <f>_xlfn.XLOOKUP(Orders!B2786,Customers!A2786:A3785,Customers!C2786:C3785,"Country not Found",0)</f>
        <v>Country not Found</v>
      </c>
      <c r="G2786" s="7" t="str">
        <f>_xlfn.XLOOKUP(C2786,Products!A2786:A3285,Products!B2786:B3285,"Product Missing",0)</f>
        <v>Product Missing</v>
      </c>
      <c r="H2786" s="7" t="str">
        <f>_xlfn.XLOOKUP(C2786,Products!A2786:A3285,Products!C2786:C3285,"Category Missing",0)</f>
        <v>Category Missing</v>
      </c>
      <c r="I2786" s="11" t="str">
        <f>_xlfn.XLOOKUP(Orders!C2786,Products!A2786:A3285,Products!D2786:D3285,"Price Missing",0)</f>
        <v>Price Missing</v>
      </c>
      <c r="J2786" s="19">
        <f t="shared" si="43"/>
        <v>0</v>
      </c>
    </row>
    <row r="2787" spans="1:10" x14ac:dyDescent="0.35">
      <c r="A2787" s="4" t="s">
        <v>6807</v>
      </c>
      <c r="B2787" s="7" t="s">
        <v>2345</v>
      </c>
      <c r="C2787" s="7" t="s">
        <v>3464</v>
      </c>
      <c r="D2787" s="5">
        <v>4</v>
      </c>
      <c r="E2787" s="7" t="str">
        <f>_xlfn.XLOOKUP(B2787,Customers!A2787:A3786,Customers!B2787:B3786,"Customer Not Found",0)</f>
        <v>Customer Not Found</v>
      </c>
      <c r="F2787" s="7" t="str">
        <f>_xlfn.XLOOKUP(Orders!B2787,Customers!A2787:A3786,Customers!C2787:C3786,"Country not Found",0)</f>
        <v>Country not Found</v>
      </c>
      <c r="G2787" s="7" t="str">
        <f>_xlfn.XLOOKUP(C2787,Products!A2787:A3286,Products!B2787:B3286,"Product Missing",0)</f>
        <v>Product Missing</v>
      </c>
      <c r="H2787" s="7" t="str">
        <f>_xlfn.XLOOKUP(C2787,Products!A2787:A3286,Products!C2787:C3286,"Category Missing",0)</f>
        <v>Category Missing</v>
      </c>
      <c r="I2787" s="11" t="str">
        <f>_xlfn.XLOOKUP(Orders!C2787,Products!A2787:A3286,Products!D2787:D3286,"Price Missing",0)</f>
        <v>Price Missing</v>
      </c>
      <c r="J2787" s="19">
        <f t="shared" si="43"/>
        <v>0</v>
      </c>
    </row>
    <row r="2788" spans="1:10" x14ac:dyDescent="0.35">
      <c r="A2788" s="4" t="s">
        <v>6808</v>
      </c>
      <c r="B2788" s="7" t="s">
        <v>893</v>
      </c>
      <c r="C2788" s="7" t="s">
        <v>3998</v>
      </c>
      <c r="D2788" s="5">
        <v>9</v>
      </c>
      <c r="E2788" s="7" t="str">
        <f>_xlfn.XLOOKUP(B2788,Customers!A2788:A3787,Customers!B2788:B3787,"Customer Not Found",0)</f>
        <v>Customer Not Found</v>
      </c>
      <c r="F2788" s="7" t="str">
        <f>_xlfn.XLOOKUP(Orders!B2788,Customers!A2788:A3787,Customers!C2788:C3787,"Country not Found",0)</f>
        <v>Country not Found</v>
      </c>
      <c r="G2788" s="7" t="str">
        <f>_xlfn.XLOOKUP(C2788,Products!A2788:A3287,Products!B2788:B3287,"Product Missing",0)</f>
        <v>Product Missing</v>
      </c>
      <c r="H2788" s="7" t="str">
        <f>_xlfn.XLOOKUP(C2788,Products!A2788:A3287,Products!C2788:C3287,"Category Missing",0)</f>
        <v>Category Missing</v>
      </c>
      <c r="I2788" s="11" t="str">
        <f>_xlfn.XLOOKUP(Orders!C2788,Products!A2788:A3287,Products!D2788:D3287,"Price Missing",0)</f>
        <v>Price Missing</v>
      </c>
      <c r="J2788" s="19">
        <f t="shared" si="43"/>
        <v>0</v>
      </c>
    </row>
    <row r="2789" spans="1:10" x14ac:dyDescent="0.35">
      <c r="A2789" s="4" t="s">
        <v>6809</v>
      </c>
      <c r="B2789" s="7" t="s">
        <v>1391</v>
      </c>
      <c r="C2789" s="7" t="s">
        <v>3828</v>
      </c>
      <c r="D2789" s="5">
        <v>2</v>
      </c>
      <c r="E2789" s="7" t="str">
        <f>_xlfn.XLOOKUP(B2789,Customers!A2789:A3788,Customers!B2789:B3788,"Customer Not Found",0)</f>
        <v>Customer Not Found</v>
      </c>
      <c r="F2789" s="7" t="str">
        <f>_xlfn.XLOOKUP(Orders!B2789,Customers!A2789:A3788,Customers!C2789:C3788,"Country not Found",0)</f>
        <v>Country not Found</v>
      </c>
      <c r="G2789" s="7" t="str">
        <f>_xlfn.XLOOKUP(C2789,Products!A2789:A3288,Products!B2789:B3288,"Product Missing",0)</f>
        <v>Product Missing</v>
      </c>
      <c r="H2789" s="7" t="str">
        <f>_xlfn.XLOOKUP(C2789,Products!A2789:A3288,Products!C2789:C3288,"Category Missing",0)</f>
        <v>Category Missing</v>
      </c>
      <c r="I2789" s="11" t="str">
        <f>_xlfn.XLOOKUP(Orders!C2789,Products!A2789:A3288,Products!D2789:D3288,"Price Missing",0)</f>
        <v>Price Missing</v>
      </c>
      <c r="J2789" s="19">
        <f t="shared" si="43"/>
        <v>0</v>
      </c>
    </row>
    <row r="2790" spans="1:10" x14ac:dyDescent="0.35">
      <c r="A2790" s="4" t="s">
        <v>6810</v>
      </c>
      <c r="B2790" s="7" t="s">
        <v>1601</v>
      </c>
      <c r="C2790" s="7" t="s">
        <v>3882</v>
      </c>
      <c r="D2790" s="5">
        <v>8</v>
      </c>
      <c r="E2790" s="7" t="str">
        <f>_xlfn.XLOOKUP(B2790,Customers!A2790:A3789,Customers!B2790:B3789,"Customer Not Found",0)</f>
        <v>Customer Not Found</v>
      </c>
      <c r="F2790" s="7" t="str">
        <f>_xlfn.XLOOKUP(Orders!B2790,Customers!A2790:A3789,Customers!C2790:C3789,"Country not Found",0)</f>
        <v>Country not Found</v>
      </c>
      <c r="G2790" s="7" t="str">
        <f>_xlfn.XLOOKUP(C2790,Products!A2790:A3289,Products!B2790:B3289,"Product Missing",0)</f>
        <v>Product Missing</v>
      </c>
      <c r="H2790" s="7" t="str">
        <f>_xlfn.XLOOKUP(C2790,Products!A2790:A3289,Products!C2790:C3289,"Category Missing",0)</f>
        <v>Category Missing</v>
      </c>
      <c r="I2790" s="11" t="str">
        <f>_xlfn.XLOOKUP(Orders!C2790,Products!A2790:A3289,Products!D2790:D3289,"Price Missing",0)</f>
        <v>Price Missing</v>
      </c>
      <c r="J2790" s="19">
        <f t="shared" si="43"/>
        <v>0</v>
      </c>
    </row>
    <row r="2791" spans="1:10" x14ac:dyDescent="0.35">
      <c r="A2791" s="4" t="s">
        <v>6811</v>
      </c>
      <c r="B2791" s="7" t="s">
        <v>2876</v>
      </c>
      <c r="C2791" s="7" t="s">
        <v>3800</v>
      </c>
      <c r="D2791" s="5">
        <v>10</v>
      </c>
      <c r="E2791" s="7" t="str">
        <f>_xlfn.XLOOKUP(B2791,Customers!A2791:A3790,Customers!B2791:B3790,"Customer Not Found",0)</f>
        <v>Customer Not Found</v>
      </c>
      <c r="F2791" s="7" t="str">
        <f>_xlfn.XLOOKUP(Orders!B2791,Customers!A2791:A3790,Customers!C2791:C3790,"Country not Found",0)</f>
        <v>Country not Found</v>
      </c>
      <c r="G2791" s="7" t="str">
        <f>_xlfn.XLOOKUP(C2791,Products!A2791:A3290,Products!B2791:B3290,"Product Missing",0)</f>
        <v>Product Missing</v>
      </c>
      <c r="H2791" s="7" t="str">
        <f>_xlfn.XLOOKUP(C2791,Products!A2791:A3290,Products!C2791:C3290,"Category Missing",0)</f>
        <v>Category Missing</v>
      </c>
      <c r="I2791" s="11" t="str">
        <f>_xlfn.XLOOKUP(Orders!C2791,Products!A2791:A3290,Products!D2791:D3290,"Price Missing",0)</f>
        <v>Price Missing</v>
      </c>
      <c r="J2791" s="19">
        <f t="shared" si="43"/>
        <v>0</v>
      </c>
    </row>
    <row r="2792" spans="1:10" x14ac:dyDescent="0.35">
      <c r="A2792" s="4" t="s">
        <v>6812</v>
      </c>
      <c r="B2792" s="7" t="s">
        <v>1208</v>
      </c>
      <c r="C2792" s="7" t="s">
        <v>3902</v>
      </c>
      <c r="D2792" s="5">
        <v>9</v>
      </c>
      <c r="E2792" s="7" t="str">
        <f>_xlfn.XLOOKUP(B2792,Customers!A2792:A3791,Customers!B2792:B3791,"Customer Not Found",0)</f>
        <v>Customer Not Found</v>
      </c>
      <c r="F2792" s="7" t="str">
        <f>_xlfn.XLOOKUP(Orders!B2792,Customers!A2792:A3791,Customers!C2792:C3791,"Country not Found",0)</f>
        <v>Country not Found</v>
      </c>
      <c r="G2792" s="7" t="str">
        <f>_xlfn.XLOOKUP(C2792,Products!A2792:A3291,Products!B2792:B3291,"Product Missing",0)</f>
        <v>Product Missing</v>
      </c>
      <c r="H2792" s="7" t="str">
        <f>_xlfn.XLOOKUP(C2792,Products!A2792:A3291,Products!C2792:C3291,"Category Missing",0)</f>
        <v>Category Missing</v>
      </c>
      <c r="I2792" s="11" t="str">
        <f>_xlfn.XLOOKUP(Orders!C2792,Products!A2792:A3291,Products!D2792:D3291,"Price Missing",0)</f>
        <v>Price Missing</v>
      </c>
      <c r="J2792" s="19">
        <f t="shared" si="43"/>
        <v>0</v>
      </c>
    </row>
    <row r="2793" spans="1:10" x14ac:dyDescent="0.35">
      <c r="A2793" s="4" t="s">
        <v>6813</v>
      </c>
      <c r="B2793" s="7" t="s">
        <v>1313</v>
      </c>
      <c r="C2793" s="7" t="s">
        <v>3272</v>
      </c>
      <c r="D2793" s="5">
        <v>7</v>
      </c>
      <c r="E2793" s="7" t="str">
        <f>_xlfn.XLOOKUP(B2793,Customers!A2793:A3792,Customers!B2793:B3792,"Customer Not Found",0)</f>
        <v>Customer Not Found</v>
      </c>
      <c r="F2793" s="7" t="str">
        <f>_xlfn.XLOOKUP(Orders!B2793,Customers!A2793:A3792,Customers!C2793:C3792,"Country not Found",0)</f>
        <v>Country not Found</v>
      </c>
      <c r="G2793" s="7" t="str">
        <f>_xlfn.XLOOKUP(C2793,Products!A2793:A3292,Products!B2793:B3292,"Product Missing",0)</f>
        <v>Product Missing</v>
      </c>
      <c r="H2793" s="7" t="str">
        <f>_xlfn.XLOOKUP(C2793,Products!A2793:A3292,Products!C2793:C3292,"Category Missing",0)</f>
        <v>Category Missing</v>
      </c>
      <c r="I2793" s="11" t="str">
        <f>_xlfn.XLOOKUP(Orders!C2793,Products!A2793:A3292,Products!D2793:D3292,"Price Missing",0)</f>
        <v>Price Missing</v>
      </c>
      <c r="J2793" s="19">
        <f t="shared" si="43"/>
        <v>0</v>
      </c>
    </row>
    <row r="2794" spans="1:10" x14ac:dyDescent="0.35">
      <c r="A2794" s="4" t="s">
        <v>6814</v>
      </c>
      <c r="B2794" s="7" t="s">
        <v>2042</v>
      </c>
      <c r="C2794" s="7" t="s">
        <v>3966</v>
      </c>
      <c r="D2794" s="5">
        <v>5</v>
      </c>
      <c r="E2794" s="7" t="str">
        <f>_xlfn.XLOOKUP(B2794,Customers!A2794:A3793,Customers!B2794:B3793,"Customer Not Found",0)</f>
        <v>Customer Not Found</v>
      </c>
      <c r="F2794" s="7" t="str">
        <f>_xlfn.XLOOKUP(Orders!B2794,Customers!A2794:A3793,Customers!C2794:C3793,"Country not Found",0)</f>
        <v>Country not Found</v>
      </c>
      <c r="G2794" s="7" t="str">
        <f>_xlfn.XLOOKUP(C2794,Products!A2794:A3293,Products!B2794:B3293,"Product Missing",0)</f>
        <v>Product Missing</v>
      </c>
      <c r="H2794" s="7" t="str">
        <f>_xlfn.XLOOKUP(C2794,Products!A2794:A3293,Products!C2794:C3293,"Category Missing",0)</f>
        <v>Category Missing</v>
      </c>
      <c r="I2794" s="11" t="str">
        <f>_xlfn.XLOOKUP(Orders!C2794,Products!A2794:A3293,Products!D2794:D3293,"Price Missing",0)</f>
        <v>Price Missing</v>
      </c>
      <c r="J2794" s="19">
        <f t="shared" si="43"/>
        <v>0</v>
      </c>
    </row>
    <row r="2795" spans="1:10" x14ac:dyDescent="0.35">
      <c r="A2795" s="4" t="s">
        <v>6815</v>
      </c>
      <c r="B2795" s="7" t="s">
        <v>311</v>
      </c>
      <c r="C2795" s="7" t="s">
        <v>3090</v>
      </c>
      <c r="D2795" s="5">
        <v>4</v>
      </c>
      <c r="E2795" s="7" t="str">
        <f>_xlfn.XLOOKUP(B2795,Customers!A2795:A3794,Customers!B2795:B3794,"Customer Not Found",0)</f>
        <v>Customer Not Found</v>
      </c>
      <c r="F2795" s="7" t="str">
        <f>_xlfn.XLOOKUP(Orders!B2795,Customers!A2795:A3794,Customers!C2795:C3794,"Country not Found",0)</f>
        <v>Country not Found</v>
      </c>
      <c r="G2795" s="7" t="str">
        <f>_xlfn.XLOOKUP(C2795,Products!A2795:A3294,Products!B2795:B3294,"Product Missing",0)</f>
        <v>Product Missing</v>
      </c>
      <c r="H2795" s="7" t="str">
        <f>_xlfn.XLOOKUP(C2795,Products!A2795:A3294,Products!C2795:C3294,"Category Missing",0)</f>
        <v>Category Missing</v>
      </c>
      <c r="I2795" s="11" t="str">
        <f>_xlfn.XLOOKUP(Orders!C2795,Products!A2795:A3294,Products!D2795:D3294,"Price Missing",0)</f>
        <v>Price Missing</v>
      </c>
      <c r="J2795" s="19">
        <f t="shared" si="43"/>
        <v>0</v>
      </c>
    </row>
    <row r="2796" spans="1:10" x14ac:dyDescent="0.35">
      <c r="A2796" s="4" t="s">
        <v>6816</v>
      </c>
      <c r="B2796" s="7" t="s">
        <v>461</v>
      </c>
      <c r="C2796" s="7" t="s">
        <v>3758</v>
      </c>
      <c r="D2796" s="5">
        <v>2</v>
      </c>
      <c r="E2796" s="7" t="str">
        <f>_xlfn.XLOOKUP(B2796,Customers!A2796:A3795,Customers!B2796:B3795,"Customer Not Found",0)</f>
        <v>Customer Not Found</v>
      </c>
      <c r="F2796" s="7" t="str">
        <f>_xlfn.XLOOKUP(Orders!B2796,Customers!A2796:A3795,Customers!C2796:C3795,"Country not Found",0)</f>
        <v>Country not Found</v>
      </c>
      <c r="G2796" s="7" t="str">
        <f>_xlfn.XLOOKUP(C2796,Products!A2796:A3295,Products!B2796:B3295,"Product Missing",0)</f>
        <v>Product Missing</v>
      </c>
      <c r="H2796" s="7" t="str">
        <f>_xlfn.XLOOKUP(C2796,Products!A2796:A3295,Products!C2796:C3295,"Category Missing",0)</f>
        <v>Category Missing</v>
      </c>
      <c r="I2796" s="11" t="str">
        <f>_xlfn.XLOOKUP(Orders!C2796,Products!A2796:A3295,Products!D2796:D3295,"Price Missing",0)</f>
        <v>Price Missing</v>
      </c>
      <c r="J2796" s="19">
        <f t="shared" si="43"/>
        <v>0</v>
      </c>
    </row>
    <row r="2797" spans="1:10" x14ac:dyDescent="0.35">
      <c r="A2797" s="4" t="s">
        <v>6817</v>
      </c>
      <c r="B2797" s="7" t="s">
        <v>551</v>
      </c>
      <c r="C2797" s="7" t="s">
        <v>3638</v>
      </c>
      <c r="D2797" s="5">
        <v>4</v>
      </c>
      <c r="E2797" s="7" t="str">
        <f>_xlfn.XLOOKUP(B2797,Customers!A2797:A3796,Customers!B2797:B3796,"Customer Not Found",0)</f>
        <v>Customer Not Found</v>
      </c>
      <c r="F2797" s="7" t="str">
        <f>_xlfn.XLOOKUP(Orders!B2797,Customers!A2797:A3796,Customers!C2797:C3796,"Country not Found",0)</f>
        <v>Country not Found</v>
      </c>
      <c r="G2797" s="7" t="str">
        <f>_xlfn.XLOOKUP(C2797,Products!A2797:A3296,Products!B2797:B3296,"Product Missing",0)</f>
        <v>Product Missing</v>
      </c>
      <c r="H2797" s="7" t="str">
        <f>_xlfn.XLOOKUP(C2797,Products!A2797:A3296,Products!C2797:C3296,"Category Missing",0)</f>
        <v>Category Missing</v>
      </c>
      <c r="I2797" s="11" t="str">
        <f>_xlfn.XLOOKUP(Orders!C2797,Products!A2797:A3296,Products!D2797:D3296,"Price Missing",0)</f>
        <v>Price Missing</v>
      </c>
      <c r="J2797" s="19">
        <f t="shared" si="43"/>
        <v>0</v>
      </c>
    </row>
    <row r="2798" spans="1:10" x14ac:dyDescent="0.35">
      <c r="A2798" s="4" t="s">
        <v>6818</v>
      </c>
      <c r="B2798" s="7" t="s">
        <v>1745</v>
      </c>
      <c r="C2798" s="7" t="s">
        <v>3286</v>
      </c>
      <c r="D2798" s="5">
        <v>8</v>
      </c>
      <c r="E2798" s="7" t="str">
        <f>_xlfn.XLOOKUP(B2798,Customers!A2798:A3797,Customers!B2798:B3797,"Customer Not Found",0)</f>
        <v>Customer Not Found</v>
      </c>
      <c r="F2798" s="7" t="str">
        <f>_xlfn.XLOOKUP(Orders!B2798,Customers!A2798:A3797,Customers!C2798:C3797,"Country not Found",0)</f>
        <v>Country not Found</v>
      </c>
      <c r="G2798" s="7" t="str">
        <f>_xlfn.XLOOKUP(C2798,Products!A2798:A3297,Products!B2798:B3297,"Product Missing",0)</f>
        <v>Product Missing</v>
      </c>
      <c r="H2798" s="7" t="str">
        <f>_xlfn.XLOOKUP(C2798,Products!A2798:A3297,Products!C2798:C3297,"Category Missing",0)</f>
        <v>Category Missing</v>
      </c>
      <c r="I2798" s="11" t="str">
        <f>_xlfn.XLOOKUP(Orders!C2798,Products!A2798:A3297,Products!D2798:D3297,"Price Missing",0)</f>
        <v>Price Missing</v>
      </c>
      <c r="J2798" s="19">
        <f t="shared" si="43"/>
        <v>0</v>
      </c>
    </row>
    <row r="2799" spans="1:10" x14ac:dyDescent="0.35">
      <c r="A2799" s="4" t="s">
        <v>6819</v>
      </c>
      <c r="B2799" s="7" t="s">
        <v>1139</v>
      </c>
      <c r="C2799" s="7" t="s">
        <v>3930</v>
      </c>
      <c r="D2799" s="5">
        <v>6</v>
      </c>
      <c r="E2799" s="7" t="str">
        <f>_xlfn.XLOOKUP(B2799,Customers!A2799:A3798,Customers!B2799:B3798,"Customer Not Found",0)</f>
        <v>Customer Not Found</v>
      </c>
      <c r="F2799" s="7" t="str">
        <f>_xlfn.XLOOKUP(Orders!B2799,Customers!A2799:A3798,Customers!C2799:C3798,"Country not Found",0)</f>
        <v>Country not Found</v>
      </c>
      <c r="G2799" s="7" t="str">
        <f>_xlfn.XLOOKUP(C2799,Products!A2799:A3298,Products!B2799:B3298,"Product Missing",0)</f>
        <v>Product Missing</v>
      </c>
      <c r="H2799" s="7" t="str">
        <f>_xlfn.XLOOKUP(C2799,Products!A2799:A3298,Products!C2799:C3298,"Category Missing",0)</f>
        <v>Category Missing</v>
      </c>
      <c r="I2799" s="11" t="str">
        <f>_xlfn.XLOOKUP(Orders!C2799,Products!A2799:A3298,Products!D2799:D3298,"Price Missing",0)</f>
        <v>Price Missing</v>
      </c>
      <c r="J2799" s="19">
        <f t="shared" si="43"/>
        <v>0</v>
      </c>
    </row>
    <row r="2800" spans="1:10" x14ac:dyDescent="0.35">
      <c r="A2800" s="4" t="s">
        <v>6820</v>
      </c>
      <c r="B2800" s="7" t="s">
        <v>812</v>
      </c>
      <c r="C2800" s="7" t="s">
        <v>3472</v>
      </c>
      <c r="D2800" s="5">
        <v>5</v>
      </c>
      <c r="E2800" s="7" t="str">
        <f>_xlfn.XLOOKUP(B2800,Customers!A2800:A3799,Customers!B2800:B3799,"Customer Not Found",0)</f>
        <v>Customer Not Found</v>
      </c>
      <c r="F2800" s="7" t="str">
        <f>_xlfn.XLOOKUP(Orders!B2800,Customers!A2800:A3799,Customers!C2800:C3799,"Country not Found",0)</f>
        <v>Country not Found</v>
      </c>
      <c r="G2800" s="7" t="str">
        <f>_xlfn.XLOOKUP(C2800,Products!A2800:A3299,Products!B2800:B3299,"Product Missing",0)</f>
        <v>Product Missing</v>
      </c>
      <c r="H2800" s="7" t="str">
        <f>_xlfn.XLOOKUP(C2800,Products!A2800:A3299,Products!C2800:C3299,"Category Missing",0)</f>
        <v>Category Missing</v>
      </c>
      <c r="I2800" s="11" t="str">
        <f>_xlfn.XLOOKUP(Orders!C2800,Products!A2800:A3299,Products!D2800:D3299,"Price Missing",0)</f>
        <v>Price Missing</v>
      </c>
      <c r="J2800" s="19">
        <f t="shared" si="43"/>
        <v>0</v>
      </c>
    </row>
    <row r="2801" spans="1:10" x14ac:dyDescent="0.35">
      <c r="A2801" s="4" t="s">
        <v>6821</v>
      </c>
      <c r="B2801" s="7" t="s">
        <v>614</v>
      </c>
      <c r="C2801" s="7" t="s">
        <v>3796</v>
      </c>
      <c r="D2801" s="5">
        <v>10</v>
      </c>
      <c r="E2801" s="7" t="str">
        <f>_xlfn.XLOOKUP(B2801,Customers!A2801:A3800,Customers!B2801:B3800,"Customer Not Found",0)</f>
        <v>Customer Not Found</v>
      </c>
      <c r="F2801" s="7" t="str">
        <f>_xlfn.XLOOKUP(Orders!B2801,Customers!A2801:A3800,Customers!C2801:C3800,"Country not Found",0)</f>
        <v>Country not Found</v>
      </c>
      <c r="G2801" s="7" t="str">
        <f>_xlfn.XLOOKUP(C2801,Products!A2801:A3300,Products!B2801:B3300,"Product Missing",0)</f>
        <v>Product Missing</v>
      </c>
      <c r="H2801" s="7" t="str">
        <f>_xlfn.XLOOKUP(C2801,Products!A2801:A3300,Products!C2801:C3300,"Category Missing",0)</f>
        <v>Category Missing</v>
      </c>
      <c r="I2801" s="11" t="str">
        <f>_xlfn.XLOOKUP(Orders!C2801,Products!A2801:A3300,Products!D2801:D3300,"Price Missing",0)</f>
        <v>Price Missing</v>
      </c>
      <c r="J2801" s="19">
        <f t="shared" si="43"/>
        <v>0</v>
      </c>
    </row>
    <row r="2802" spans="1:10" x14ac:dyDescent="0.35">
      <c r="A2802" s="4" t="s">
        <v>6822</v>
      </c>
      <c r="B2802" s="7" t="s">
        <v>1577</v>
      </c>
      <c r="C2802" s="7" t="s">
        <v>3580</v>
      </c>
      <c r="D2802" s="5">
        <v>8</v>
      </c>
      <c r="E2802" s="7" t="str">
        <f>_xlfn.XLOOKUP(B2802,Customers!A2802:A3801,Customers!B2802:B3801,"Customer Not Found",0)</f>
        <v>Customer Not Found</v>
      </c>
      <c r="F2802" s="7" t="str">
        <f>_xlfn.XLOOKUP(Orders!B2802,Customers!A2802:A3801,Customers!C2802:C3801,"Country not Found",0)</f>
        <v>Country not Found</v>
      </c>
      <c r="G2802" s="7" t="str">
        <f>_xlfn.XLOOKUP(C2802,Products!A2802:A3301,Products!B2802:B3301,"Product Missing",0)</f>
        <v>Product Missing</v>
      </c>
      <c r="H2802" s="7" t="str">
        <f>_xlfn.XLOOKUP(C2802,Products!A2802:A3301,Products!C2802:C3301,"Category Missing",0)</f>
        <v>Category Missing</v>
      </c>
      <c r="I2802" s="11" t="str">
        <f>_xlfn.XLOOKUP(Orders!C2802,Products!A2802:A3301,Products!D2802:D3301,"Price Missing",0)</f>
        <v>Price Missing</v>
      </c>
      <c r="J2802" s="19">
        <f t="shared" si="43"/>
        <v>0</v>
      </c>
    </row>
    <row r="2803" spans="1:10" x14ac:dyDescent="0.35">
      <c r="A2803" s="4" t="s">
        <v>6823</v>
      </c>
      <c r="B2803" s="7" t="s">
        <v>398</v>
      </c>
      <c r="C2803" s="7" t="s">
        <v>3674</v>
      </c>
      <c r="D2803" s="5">
        <v>8</v>
      </c>
      <c r="E2803" s="7" t="str">
        <f>_xlfn.XLOOKUP(B2803,Customers!A2803:A3802,Customers!B2803:B3802,"Customer Not Found",0)</f>
        <v>Customer Not Found</v>
      </c>
      <c r="F2803" s="7" t="str">
        <f>_xlfn.XLOOKUP(Orders!B2803,Customers!A2803:A3802,Customers!C2803:C3802,"Country not Found",0)</f>
        <v>Country not Found</v>
      </c>
      <c r="G2803" s="7" t="str">
        <f>_xlfn.XLOOKUP(C2803,Products!A2803:A3302,Products!B2803:B3302,"Product Missing",0)</f>
        <v>Product Missing</v>
      </c>
      <c r="H2803" s="7" t="str">
        <f>_xlfn.XLOOKUP(C2803,Products!A2803:A3302,Products!C2803:C3302,"Category Missing",0)</f>
        <v>Category Missing</v>
      </c>
      <c r="I2803" s="11" t="str">
        <f>_xlfn.XLOOKUP(Orders!C2803,Products!A2803:A3302,Products!D2803:D3302,"Price Missing",0)</f>
        <v>Price Missing</v>
      </c>
      <c r="J2803" s="19">
        <f t="shared" si="43"/>
        <v>0</v>
      </c>
    </row>
    <row r="2804" spans="1:10" x14ac:dyDescent="0.35">
      <c r="A2804" s="4" t="s">
        <v>6824</v>
      </c>
      <c r="B2804" s="7" t="s">
        <v>2849</v>
      </c>
      <c r="C2804" s="7" t="s">
        <v>3796</v>
      </c>
      <c r="D2804" s="5">
        <v>7</v>
      </c>
      <c r="E2804" s="7" t="str">
        <f>_xlfn.XLOOKUP(B2804,Customers!A2804:A3803,Customers!B2804:B3803,"Customer Not Found",0)</f>
        <v>Customer Not Found</v>
      </c>
      <c r="F2804" s="7" t="str">
        <f>_xlfn.XLOOKUP(Orders!B2804,Customers!A2804:A3803,Customers!C2804:C3803,"Country not Found",0)</f>
        <v>Country not Found</v>
      </c>
      <c r="G2804" s="7" t="str">
        <f>_xlfn.XLOOKUP(C2804,Products!A2804:A3303,Products!B2804:B3303,"Product Missing",0)</f>
        <v>Product Missing</v>
      </c>
      <c r="H2804" s="7" t="str">
        <f>_xlfn.XLOOKUP(C2804,Products!A2804:A3303,Products!C2804:C3303,"Category Missing",0)</f>
        <v>Category Missing</v>
      </c>
      <c r="I2804" s="11" t="str">
        <f>_xlfn.XLOOKUP(Orders!C2804,Products!A2804:A3303,Products!D2804:D3303,"Price Missing",0)</f>
        <v>Price Missing</v>
      </c>
      <c r="J2804" s="19">
        <f t="shared" si="43"/>
        <v>0</v>
      </c>
    </row>
    <row r="2805" spans="1:10" x14ac:dyDescent="0.35">
      <c r="A2805" s="4" t="s">
        <v>6825</v>
      </c>
      <c r="B2805" s="7" t="s">
        <v>1622</v>
      </c>
      <c r="C2805" s="7" t="s">
        <v>3620</v>
      </c>
      <c r="D2805" s="5">
        <v>10</v>
      </c>
      <c r="E2805" s="7" t="str">
        <f>_xlfn.XLOOKUP(B2805,Customers!A2805:A3804,Customers!B2805:B3804,"Customer Not Found",0)</f>
        <v>Customer Not Found</v>
      </c>
      <c r="F2805" s="7" t="str">
        <f>_xlfn.XLOOKUP(Orders!B2805,Customers!A2805:A3804,Customers!C2805:C3804,"Country not Found",0)</f>
        <v>Country not Found</v>
      </c>
      <c r="G2805" s="7" t="str">
        <f>_xlfn.XLOOKUP(C2805,Products!A2805:A3304,Products!B2805:B3304,"Product Missing",0)</f>
        <v>Product Missing</v>
      </c>
      <c r="H2805" s="7" t="str">
        <f>_xlfn.XLOOKUP(C2805,Products!A2805:A3304,Products!C2805:C3304,"Category Missing",0)</f>
        <v>Category Missing</v>
      </c>
      <c r="I2805" s="11" t="str">
        <f>_xlfn.XLOOKUP(Orders!C2805,Products!A2805:A3304,Products!D2805:D3304,"Price Missing",0)</f>
        <v>Price Missing</v>
      </c>
      <c r="J2805" s="19">
        <f t="shared" si="43"/>
        <v>0</v>
      </c>
    </row>
    <row r="2806" spans="1:10" x14ac:dyDescent="0.35">
      <c r="A2806" s="4" t="s">
        <v>6826</v>
      </c>
      <c r="B2806" s="7" t="s">
        <v>1223</v>
      </c>
      <c r="C2806" s="7" t="s">
        <v>3952</v>
      </c>
      <c r="D2806" s="5">
        <v>7</v>
      </c>
      <c r="E2806" s="7" t="str">
        <f>_xlfn.XLOOKUP(B2806,Customers!A2806:A3805,Customers!B2806:B3805,"Customer Not Found",0)</f>
        <v>Customer Not Found</v>
      </c>
      <c r="F2806" s="7" t="str">
        <f>_xlfn.XLOOKUP(Orders!B2806,Customers!A2806:A3805,Customers!C2806:C3805,"Country not Found",0)</f>
        <v>Country not Found</v>
      </c>
      <c r="G2806" s="7" t="str">
        <f>_xlfn.XLOOKUP(C2806,Products!A2806:A3305,Products!B2806:B3305,"Product Missing",0)</f>
        <v>Product Missing</v>
      </c>
      <c r="H2806" s="7" t="str">
        <f>_xlfn.XLOOKUP(C2806,Products!A2806:A3305,Products!C2806:C3305,"Category Missing",0)</f>
        <v>Category Missing</v>
      </c>
      <c r="I2806" s="11" t="str">
        <f>_xlfn.XLOOKUP(Orders!C2806,Products!A2806:A3305,Products!D2806:D3305,"Price Missing",0)</f>
        <v>Price Missing</v>
      </c>
      <c r="J2806" s="19">
        <f t="shared" si="43"/>
        <v>0</v>
      </c>
    </row>
    <row r="2807" spans="1:10" x14ac:dyDescent="0.35">
      <c r="A2807" s="4" t="s">
        <v>6827</v>
      </c>
      <c r="B2807" s="7" t="s">
        <v>527</v>
      </c>
      <c r="C2807" s="7" t="s">
        <v>3322</v>
      </c>
      <c r="D2807" s="5">
        <v>1</v>
      </c>
      <c r="E2807" s="7" t="str">
        <f>_xlfn.XLOOKUP(B2807,Customers!A2807:A3806,Customers!B2807:B3806,"Customer Not Found",0)</f>
        <v>Customer Not Found</v>
      </c>
      <c r="F2807" s="7" t="str">
        <f>_xlfn.XLOOKUP(Orders!B2807,Customers!A2807:A3806,Customers!C2807:C3806,"Country not Found",0)</f>
        <v>Country not Found</v>
      </c>
      <c r="G2807" s="7" t="str">
        <f>_xlfn.XLOOKUP(C2807,Products!A2807:A3306,Products!B2807:B3306,"Product Missing",0)</f>
        <v>Product Missing</v>
      </c>
      <c r="H2807" s="7" t="str">
        <f>_xlfn.XLOOKUP(C2807,Products!A2807:A3306,Products!C2807:C3306,"Category Missing",0)</f>
        <v>Category Missing</v>
      </c>
      <c r="I2807" s="11" t="str">
        <f>_xlfn.XLOOKUP(Orders!C2807,Products!A2807:A3306,Products!D2807:D3306,"Price Missing",0)</f>
        <v>Price Missing</v>
      </c>
      <c r="J2807" s="19">
        <f t="shared" si="43"/>
        <v>0</v>
      </c>
    </row>
    <row r="2808" spans="1:10" x14ac:dyDescent="0.35">
      <c r="A2808" s="4" t="s">
        <v>6828</v>
      </c>
      <c r="B2808" s="7" t="s">
        <v>809</v>
      </c>
      <c r="C2808" s="7" t="s">
        <v>3576</v>
      </c>
      <c r="D2808" s="5">
        <v>8</v>
      </c>
      <c r="E2808" s="7" t="str">
        <f>_xlfn.XLOOKUP(B2808,Customers!A2808:A3807,Customers!B2808:B3807,"Customer Not Found",0)</f>
        <v>Customer Not Found</v>
      </c>
      <c r="F2808" s="7" t="str">
        <f>_xlfn.XLOOKUP(Orders!B2808,Customers!A2808:A3807,Customers!C2808:C3807,"Country not Found",0)</f>
        <v>Country not Found</v>
      </c>
      <c r="G2808" s="7" t="str">
        <f>_xlfn.XLOOKUP(C2808,Products!A2808:A3307,Products!B2808:B3307,"Product Missing",0)</f>
        <v>Product Missing</v>
      </c>
      <c r="H2808" s="7" t="str">
        <f>_xlfn.XLOOKUP(C2808,Products!A2808:A3307,Products!C2808:C3307,"Category Missing",0)</f>
        <v>Category Missing</v>
      </c>
      <c r="I2808" s="11" t="str">
        <f>_xlfn.XLOOKUP(Orders!C2808,Products!A2808:A3307,Products!D2808:D3307,"Price Missing",0)</f>
        <v>Price Missing</v>
      </c>
      <c r="J2808" s="19">
        <f t="shared" si="43"/>
        <v>0</v>
      </c>
    </row>
    <row r="2809" spans="1:10" x14ac:dyDescent="0.35">
      <c r="A2809" s="4" t="s">
        <v>6829</v>
      </c>
      <c r="B2809" s="7" t="s">
        <v>641</v>
      </c>
      <c r="C2809" s="7" t="s">
        <v>3202</v>
      </c>
      <c r="D2809" s="5">
        <v>8</v>
      </c>
      <c r="E2809" s="7" t="str">
        <f>_xlfn.XLOOKUP(B2809,Customers!A2809:A3808,Customers!B2809:B3808,"Customer Not Found",0)</f>
        <v>Customer Not Found</v>
      </c>
      <c r="F2809" s="7" t="str">
        <f>_xlfn.XLOOKUP(Orders!B2809,Customers!A2809:A3808,Customers!C2809:C3808,"Country not Found",0)</f>
        <v>Country not Found</v>
      </c>
      <c r="G2809" s="7" t="str">
        <f>_xlfn.XLOOKUP(C2809,Products!A2809:A3308,Products!B2809:B3308,"Product Missing",0)</f>
        <v>Product Missing</v>
      </c>
      <c r="H2809" s="7" t="str">
        <f>_xlfn.XLOOKUP(C2809,Products!A2809:A3308,Products!C2809:C3308,"Category Missing",0)</f>
        <v>Category Missing</v>
      </c>
      <c r="I2809" s="11" t="str">
        <f>_xlfn.XLOOKUP(Orders!C2809,Products!A2809:A3308,Products!D2809:D3308,"Price Missing",0)</f>
        <v>Price Missing</v>
      </c>
      <c r="J2809" s="19">
        <f t="shared" si="43"/>
        <v>0</v>
      </c>
    </row>
    <row r="2810" spans="1:10" x14ac:dyDescent="0.35">
      <c r="A2810" s="4" t="s">
        <v>6830</v>
      </c>
      <c r="B2810" s="7" t="s">
        <v>2102</v>
      </c>
      <c r="C2810" s="7" t="s">
        <v>3840</v>
      </c>
      <c r="D2810" s="5">
        <v>6</v>
      </c>
      <c r="E2810" s="7" t="str">
        <f>_xlfn.XLOOKUP(B2810,Customers!A2810:A3809,Customers!B2810:B3809,"Customer Not Found",0)</f>
        <v>Customer Not Found</v>
      </c>
      <c r="F2810" s="7" t="str">
        <f>_xlfn.XLOOKUP(Orders!B2810,Customers!A2810:A3809,Customers!C2810:C3809,"Country not Found",0)</f>
        <v>Country not Found</v>
      </c>
      <c r="G2810" s="7" t="str">
        <f>_xlfn.XLOOKUP(C2810,Products!A2810:A3309,Products!B2810:B3309,"Product Missing",0)</f>
        <v>Product Missing</v>
      </c>
      <c r="H2810" s="7" t="str">
        <f>_xlfn.XLOOKUP(C2810,Products!A2810:A3309,Products!C2810:C3309,"Category Missing",0)</f>
        <v>Category Missing</v>
      </c>
      <c r="I2810" s="11" t="str">
        <f>_xlfn.XLOOKUP(Orders!C2810,Products!A2810:A3309,Products!D2810:D3309,"Price Missing",0)</f>
        <v>Price Missing</v>
      </c>
      <c r="J2810" s="19">
        <f t="shared" si="43"/>
        <v>0</v>
      </c>
    </row>
    <row r="2811" spans="1:10" x14ac:dyDescent="0.35">
      <c r="A2811" s="4" t="s">
        <v>6831</v>
      </c>
      <c r="B2811" s="7" t="s">
        <v>626</v>
      </c>
      <c r="C2811" s="7" t="s">
        <v>3384</v>
      </c>
      <c r="D2811" s="5">
        <v>4</v>
      </c>
      <c r="E2811" s="7" t="str">
        <f>_xlfn.XLOOKUP(B2811,Customers!A2811:A3810,Customers!B2811:B3810,"Customer Not Found",0)</f>
        <v>Customer Not Found</v>
      </c>
      <c r="F2811" s="7" t="str">
        <f>_xlfn.XLOOKUP(Orders!B2811,Customers!A2811:A3810,Customers!C2811:C3810,"Country not Found",0)</f>
        <v>Country not Found</v>
      </c>
      <c r="G2811" s="7" t="str">
        <f>_xlfn.XLOOKUP(C2811,Products!A2811:A3310,Products!B2811:B3310,"Product Missing",0)</f>
        <v>Product Missing</v>
      </c>
      <c r="H2811" s="7" t="str">
        <f>_xlfn.XLOOKUP(C2811,Products!A2811:A3310,Products!C2811:C3310,"Category Missing",0)</f>
        <v>Category Missing</v>
      </c>
      <c r="I2811" s="11" t="str">
        <f>_xlfn.XLOOKUP(Orders!C2811,Products!A2811:A3310,Products!D2811:D3310,"Price Missing",0)</f>
        <v>Price Missing</v>
      </c>
      <c r="J2811" s="19">
        <f t="shared" si="43"/>
        <v>0</v>
      </c>
    </row>
    <row r="2812" spans="1:10" x14ac:dyDescent="0.35">
      <c r="A2812" s="4" t="s">
        <v>6832</v>
      </c>
      <c r="B2812" s="7" t="s">
        <v>2675</v>
      </c>
      <c r="C2812" s="7" t="s">
        <v>3784</v>
      </c>
      <c r="D2812" s="5">
        <v>5</v>
      </c>
      <c r="E2812" s="7" t="str">
        <f>_xlfn.XLOOKUP(B2812,Customers!A2812:A3811,Customers!B2812:B3811,"Customer Not Found",0)</f>
        <v>Customer Not Found</v>
      </c>
      <c r="F2812" s="7" t="str">
        <f>_xlfn.XLOOKUP(Orders!B2812,Customers!A2812:A3811,Customers!C2812:C3811,"Country not Found",0)</f>
        <v>Country not Found</v>
      </c>
      <c r="G2812" s="7" t="str">
        <f>_xlfn.XLOOKUP(C2812,Products!A2812:A3311,Products!B2812:B3311,"Product Missing",0)</f>
        <v>Product Missing</v>
      </c>
      <c r="H2812" s="7" t="str">
        <f>_xlfn.XLOOKUP(C2812,Products!A2812:A3311,Products!C2812:C3311,"Category Missing",0)</f>
        <v>Category Missing</v>
      </c>
      <c r="I2812" s="11" t="str">
        <f>_xlfn.XLOOKUP(Orders!C2812,Products!A2812:A3311,Products!D2812:D3311,"Price Missing",0)</f>
        <v>Price Missing</v>
      </c>
      <c r="J2812" s="19">
        <f t="shared" si="43"/>
        <v>0</v>
      </c>
    </row>
    <row r="2813" spans="1:10" x14ac:dyDescent="0.35">
      <c r="A2813" s="4" t="s">
        <v>6833</v>
      </c>
      <c r="B2813" s="7" t="s">
        <v>98</v>
      </c>
      <c r="C2813" s="7" t="s">
        <v>3930</v>
      </c>
      <c r="D2813" s="5">
        <v>5</v>
      </c>
      <c r="E2813" s="7" t="str">
        <f>_xlfn.XLOOKUP(B2813,Customers!A2813:A3812,Customers!B2813:B3812,"Customer Not Found",0)</f>
        <v>Customer Not Found</v>
      </c>
      <c r="F2813" s="7" t="str">
        <f>_xlfn.XLOOKUP(Orders!B2813,Customers!A2813:A3812,Customers!C2813:C3812,"Country not Found",0)</f>
        <v>Country not Found</v>
      </c>
      <c r="G2813" s="7" t="str">
        <f>_xlfn.XLOOKUP(C2813,Products!A2813:A3312,Products!B2813:B3312,"Product Missing",0)</f>
        <v>Product Missing</v>
      </c>
      <c r="H2813" s="7" t="str">
        <f>_xlfn.XLOOKUP(C2813,Products!A2813:A3312,Products!C2813:C3312,"Category Missing",0)</f>
        <v>Category Missing</v>
      </c>
      <c r="I2813" s="11" t="str">
        <f>_xlfn.XLOOKUP(Orders!C2813,Products!A2813:A3312,Products!D2813:D3312,"Price Missing",0)</f>
        <v>Price Missing</v>
      </c>
      <c r="J2813" s="19">
        <f t="shared" si="43"/>
        <v>0</v>
      </c>
    </row>
    <row r="2814" spans="1:10" x14ac:dyDescent="0.35">
      <c r="A2814" s="4" t="s">
        <v>6834</v>
      </c>
      <c r="B2814" s="7" t="s">
        <v>1619</v>
      </c>
      <c r="C2814" s="7" t="s">
        <v>3216</v>
      </c>
      <c r="D2814" s="5">
        <v>7</v>
      </c>
      <c r="E2814" s="7" t="str">
        <f>_xlfn.XLOOKUP(B2814,Customers!A2814:A3813,Customers!B2814:B3813,"Customer Not Found",0)</f>
        <v>Customer Not Found</v>
      </c>
      <c r="F2814" s="7" t="str">
        <f>_xlfn.XLOOKUP(Orders!B2814,Customers!A2814:A3813,Customers!C2814:C3813,"Country not Found",0)</f>
        <v>Country not Found</v>
      </c>
      <c r="G2814" s="7" t="str">
        <f>_xlfn.XLOOKUP(C2814,Products!A2814:A3313,Products!B2814:B3313,"Product Missing",0)</f>
        <v>Product Missing</v>
      </c>
      <c r="H2814" s="7" t="str">
        <f>_xlfn.XLOOKUP(C2814,Products!A2814:A3313,Products!C2814:C3313,"Category Missing",0)</f>
        <v>Category Missing</v>
      </c>
      <c r="I2814" s="11" t="str">
        <f>_xlfn.XLOOKUP(Orders!C2814,Products!A2814:A3313,Products!D2814:D3313,"Price Missing",0)</f>
        <v>Price Missing</v>
      </c>
      <c r="J2814" s="19">
        <f t="shared" si="43"/>
        <v>0</v>
      </c>
    </row>
    <row r="2815" spans="1:10" x14ac:dyDescent="0.35">
      <c r="A2815" s="4" t="s">
        <v>6835</v>
      </c>
      <c r="B2815" s="7" t="s">
        <v>1856</v>
      </c>
      <c r="C2815" s="7" t="s">
        <v>3796</v>
      </c>
      <c r="D2815" s="5">
        <v>3</v>
      </c>
      <c r="E2815" s="7" t="str">
        <f>_xlfn.XLOOKUP(B2815,Customers!A2815:A3814,Customers!B2815:B3814,"Customer Not Found",0)</f>
        <v>Customer Not Found</v>
      </c>
      <c r="F2815" s="7" t="str">
        <f>_xlfn.XLOOKUP(Orders!B2815,Customers!A2815:A3814,Customers!C2815:C3814,"Country not Found",0)</f>
        <v>Country not Found</v>
      </c>
      <c r="G2815" s="7" t="str">
        <f>_xlfn.XLOOKUP(C2815,Products!A2815:A3314,Products!B2815:B3314,"Product Missing",0)</f>
        <v>Product Missing</v>
      </c>
      <c r="H2815" s="7" t="str">
        <f>_xlfn.XLOOKUP(C2815,Products!A2815:A3314,Products!C2815:C3314,"Category Missing",0)</f>
        <v>Category Missing</v>
      </c>
      <c r="I2815" s="11" t="str">
        <f>_xlfn.XLOOKUP(Orders!C2815,Products!A2815:A3314,Products!D2815:D3314,"Price Missing",0)</f>
        <v>Price Missing</v>
      </c>
      <c r="J2815" s="19">
        <f t="shared" si="43"/>
        <v>0</v>
      </c>
    </row>
    <row r="2816" spans="1:10" x14ac:dyDescent="0.35">
      <c r="A2816" s="4" t="s">
        <v>6836</v>
      </c>
      <c r="B2816" s="7" t="s">
        <v>1211</v>
      </c>
      <c r="C2816" s="7" t="s">
        <v>3820</v>
      </c>
      <c r="D2816" s="5">
        <v>6</v>
      </c>
      <c r="E2816" s="7" t="str">
        <f>_xlfn.XLOOKUP(B2816,Customers!A2816:A3815,Customers!B2816:B3815,"Customer Not Found",0)</f>
        <v>Customer Not Found</v>
      </c>
      <c r="F2816" s="7" t="str">
        <f>_xlfn.XLOOKUP(Orders!B2816,Customers!A2816:A3815,Customers!C2816:C3815,"Country not Found",0)</f>
        <v>Country not Found</v>
      </c>
      <c r="G2816" s="7" t="str">
        <f>_xlfn.XLOOKUP(C2816,Products!A2816:A3315,Products!B2816:B3315,"Product Missing",0)</f>
        <v>Product Missing</v>
      </c>
      <c r="H2816" s="7" t="str">
        <f>_xlfn.XLOOKUP(C2816,Products!A2816:A3315,Products!C2816:C3315,"Category Missing",0)</f>
        <v>Category Missing</v>
      </c>
      <c r="I2816" s="11" t="str">
        <f>_xlfn.XLOOKUP(Orders!C2816,Products!A2816:A3315,Products!D2816:D3315,"Price Missing",0)</f>
        <v>Price Missing</v>
      </c>
      <c r="J2816" s="19">
        <f t="shared" si="43"/>
        <v>0</v>
      </c>
    </row>
    <row r="2817" spans="1:10" x14ac:dyDescent="0.35">
      <c r="A2817" s="4" t="s">
        <v>6837</v>
      </c>
      <c r="B2817" s="7" t="s">
        <v>2642</v>
      </c>
      <c r="C2817" s="7" t="s">
        <v>4018</v>
      </c>
      <c r="D2817" s="5">
        <v>8</v>
      </c>
      <c r="E2817" s="7" t="str">
        <f>_xlfn.XLOOKUP(B2817,Customers!A2817:A3816,Customers!B2817:B3816,"Customer Not Found",0)</f>
        <v>Customer Not Found</v>
      </c>
      <c r="F2817" s="7" t="str">
        <f>_xlfn.XLOOKUP(Orders!B2817,Customers!A2817:A3816,Customers!C2817:C3816,"Country not Found",0)</f>
        <v>Country not Found</v>
      </c>
      <c r="G2817" s="7" t="str">
        <f>_xlfn.XLOOKUP(C2817,Products!A2817:A3316,Products!B2817:B3316,"Product Missing",0)</f>
        <v>Product Missing</v>
      </c>
      <c r="H2817" s="7" t="str">
        <f>_xlfn.XLOOKUP(C2817,Products!A2817:A3316,Products!C2817:C3316,"Category Missing",0)</f>
        <v>Category Missing</v>
      </c>
      <c r="I2817" s="11" t="str">
        <f>_xlfn.XLOOKUP(Orders!C2817,Products!A2817:A3316,Products!D2817:D3316,"Price Missing",0)</f>
        <v>Price Missing</v>
      </c>
      <c r="J2817" s="19">
        <f t="shared" si="43"/>
        <v>0</v>
      </c>
    </row>
    <row r="2818" spans="1:10" x14ac:dyDescent="0.35">
      <c r="A2818" s="4" t="s">
        <v>6838</v>
      </c>
      <c r="B2818" s="7" t="s">
        <v>188</v>
      </c>
      <c r="C2818" s="7" t="s">
        <v>3168</v>
      </c>
      <c r="D2818" s="5">
        <v>10</v>
      </c>
      <c r="E2818" s="7" t="str">
        <f>_xlfn.XLOOKUP(B2818,Customers!A2818:A3817,Customers!B2818:B3817,"Customer Not Found",0)</f>
        <v>Customer Not Found</v>
      </c>
      <c r="F2818" s="7" t="str">
        <f>_xlfn.XLOOKUP(Orders!B2818,Customers!A2818:A3817,Customers!C2818:C3817,"Country not Found",0)</f>
        <v>Country not Found</v>
      </c>
      <c r="G2818" s="7" t="str">
        <f>_xlfn.XLOOKUP(C2818,Products!A2818:A3317,Products!B2818:B3317,"Product Missing",0)</f>
        <v>Product Missing</v>
      </c>
      <c r="H2818" s="7" t="str">
        <f>_xlfn.XLOOKUP(C2818,Products!A2818:A3317,Products!C2818:C3317,"Category Missing",0)</f>
        <v>Category Missing</v>
      </c>
      <c r="I2818" s="11" t="str">
        <f>_xlfn.XLOOKUP(Orders!C2818,Products!A2818:A3317,Products!D2818:D3317,"Price Missing",0)</f>
        <v>Price Missing</v>
      </c>
      <c r="J2818" s="19">
        <f t="shared" si="43"/>
        <v>0</v>
      </c>
    </row>
    <row r="2819" spans="1:10" x14ac:dyDescent="0.35">
      <c r="A2819" s="4" t="s">
        <v>6839</v>
      </c>
      <c r="B2819" s="7" t="s">
        <v>467</v>
      </c>
      <c r="C2819" s="7" t="s">
        <v>3856</v>
      </c>
      <c r="D2819" s="5">
        <v>3</v>
      </c>
      <c r="E2819" s="7" t="str">
        <f>_xlfn.XLOOKUP(B2819,Customers!A2819:A3818,Customers!B2819:B3818,"Customer Not Found",0)</f>
        <v>Customer Not Found</v>
      </c>
      <c r="F2819" s="7" t="str">
        <f>_xlfn.XLOOKUP(Orders!B2819,Customers!A2819:A3818,Customers!C2819:C3818,"Country not Found",0)</f>
        <v>Country not Found</v>
      </c>
      <c r="G2819" s="7" t="str">
        <f>_xlfn.XLOOKUP(C2819,Products!A2819:A3318,Products!B2819:B3318,"Product Missing",0)</f>
        <v>Product Missing</v>
      </c>
      <c r="H2819" s="7" t="str">
        <f>_xlfn.XLOOKUP(C2819,Products!A2819:A3318,Products!C2819:C3318,"Category Missing",0)</f>
        <v>Category Missing</v>
      </c>
      <c r="I2819" s="11" t="str">
        <f>_xlfn.XLOOKUP(Orders!C2819,Products!A2819:A3318,Products!D2819:D3318,"Price Missing",0)</f>
        <v>Price Missing</v>
      </c>
      <c r="J2819" s="19">
        <f t="shared" ref="J2819:J2882" si="44">IFERROR(I2819*D2819,0)</f>
        <v>0</v>
      </c>
    </row>
    <row r="2820" spans="1:10" x14ac:dyDescent="0.35">
      <c r="A2820" s="4" t="s">
        <v>6840</v>
      </c>
      <c r="B2820" s="7" t="s">
        <v>413</v>
      </c>
      <c r="C2820" s="7" t="s">
        <v>3218</v>
      </c>
      <c r="D2820" s="5">
        <v>10</v>
      </c>
      <c r="E2820" s="7" t="str">
        <f>_xlfn.XLOOKUP(B2820,Customers!A2820:A3819,Customers!B2820:B3819,"Customer Not Found",0)</f>
        <v>Customer Not Found</v>
      </c>
      <c r="F2820" s="7" t="str">
        <f>_xlfn.XLOOKUP(Orders!B2820,Customers!A2820:A3819,Customers!C2820:C3819,"Country not Found",0)</f>
        <v>Country not Found</v>
      </c>
      <c r="G2820" s="7" t="str">
        <f>_xlfn.XLOOKUP(C2820,Products!A2820:A3319,Products!B2820:B3319,"Product Missing",0)</f>
        <v>Product Missing</v>
      </c>
      <c r="H2820" s="7" t="str">
        <f>_xlfn.XLOOKUP(C2820,Products!A2820:A3319,Products!C2820:C3319,"Category Missing",0)</f>
        <v>Category Missing</v>
      </c>
      <c r="I2820" s="11" t="str">
        <f>_xlfn.XLOOKUP(Orders!C2820,Products!A2820:A3319,Products!D2820:D3319,"Price Missing",0)</f>
        <v>Price Missing</v>
      </c>
      <c r="J2820" s="19">
        <f t="shared" si="44"/>
        <v>0</v>
      </c>
    </row>
    <row r="2821" spans="1:10" x14ac:dyDescent="0.35">
      <c r="A2821" s="4" t="s">
        <v>6841</v>
      </c>
      <c r="B2821" s="7" t="s">
        <v>1721</v>
      </c>
      <c r="C2821" s="7" t="s">
        <v>3726</v>
      </c>
      <c r="D2821" s="5">
        <v>1</v>
      </c>
      <c r="E2821" s="7" t="str">
        <f>_xlfn.XLOOKUP(B2821,Customers!A2821:A3820,Customers!B2821:B3820,"Customer Not Found",0)</f>
        <v>Customer Not Found</v>
      </c>
      <c r="F2821" s="7" t="str">
        <f>_xlfn.XLOOKUP(Orders!B2821,Customers!A2821:A3820,Customers!C2821:C3820,"Country not Found",0)</f>
        <v>Country not Found</v>
      </c>
      <c r="G2821" s="7" t="str">
        <f>_xlfn.XLOOKUP(C2821,Products!A2821:A3320,Products!B2821:B3320,"Product Missing",0)</f>
        <v>Product Missing</v>
      </c>
      <c r="H2821" s="7" t="str">
        <f>_xlfn.XLOOKUP(C2821,Products!A2821:A3320,Products!C2821:C3320,"Category Missing",0)</f>
        <v>Category Missing</v>
      </c>
      <c r="I2821" s="11" t="str">
        <f>_xlfn.XLOOKUP(Orders!C2821,Products!A2821:A3320,Products!D2821:D3320,"Price Missing",0)</f>
        <v>Price Missing</v>
      </c>
      <c r="J2821" s="19">
        <f t="shared" si="44"/>
        <v>0</v>
      </c>
    </row>
    <row r="2822" spans="1:10" x14ac:dyDescent="0.35">
      <c r="A2822" s="4" t="s">
        <v>6842</v>
      </c>
      <c r="B2822" s="7" t="s">
        <v>911</v>
      </c>
      <c r="C2822" s="7" t="s">
        <v>3090</v>
      </c>
      <c r="D2822" s="5">
        <v>1</v>
      </c>
      <c r="E2822" s="7" t="str">
        <f>_xlfn.XLOOKUP(B2822,Customers!A2822:A3821,Customers!B2822:B3821,"Customer Not Found",0)</f>
        <v>Customer Not Found</v>
      </c>
      <c r="F2822" s="7" t="str">
        <f>_xlfn.XLOOKUP(Orders!B2822,Customers!A2822:A3821,Customers!C2822:C3821,"Country not Found",0)</f>
        <v>Country not Found</v>
      </c>
      <c r="G2822" s="7" t="str">
        <f>_xlfn.XLOOKUP(C2822,Products!A2822:A3321,Products!B2822:B3321,"Product Missing",0)</f>
        <v>Product Missing</v>
      </c>
      <c r="H2822" s="7" t="str">
        <f>_xlfn.XLOOKUP(C2822,Products!A2822:A3321,Products!C2822:C3321,"Category Missing",0)</f>
        <v>Category Missing</v>
      </c>
      <c r="I2822" s="11" t="str">
        <f>_xlfn.XLOOKUP(Orders!C2822,Products!A2822:A3321,Products!D2822:D3321,"Price Missing",0)</f>
        <v>Price Missing</v>
      </c>
      <c r="J2822" s="19">
        <f t="shared" si="44"/>
        <v>0</v>
      </c>
    </row>
    <row r="2823" spans="1:10" x14ac:dyDescent="0.35">
      <c r="A2823" s="4" t="s">
        <v>6843</v>
      </c>
      <c r="B2823" s="7" t="s">
        <v>431</v>
      </c>
      <c r="C2823" s="7" t="s">
        <v>3492</v>
      </c>
      <c r="D2823" s="5">
        <v>3</v>
      </c>
      <c r="E2823" s="7" t="str">
        <f>_xlfn.XLOOKUP(B2823,Customers!A2823:A3822,Customers!B2823:B3822,"Customer Not Found",0)</f>
        <v>Customer Not Found</v>
      </c>
      <c r="F2823" s="7" t="str">
        <f>_xlfn.XLOOKUP(Orders!B2823,Customers!A2823:A3822,Customers!C2823:C3822,"Country not Found",0)</f>
        <v>Country not Found</v>
      </c>
      <c r="G2823" s="7" t="str">
        <f>_xlfn.XLOOKUP(C2823,Products!A2823:A3322,Products!B2823:B3322,"Product Missing",0)</f>
        <v>Product Missing</v>
      </c>
      <c r="H2823" s="7" t="str">
        <f>_xlfn.XLOOKUP(C2823,Products!A2823:A3322,Products!C2823:C3322,"Category Missing",0)</f>
        <v>Category Missing</v>
      </c>
      <c r="I2823" s="11" t="str">
        <f>_xlfn.XLOOKUP(Orders!C2823,Products!A2823:A3322,Products!D2823:D3322,"Price Missing",0)</f>
        <v>Price Missing</v>
      </c>
      <c r="J2823" s="19">
        <f t="shared" si="44"/>
        <v>0</v>
      </c>
    </row>
    <row r="2824" spans="1:10" x14ac:dyDescent="0.35">
      <c r="A2824" s="4" t="s">
        <v>6844</v>
      </c>
      <c r="B2824" s="7" t="s">
        <v>80</v>
      </c>
      <c r="C2824" s="7" t="s">
        <v>3616</v>
      </c>
      <c r="D2824" s="5">
        <v>10</v>
      </c>
      <c r="E2824" s="7" t="str">
        <f>_xlfn.XLOOKUP(B2824,Customers!A2824:A3823,Customers!B2824:B3823,"Customer Not Found",0)</f>
        <v>Customer Not Found</v>
      </c>
      <c r="F2824" s="7" t="str">
        <f>_xlfn.XLOOKUP(Orders!B2824,Customers!A2824:A3823,Customers!C2824:C3823,"Country not Found",0)</f>
        <v>Country not Found</v>
      </c>
      <c r="G2824" s="7" t="str">
        <f>_xlfn.XLOOKUP(C2824,Products!A2824:A3323,Products!B2824:B3323,"Product Missing",0)</f>
        <v>Product Missing</v>
      </c>
      <c r="H2824" s="7" t="str">
        <f>_xlfn.XLOOKUP(C2824,Products!A2824:A3323,Products!C2824:C3323,"Category Missing",0)</f>
        <v>Category Missing</v>
      </c>
      <c r="I2824" s="11" t="str">
        <f>_xlfn.XLOOKUP(Orders!C2824,Products!A2824:A3323,Products!D2824:D3323,"Price Missing",0)</f>
        <v>Price Missing</v>
      </c>
      <c r="J2824" s="19">
        <f t="shared" si="44"/>
        <v>0</v>
      </c>
    </row>
    <row r="2825" spans="1:10" x14ac:dyDescent="0.35">
      <c r="A2825" s="4" t="s">
        <v>6845</v>
      </c>
      <c r="B2825" s="7" t="s">
        <v>1469</v>
      </c>
      <c r="C2825" s="7" t="s">
        <v>3488</v>
      </c>
      <c r="D2825" s="5">
        <v>2</v>
      </c>
      <c r="E2825" s="7" t="str">
        <f>_xlfn.XLOOKUP(B2825,Customers!A2825:A3824,Customers!B2825:B3824,"Customer Not Found",0)</f>
        <v>Customer Not Found</v>
      </c>
      <c r="F2825" s="7" t="str">
        <f>_xlfn.XLOOKUP(Orders!B2825,Customers!A2825:A3824,Customers!C2825:C3824,"Country not Found",0)</f>
        <v>Country not Found</v>
      </c>
      <c r="G2825" s="7" t="str">
        <f>_xlfn.XLOOKUP(C2825,Products!A2825:A3324,Products!B2825:B3324,"Product Missing",0)</f>
        <v>Product Missing</v>
      </c>
      <c r="H2825" s="7" t="str">
        <f>_xlfn.XLOOKUP(C2825,Products!A2825:A3324,Products!C2825:C3324,"Category Missing",0)</f>
        <v>Category Missing</v>
      </c>
      <c r="I2825" s="11" t="str">
        <f>_xlfn.XLOOKUP(Orders!C2825,Products!A2825:A3324,Products!D2825:D3324,"Price Missing",0)</f>
        <v>Price Missing</v>
      </c>
      <c r="J2825" s="19">
        <f t="shared" si="44"/>
        <v>0</v>
      </c>
    </row>
    <row r="2826" spans="1:10" x14ac:dyDescent="0.35">
      <c r="A2826" s="4" t="s">
        <v>6846</v>
      </c>
      <c r="B2826" s="7" t="s">
        <v>1115</v>
      </c>
      <c r="C2826" s="7" t="s">
        <v>3021</v>
      </c>
      <c r="D2826" s="5">
        <v>5</v>
      </c>
      <c r="E2826" s="7" t="str">
        <f>_xlfn.XLOOKUP(B2826,Customers!A2826:A3825,Customers!B2826:B3825,"Customer Not Found",0)</f>
        <v>Customer Not Found</v>
      </c>
      <c r="F2826" s="7" t="str">
        <f>_xlfn.XLOOKUP(Orders!B2826,Customers!A2826:A3825,Customers!C2826:C3825,"Country not Found",0)</f>
        <v>Country not Found</v>
      </c>
      <c r="G2826" s="7" t="str">
        <f>_xlfn.XLOOKUP(C2826,Products!A2826:A3325,Products!B2826:B3325,"Product Missing",0)</f>
        <v>Product Missing</v>
      </c>
      <c r="H2826" s="7" t="str">
        <f>_xlfn.XLOOKUP(C2826,Products!A2826:A3325,Products!C2826:C3325,"Category Missing",0)</f>
        <v>Category Missing</v>
      </c>
      <c r="I2826" s="11" t="str">
        <f>_xlfn.XLOOKUP(Orders!C2826,Products!A2826:A3325,Products!D2826:D3325,"Price Missing",0)</f>
        <v>Price Missing</v>
      </c>
      <c r="J2826" s="19">
        <f t="shared" si="44"/>
        <v>0</v>
      </c>
    </row>
    <row r="2827" spans="1:10" x14ac:dyDescent="0.35">
      <c r="A2827" s="4" t="s">
        <v>6847</v>
      </c>
      <c r="B2827" s="7" t="s">
        <v>593</v>
      </c>
      <c r="C2827" s="7" t="s">
        <v>3818</v>
      </c>
      <c r="D2827" s="5">
        <v>2</v>
      </c>
      <c r="E2827" s="7" t="str">
        <f>_xlfn.XLOOKUP(B2827,Customers!A2827:A3826,Customers!B2827:B3826,"Customer Not Found",0)</f>
        <v>Customer Not Found</v>
      </c>
      <c r="F2827" s="7" t="str">
        <f>_xlfn.XLOOKUP(Orders!B2827,Customers!A2827:A3826,Customers!C2827:C3826,"Country not Found",0)</f>
        <v>Country not Found</v>
      </c>
      <c r="G2827" s="7" t="str">
        <f>_xlfn.XLOOKUP(C2827,Products!A2827:A3326,Products!B2827:B3326,"Product Missing",0)</f>
        <v>Product Missing</v>
      </c>
      <c r="H2827" s="7" t="str">
        <f>_xlfn.XLOOKUP(C2827,Products!A2827:A3326,Products!C2827:C3326,"Category Missing",0)</f>
        <v>Category Missing</v>
      </c>
      <c r="I2827" s="11" t="str">
        <f>_xlfn.XLOOKUP(Orders!C2827,Products!A2827:A3326,Products!D2827:D3326,"Price Missing",0)</f>
        <v>Price Missing</v>
      </c>
      <c r="J2827" s="19">
        <f t="shared" si="44"/>
        <v>0</v>
      </c>
    </row>
    <row r="2828" spans="1:10" x14ac:dyDescent="0.35">
      <c r="A2828" s="4" t="s">
        <v>6848</v>
      </c>
      <c r="B2828" s="7" t="s">
        <v>728</v>
      </c>
      <c r="C2828" s="7" t="s">
        <v>3400</v>
      </c>
      <c r="D2828" s="5">
        <v>1</v>
      </c>
      <c r="E2828" s="7" t="str">
        <f>_xlfn.XLOOKUP(B2828,Customers!A2828:A3827,Customers!B2828:B3827,"Customer Not Found",0)</f>
        <v>Customer Not Found</v>
      </c>
      <c r="F2828" s="7" t="str">
        <f>_xlfn.XLOOKUP(Orders!B2828,Customers!A2828:A3827,Customers!C2828:C3827,"Country not Found",0)</f>
        <v>Country not Found</v>
      </c>
      <c r="G2828" s="7" t="str">
        <f>_xlfn.XLOOKUP(C2828,Products!A2828:A3327,Products!B2828:B3327,"Product Missing",0)</f>
        <v>Product Missing</v>
      </c>
      <c r="H2828" s="7" t="str">
        <f>_xlfn.XLOOKUP(C2828,Products!A2828:A3327,Products!C2828:C3327,"Category Missing",0)</f>
        <v>Category Missing</v>
      </c>
      <c r="I2828" s="11" t="str">
        <f>_xlfn.XLOOKUP(Orders!C2828,Products!A2828:A3327,Products!D2828:D3327,"Price Missing",0)</f>
        <v>Price Missing</v>
      </c>
      <c r="J2828" s="19">
        <f t="shared" si="44"/>
        <v>0</v>
      </c>
    </row>
    <row r="2829" spans="1:10" x14ac:dyDescent="0.35">
      <c r="A2829" s="4" t="s">
        <v>6849</v>
      </c>
      <c r="B2829" s="7" t="s">
        <v>2522</v>
      </c>
      <c r="C2829" s="7" t="s">
        <v>3938</v>
      </c>
      <c r="D2829" s="5">
        <v>8</v>
      </c>
      <c r="E2829" s="7" t="str">
        <f>_xlfn.XLOOKUP(B2829,Customers!A2829:A3828,Customers!B2829:B3828,"Customer Not Found",0)</f>
        <v>Customer Not Found</v>
      </c>
      <c r="F2829" s="7" t="str">
        <f>_xlfn.XLOOKUP(Orders!B2829,Customers!A2829:A3828,Customers!C2829:C3828,"Country not Found",0)</f>
        <v>Country not Found</v>
      </c>
      <c r="G2829" s="7" t="str">
        <f>_xlfn.XLOOKUP(C2829,Products!A2829:A3328,Products!B2829:B3328,"Product Missing",0)</f>
        <v>Product Missing</v>
      </c>
      <c r="H2829" s="7" t="str">
        <f>_xlfn.XLOOKUP(C2829,Products!A2829:A3328,Products!C2829:C3328,"Category Missing",0)</f>
        <v>Category Missing</v>
      </c>
      <c r="I2829" s="11" t="str">
        <f>_xlfn.XLOOKUP(Orders!C2829,Products!A2829:A3328,Products!D2829:D3328,"Price Missing",0)</f>
        <v>Price Missing</v>
      </c>
      <c r="J2829" s="19">
        <f t="shared" si="44"/>
        <v>0</v>
      </c>
    </row>
    <row r="2830" spans="1:10" x14ac:dyDescent="0.35">
      <c r="A2830" s="4" t="s">
        <v>6850</v>
      </c>
      <c r="B2830" s="7" t="s">
        <v>1862</v>
      </c>
      <c r="C2830" s="7" t="s">
        <v>3142</v>
      </c>
      <c r="D2830" s="5">
        <v>3</v>
      </c>
      <c r="E2830" s="7" t="str">
        <f>_xlfn.XLOOKUP(B2830,Customers!A2830:A3829,Customers!B2830:B3829,"Customer Not Found",0)</f>
        <v>Customer Not Found</v>
      </c>
      <c r="F2830" s="7" t="str">
        <f>_xlfn.XLOOKUP(Orders!B2830,Customers!A2830:A3829,Customers!C2830:C3829,"Country not Found",0)</f>
        <v>Country not Found</v>
      </c>
      <c r="G2830" s="7" t="str">
        <f>_xlfn.XLOOKUP(C2830,Products!A2830:A3329,Products!B2830:B3329,"Product Missing",0)</f>
        <v>Product Missing</v>
      </c>
      <c r="H2830" s="7" t="str">
        <f>_xlfn.XLOOKUP(C2830,Products!A2830:A3329,Products!C2830:C3329,"Category Missing",0)</f>
        <v>Category Missing</v>
      </c>
      <c r="I2830" s="11" t="str">
        <f>_xlfn.XLOOKUP(Orders!C2830,Products!A2830:A3329,Products!D2830:D3329,"Price Missing",0)</f>
        <v>Price Missing</v>
      </c>
      <c r="J2830" s="19">
        <f t="shared" si="44"/>
        <v>0</v>
      </c>
    </row>
    <row r="2831" spans="1:10" x14ac:dyDescent="0.35">
      <c r="A2831" s="4" t="s">
        <v>6851</v>
      </c>
      <c r="B2831" s="7" t="s">
        <v>239</v>
      </c>
      <c r="C2831" s="7" t="s">
        <v>3830</v>
      </c>
      <c r="D2831" s="5">
        <v>3</v>
      </c>
      <c r="E2831" s="7" t="str">
        <f>_xlfn.XLOOKUP(B2831,Customers!A2831:A3830,Customers!B2831:B3830,"Customer Not Found",0)</f>
        <v>Customer Not Found</v>
      </c>
      <c r="F2831" s="7" t="str">
        <f>_xlfn.XLOOKUP(Orders!B2831,Customers!A2831:A3830,Customers!C2831:C3830,"Country not Found",0)</f>
        <v>Country not Found</v>
      </c>
      <c r="G2831" s="7" t="str">
        <f>_xlfn.XLOOKUP(C2831,Products!A2831:A3330,Products!B2831:B3330,"Product Missing",0)</f>
        <v>Product Missing</v>
      </c>
      <c r="H2831" s="7" t="str">
        <f>_xlfn.XLOOKUP(C2831,Products!A2831:A3330,Products!C2831:C3330,"Category Missing",0)</f>
        <v>Category Missing</v>
      </c>
      <c r="I2831" s="11" t="str">
        <f>_xlfn.XLOOKUP(Orders!C2831,Products!A2831:A3330,Products!D2831:D3330,"Price Missing",0)</f>
        <v>Price Missing</v>
      </c>
      <c r="J2831" s="19">
        <f t="shared" si="44"/>
        <v>0</v>
      </c>
    </row>
    <row r="2832" spans="1:10" x14ac:dyDescent="0.35">
      <c r="A2832" s="4" t="s">
        <v>6852</v>
      </c>
      <c r="B2832" s="7" t="s">
        <v>269</v>
      </c>
      <c r="C2832" s="7" t="s">
        <v>3840</v>
      </c>
      <c r="D2832" s="5">
        <v>6</v>
      </c>
      <c r="E2832" s="7" t="str">
        <f>_xlfn.XLOOKUP(B2832,Customers!A2832:A3831,Customers!B2832:B3831,"Customer Not Found",0)</f>
        <v>Customer Not Found</v>
      </c>
      <c r="F2832" s="7" t="str">
        <f>_xlfn.XLOOKUP(Orders!B2832,Customers!A2832:A3831,Customers!C2832:C3831,"Country not Found",0)</f>
        <v>Country not Found</v>
      </c>
      <c r="G2832" s="7" t="str">
        <f>_xlfn.XLOOKUP(C2832,Products!A2832:A3331,Products!B2832:B3331,"Product Missing",0)</f>
        <v>Product Missing</v>
      </c>
      <c r="H2832" s="7" t="str">
        <f>_xlfn.XLOOKUP(C2832,Products!A2832:A3331,Products!C2832:C3331,"Category Missing",0)</f>
        <v>Category Missing</v>
      </c>
      <c r="I2832" s="11" t="str">
        <f>_xlfn.XLOOKUP(Orders!C2832,Products!A2832:A3331,Products!D2832:D3331,"Price Missing",0)</f>
        <v>Price Missing</v>
      </c>
      <c r="J2832" s="19">
        <f t="shared" si="44"/>
        <v>0</v>
      </c>
    </row>
    <row r="2833" spans="1:10" x14ac:dyDescent="0.35">
      <c r="A2833" s="4" t="s">
        <v>6853</v>
      </c>
      <c r="B2833" s="7" t="s">
        <v>2552</v>
      </c>
      <c r="C2833" s="7" t="s">
        <v>3674</v>
      </c>
      <c r="D2833" s="5">
        <v>2</v>
      </c>
      <c r="E2833" s="7" t="str">
        <f>_xlfn.XLOOKUP(B2833,Customers!A2833:A3832,Customers!B2833:B3832,"Customer Not Found",0)</f>
        <v>Customer Not Found</v>
      </c>
      <c r="F2833" s="7" t="str">
        <f>_xlfn.XLOOKUP(Orders!B2833,Customers!A2833:A3832,Customers!C2833:C3832,"Country not Found",0)</f>
        <v>Country not Found</v>
      </c>
      <c r="G2833" s="7" t="str">
        <f>_xlfn.XLOOKUP(C2833,Products!A2833:A3332,Products!B2833:B3332,"Product Missing",0)</f>
        <v>Product Missing</v>
      </c>
      <c r="H2833" s="7" t="str">
        <f>_xlfn.XLOOKUP(C2833,Products!A2833:A3332,Products!C2833:C3332,"Category Missing",0)</f>
        <v>Category Missing</v>
      </c>
      <c r="I2833" s="11" t="str">
        <f>_xlfn.XLOOKUP(Orders!C2833,Products!A2833:A3332,Products!D2833:D3332,"Price Missing",0)</f>
        <v>Price Missing</v>
      </c>
      <c r="J2833" s="19">
        <f t="shared" si="44"/>
        <v>0</v>
      </c>
    </row>
    <row r="2834" spans="1:10" x14ac:dyDescent="0.35">
      <c r="A2834" s="4" t="s">
        <v>6854</v>
      </c>
      <c r="B2834" s="7" t="s">
        <v>572</v>
      </c>
      <c r="C2834" s="7" t="s">
        <v>3682</v>
      </c>
      <c r="D2834" s="5">
        <v>1</v>
      </c>
      <c r="E2834" s="7" t="str">
        <f>_xlfn.XLOOKUP(B2834,Customers!A2834:A3833,Customers!B2834:B3833,"Customer Not Found",0)</f>
        <v>Customer Not Found</v>
      </c>
      <c r="F2834" s="7" t="str">
        <f>_xlfn.XLOOKUP(Orders!B2834,Customers!A2834:A3833,Customers!C2834:C3833,"Country not Found",0)</f>
        <v>Country not Found</v>
      </c>
      <c r="G2834" s="7" t="str">
        <f>_xlfn.XLOOKUP(C2834,Products!A2834:A3333,Products!B2834:B3333,"Product Missing",0)</f>
        <v>Product Missing</v>
      </c>
      <c r="H2834" s="7" t="str">
        <f>_xlfn.XLOOKUP(C2834,Products!A2834:A3333,Products!C2834:C3333,"Category Missing",0)</f>
        <v>Category Missing</v>
      </c>
      <c r="I2834" s="11" t="str">
        <f>_xlfn.XLOOKUP(Orders!C2834,Products!A2834:A3333,Products!D2834:D3333,"Price Missing",0)</f>
        <v>Price Missing</v>
      </c>
      <c r="J2834" s="19">
        <f t="shared" si="44"/>
        <v>0</v>
      </c>
    </row>
    <row r="2835" spans="1:10" x14ac:dyDescent="0.35">
      <c r="A2835" s="4" t="s">
        <v>6855</v>
      </c>
      <c r="B2835" s="7" t="s">
        <v>1994</v>
      </c>
      <c r="C2835" s="7" t="s">
        <v>3438</v>
      </c>
      <c r="D2835" s="5">
        <v>3</v>
      </c>
      <c r="E2835" s="7" t="str">
        <f>_xlfn.XLOOKUP(B2835,Customers!A2835:A3834,Customers!B2835:B3834,"Customer Not Found",0)</f>
        <v>Customer Not Found</v>
      </c>
      <c r="F2835" s="7" t="str">
        <f>_xlfn.XLOOKUP(Orders!B2835,Customers!A2835:A3834,Customers!C2835:C3834,"Country not Found",0)</f>
        <v>Country not Found</v>
      </c>
      <c r="G2835" s="7" t="str">
        <f>_xlfn.XLOOKUP(C2835,Products!A2835:A3334,Products!B2835:B3334,"Product Missing",0)</f>
        <v>Product Missing</v>
      </c>
      <c r="H2835" s="7" t="str">
        <f>_xlfn.XLOOKUP(C2835,Products!A2835:A3334,Products!C2835:C3334,"Category Missing",0)</f>
        <v>Category Missing</v>
      </c>
      <c r="I2835" s="11" t="str">
        <f>_xlfn.XLOOKUP(Orders!C2835,Products!A2835:A3334,Products!D2835:D3334,"Price Missing",0)</f>
        <v>Price Missing</v>
      </c>
      <c r="J2835" s="19">
        <f t="shared" si="44"/>
        <v>0</v>
      </c>
    </row>
    <row r="2836" spans="1:10" x14ac:dyDescent="0.35">
      <c r="A2836" s="4" t="s">
        <v>6856</v>
      </c>
      <c r="B2836" s="7" t="s">
        <v>1607</v>
      </c>
      <c r="C2836" s="7" t="s">
        <v>3032</v>
      </c>
      <c r="D2836" s="5">
        <v>4</v>
      </c>
      <c r="E2836" s="7" t="str">
        <f>_xlfn.XLOOKUP(B2836,Customers!A2836:A3835,Customers!B2836:B3835,"Customer Not Found",0)</f>
        <v>Customer Not Found</v>
      </c>
      <c r="F2836" s="7" t="str">
        <f>_xlfn.XLOOKUP(Orders!B2836,Customers!A2836:A3835,Customers!C2836:C3835,"Country not Found",0)</f>
        <v>Country not Found</v>
      </c>
      <c r="G2836" s="7" t="str">
        <f>_xlfn.XLOOKUP(C2836,Products!A2836:A3335,Products!B2836:B3335,"Product Missing",0)</f>
        <v>Product Missing</v>
      </c>
      <c r="H2836" s="7" t="str">
        <f>_xlfn.XLOOKUP(C2836,Products!A2836:A3335,Products!C2836:C3335,"Category Missing",0)</f>
        <v>Category Missing</v>
      </c>
      <c r="I2836" s="11" t="str">
        <f>_xlfn.XLOOKUP(Orders!C2836,Products!A2836:A3335,Products!D2836:D3335,"Price Missing",0)</f>
        <v>Price Missing</v>
      </c>
      <c r="J2836" s="19">
        <f t="shared" si="44"/>
        <v>0</v>
      </c>
    </row>
    <row r="2837" spans="1:10" x14ac:dyDescent="0.35">
      <c r="A2837" s="4" t="s">
        <v>6857</v>
      </c>
      <c r="B2837" s="7" t="s">
        <v>1133</v>
      </c>
      <c r="C2837" s="7" t="s">
        <v>3946</v>
      </c>
      <c r="D2837" s="5">
        <v>6</v>
      </c>
      <c r="E2837" s="7" t="str">
        <f>_xlfn.XLOOKUP(B2837,Customers!A2837:A3836,Customers!B2837:B3836,"Customer Not Found",0)</f>
        <v>Customer Not Found</v>
      </c>
      <c r="F2837" s="7" t="str">
        <f>_xlfn.XLOOKUP(Orders!B2837,Customers!A2837:A3836,Customers!C2837:C3836,"Country not Found",0)</f>
        <v>Country not Found</v>
      </c>
      <c r="G2837" s="7" t="str">
        <f>_xlfn.XLOOKUP(C2837,Products!A2837:A3336,Products!B2837:B3336,"Product Missing",0)</f>
        <v>Product Missing</v>
      </c>
      <c r="H2837" s="7" t="str">
        <f>_xlfn.XLOOKUP(C2837,Products!A2837:A3336,Products!C2837:C3336,"Category Missing",0)</f>
        <v>Category Missing</v>
      </c>
      <c r="I2837" s="11" t="str">
        <f>_xlfn.XLOOKUP(Orders!C2837,Products!A2837:A3336,Products!D2837:D3336,"Price Missing",0)</f>
        <v>Price Missing</v>
      </c>
      <c r="J2837" s="19">
        <f t="shared" si="44"/>
        <v>0</v>
      </c>
    </row>
    <row r="2838" spans="1:10" x14ac:dyDescent="0.35">
      <c r="A2838" s="4" t="s">
        <v>6858</v>
      </c>
      <c r="B2838" s="7" t="s">
        <v>152</v>
      </c>
      <c r="C2838" s="7" t="s">
        <v>3484</v>
      </c>
      <c r="D2838" s="5">
        <v>5</v>
      </c>
      <c r="E2838" s="7" t="str">
        <f>_xlfn.XLOOKUP(B2838,Customers!A2838:A3837,Customers!B2838:B3837,"Customer Not Found",0)</f>
        <v>Customer Not Found</v>
      </c>
      <c r="F2838" s="7" t="str">
        <f>_xlfn.XLOOKUP(Orders!B2838,Customers!A2838:A3837,Customers!C2838:C3837,"Country not Found",0)</f>
        <v>Country not Found</v>
      </c>
      <c r="G2838" s="7" t="str">
        <f>_xlfn.XLOOKUP(C2838,Products!A2838:A3337,Products!B2838:B3337,"Product Missing",0)</f>
        <v>Product Missing</v>
      </c>
      <c r="H2838" s="7" t="str">
        <f>_xlfn.XLOOKUP(C2838,Products!A2838:A3337,Products!C2838:C3337,"Category Missing",0)</f>
        <v>Category Missing</v>
      </c>
      <c r="I2838" s="11" t="str">
        <f>_xlfn.XLOOKUP(Orders!C2838,Products!A2838:A3337,Products!D2838:D3337,"Price Missing",0)</f>
        <v>Price Missing</v>
      </c>
      <c r="J2838" s="19">
        <f t="shared" si="44"/>
        <v>0</v>
      </c>
    </row>
    <row r="2839" spans="1:10" x14ac:dyDescent="0.35">
      <c r="A2839" s="4" t="s">
        <v>6859</v>
      </c>
      <c r="B2839" s="7" t="s">
        <v>2141</v>
      </c>
      <c r="C2839" s="7" t="s">
        <v>3852</v>
      </c>
      <c r="D2839" s="5">
        <v>1</v>
      </c>
      <c r="E2839" s="7" t="str">
        <f>_xlfn.XLOOKUP(B2839,Customers!A2839:A3838,Customers!B2839:B3838,"Customer Not Found",0)</f>
        <v>Customer Not Found</v>
      </c>
      <c r="F2839" s="7" t="str">
        <f>_xlfn.XLOOKUP(Orders!B2839,Customers!A2839:A3838,Customers!C2839:C3838,"Country not Found",0)</f>
        <v>Country not Found</v>
      </c>
      <c r="G2839" s="7" t="str">
        <f>_xlfn.XLOOKUP(C2839,Products!A2839:A3338,Products!B2839:B3338,"Product Missing",0)</f>
        <v>Product Missing</v>
      </c>
      <c r="H2839" s="7" t="str">
        <f>_xlfn.XLOOKUP(C2839,Products!A2839:A3338,Products!C2839:C3338,"Category Missing",0)</f>
        <v>Category Missing</v>
      </c>
      <c r="I2839" s="11" t="str">
        <f>_xlfn.XLOOKUP(Orders!C2839,Products!A2839:A3338,Products!D2839:D3338,"Price Missing",0)</f>
        <v>Price Missing</v>
      </c>
      <c r="J2839" s="19">
        <f t="shared" si="44"/>
        <v>0</v>
      </c>
    </row>
    <row r="2840" spans="1:10" x14ac:dyDescent="0.35">
      <c r="A2840" s="4" t="s">
        <v>6860</v>
      </c>
      <c r="B2840" s="7" t="s">
        <v>1523</v>
      </c>
      <c r="C2840" s="7" t="s">
        <v>3900</v>
      </c>
      <c r="D2840" s="5">
        <v>8</v>
      </c>
      <c r="E2840" s="7" t="str">
        <f>_xlfn.XLOOKUP(B2840,Customers!A2840:A3839,Customers!B2840:B3839,"Customer Not Found",0)</f>
        <v>Customer Not Found</v>
      </c>
      <c r="F2840" s="7" t="str">
        <f>_xlfn.XLOOKUP(Orders!B2840,Customers!A2840:A3839,Customers!C2840:C3839,"Country not Found",0)</f>
        <v>Country not Found</v>
      </c>
      <c r="G2840" s="7" t="str">
        <f>_xlfn.XLOOKUP(C2840,Products!A2840:A3339,Products!B2840:B3339,"Product Missing",0)</f>
        <v>Product Missing</v>
      </c>
      <c r="H2840" s="7" t="str">
        <f>_xlfn.XLOOKUP(C2840,Products!A2840:A3339,Products!C2840:C3339,"Category Missing",0)</f>
        <v>Category Missing</v>
      </c>
      <c r="I2840" s="11" t="str">
        <f>_xlfn.XLOOKUP(Orders!C2840,Products!A2840:A3339,Products!D2840:D3339,"Price Missing",0)</f>
        <v>Price Missing</v>
      </c>
      <c r="J2840" s="19">
        <f t="shared" si="44"/>
        <v>0</v>
      </c>
    </row>
    <row r="2841" spans="1:10" x14ac:dyDescent="0.35">
      <c r="A2841" s="4" t="s">
        <v>6861</v>
      </c>
      <c r="B2841" s="7" t="s">
        <v>374</v>
      </c>
      <c r="C2841" s="7" t="s">
        <v>3416</v>
      </c>
      <c r="D2841" s="5">
        <v>1</v>
      </c>
      <c r="E2841" s="7" t="str">
        <f>_xlfn.XLOOKUP(B2841,Customers!A2841:A3840,Customers!B2841:B3840,"Customer Not Found",0)</f>
        <v>Customer Not Found</v>
      </c>
      <c r="F2841" s="7" t="str">
        <f>_xlfn.XLOOKUP(Orders!B2841,Customers!A2841:A3840,Customers!C2841:C3840,"Country not Found",0)</f>
        <v>Country not Found</v>
      </c>
      <c r="G2841" s="7" t="str">
        <f>_xlfn.XLOOKUP(C2841,Products!A2841:A3340,Products!B2841:B3340,"Product Missing",0)</f>
        <v>Product Missing</v>
      </c>
      <c r="H2841" s="7" t="str">
        <f>_xlfn.XLOOKUP(C2841,Products!A2841:A3340,Products!C2841:C3340,"Category Missing",0)</f>
        <v>Category Missing</v>
      </c>
      <c r="I2841" s="11" t="str">
        <f>_xlfn.XLOOKUP(Orders!C2841,Products!A2841:A3340,Products!D2841:D3340,"Price Missing",0)</f>
        <v>Price Missing</v>
      </c>
      <c r="J2841" s="19">
        <f t="shared" si="44"/>
        <v>0</v>
      </c>
    </row>
    <row r="2842" spans="1:10" x14ac:dyDescent="0.35">
      <c r="A2842" s="4" t="s">
        <v>6862</v>
      </c>
      <c r="B2842" s="7" t="s">
        <v>1604</v>
      </c>
      <c r="C2842" s="7" t="s">
        <v>3284</v>
      </c>
      <c r="D2842" s="5">
        <v>3</v>
      </c>
      <c r="E2842" s="7" t="str">
        <f>_xlfn.XLOOKUP(B2842,Customers!A2842:A3841,Customers!B2842:B3841,"Customer Not Found",0)</f>
        <v>Customer Not Found</v>
      </c>
      <c r="F2842" s="7" t="str">
        <f>_xlfn.XLOOKUP(Orders!B2842,Customers!A2842:A3841,Customers!C2842:C3841,"Country not Found",0)</f>
        <v>Country not Found</v>
      </c>
      <c r="G2842" s="7" t="str">
        <f>_xlfn.XLOOKUP(C2842,Products!A2842:A3341,Products!B2842:B3341,"Product Missing",0)</f>
        <v>Product Missing</v>
      </c>
      <c r="H2842" s="7" t="str">
        <f>_xlfn.XLOOKUP(C2842,Products!A2842:A3341,Products!C2842:C3341,"Category Missing",0)</f>
        <v>Category Missing</v>
      </c>
      <c r="I2842" s="11" t="str">
        <f>_xlfn.XLOOKUP(Orders!C2842,Products!A2842:A3341,Products!D2842:D3341,"Price Missing",0)</f>
        <v>Price Missing</v>
      </c>
      <c r="J2842" s="19">
        <f t="shared" si="44"/>
        <v>0</v>
      </c>
    </row>
    <row r="2843" spans="1:10" x14ac:dyDescent="0.35">
      <c r="A2843" s="4" t="s">
        <v>6863</v>
      </c>
      <c r="B2843" s="7" t="s">
        <v>2258</v>
      </c>
      <c r="C2843" s="7" t="s">
        <v>3284</v>
      </c>
      <c r="D2843" s="5">
        <v>10</v>
      </c>
      <c r="E2843" s="7" t="str">
        <f>_xlfn.XLOOKUP(B2843,Customers!A2843:A3842,Customers!B2843:B3842,"Customer Not Found",0)</f>
        <v>Customer Not Found</v>
      </c>
      <c r="F2843" s="7" t="str">
        <f>_xlfn.XLOOKUP(Orders!B2843,Customers!A2843:A3842,Customers!C2843:C3842,"Country not Found",0)</f>
        <v>Country not Found</v>
      </c>
      <c r="G2843" s="7" t="str">
        <f>_xlfn.XLOOKUP(C2843,Products!A2843:A3342,Products!B2843:B3342,"Product Missing",0)</f>
        <v>Product Missing</v>
      </c>
      <c r="H2843" s="7" t="str">
        <f>_xlfn.XLOOKUP(C2843,Products!A2843:A3342,Products!C2843:C3342,"Category Missing",0)</f>
        <v>Category Missing</v>
      </c>
      <c r="I2843" s="11" t="str">
        <f>_xlfn.XLOOKUP(Orders!C2843,Products!A2843:A3342,Products!D2843:D3342,"Price Missing",0)</f>
        <v>Price Missing</v>
      </c>
      <c r="J2843" s="19">
        <f t="shared" si="44"/>
        <v>0</v>
      </c>
    </row>
    <row r="2844" spans="1:10" x14ac:dyDescent="0.35">
      <c r="A2844" s="4" t="s">
        <v>6864</v>
      </c>
      <c r="B2844" s="7" t="s">
        <v>971</v>
      </c>
      <c r="C2844" s="7" t="s">
        <v>3570</v>
      </c>
      <c r="D2844" s="5">
        <v>10</v>
      </c>
      <c r="E2844" s="7" t="str">
        <f>_xlfn.XLOOKUP(B2844,Customers!A2844:A3843,Customers!B2844:B3843,"Customer Not Found",0)</f>
        <v>Customer Not Found</v>
      </c>
      <c r="F2844" s="7" t="str">
        <f>_xlfn.XLOOKUP(Orders!B2844,Customers!A2844:A3843,Customers!C2844:C3843,"Country not Found",0)</f>
        <v>Country not Found</v>
      </c>
      <c r="G2844" s="7" t="str">
        <f>_xlfn.XLOOKUP(C2844,Products!A2844:A3343,Products!B2844:B3343,"Product Missing",0)</f>
        <v>Product Missing</v>
      </c>
      <c r="H2844" s="7" t="str">
        <f>_xlfn.XLOOKUP(C2844,Products!A2844:A3343,Products!C2844:C3343,"Category Missing",0)</f>
        <v>Category Missing</v>
      </c>
      <c r="I2844" s="11" t="str">
        <f>_xlfn.XLOOKUP(Orders!C2844,Products!A2844:A3343,Products!D2844:D3343,"Price Missing",0)</f>
        <v>Price Missing</v>
      </c>
      <c r="J2844" s="19">
        <f t="shared" si="44"/>
        <v>0</v>
      </c>
    </row>
    <row r="2845" spans="1:10" x14ac:dyDescent="0.35">
      <c r="A2845" s="4" t="s">
        <v>6865</v>
      </c>
      <c r="B2845" s="7" t="s">
        <v>2408</v>
      </c>
      <c r="C2845" s="7" t="s">
        <v>3408</v>
      </c>
      <c r="D2845" s="5">
        <v>8</v>
      </c>
      <c r="E2845" s="7" t="str">
        <f>_xlfn.XLOOKUP(B2845,Customers!A2845:A3844,Customers!B2845:B3844,"Customer Not Found",0)</f>
        <v>Customer Not Found</v>
      </c>
      <c r="F2845" s="7" t="str">
        <f>_xlfn.XLOOKUP(Orders!B2845,Customers!A2845:A3844,Customers!C2845:C3844,"Country not Found",0)</f>
        <v>Country not Found</v>
      </c>
      <c r="G2845" s="7" t="str">
        <f>_xlfn.XLOOKUP(C2845,Products!A2845:A3344,Products!B2845:B3344,"Product Missing",0)</f>
        <v>Product Missing</v>
      </c>
      <c r="H2845" s="7" t="str">
        <f>_xlfn.XLOOKUP(C2845,Products!A2845:A3344,Products!C2845:C3344,"Category Missing",0)</f>
        <v>Category Missing</v>
      </c>
      <c r="I2845" s="11" t="str">
        <f>_xlfn.XLOOKUP(Orders!C2845,Products!A2845:A3344,Products!D2845:D3344,"Price Missing",0)</f>
        <v>Price Missing</v>
      </c>
      <c r="J2845" s="19">
        <f t="shared" si="44"/>
        <v>0</v>
      </c>
    </row>
    <row r="2846" spans="1:10" x14ac:dyDescent="0.35">
      <c r="A2846" s="4" t="s">
        <v>6866</v>
      </c>
      <c r="B2846" s="7" t="s">
        <v>8</v>
      </c>
      <c r="C2846" s="7" t="s">
        <v>3994</v>
      </c>
      <c r="D2846" s="5">
        <v>10</v>
      </c>
      <c r="E2846" s="7" t="str">
        <f>_xlfn.XLOOKUP(B2846,Customers!A2846:A3845,Customers!B2846:B3845,"Customer Not Found",0)</f>
        <v>Customer Not Found</v>
      </c>
      <c r="F2846" s="7" t="str">
        <f>_xlfn.XLOOKUP(Orders!B2846,Customers!A2846:A3845,Customers!C2846:C3845,"Country not Found",0)</f>
        <v>Country not Found</v>
      </c>
      <c r="G2846" s="7" t="str">
        <f>_xlfn.XLOOKUP(C2846,Products!A2846:A3345,Products!B2846:B3345,"Product Missing",0)</f>
        <v>Product Missing</v>
      </c>
      <c r="H2846" s="7" t="str">
        <f>_xlfn.XLOOKUP(C2846,Products!A2846:A3345,Products!C2846:C3345,"Category Missing",0)</f>
        <v>Category Missing</v>
      </c>
      <c r="I2846" s="11" t="str">
        <f>_xlfn.XLOOKUP(Orders!C2846,Products!A2846:A3345,Products!D2846:D3345,"Price Missing",0)</f>
        <v>Price Missing</v>
      </c>
      <c r="J2846" s="19">
        <f t="shared" si="44"/>
        <v>0</v>
      </c>
    </row>
    <row r="2847" spans="1:10" x14ac:dyDescent="0.35">
      <c r="A2847" s="4" t="s">
        <v>6867</v>
      </c>
      <c r="B2847" s="7" t="s">
        <v>2495</v>
      </c>
      <c r="C2847" s="7" t="s">
        <v>3188</v>
      </c>
      <c r="D2847" s="5">
        <v>7</v>
      </c>
      <c r="E2847" s="7" t="str">
        <f>_xlfn.XLOOKUP(B2847,Customers!A2847:A3846,Customers!B2847:B3846,"Customer Not Found",0)</f>
        <v>Customer Not Found</v>
      </c>
      <c r="F2847" s="7" t="str">
        <f>_xlfn.XLOOKUP(Orders!B2847,Customers!A2847:A3846,Customers!C2847:C3846,"Country not Found",0)</f>
        <v>Country not Found</v>
      </c>
      <c r="G2847" s="7" t="str">
        <f>_xlfn.XLOOKUP(C2847,Products!A2847:A3346,Products!B2847:B3346,"Product Missing",0)</f>
        <v>Product Missing</v>
      </c>
      <c r="H2847" s="7" t="str">
        <f>_xlfn.XLOOKUP(C2847,Products!A2847:A3346,Products!C2847:C3346,"Category Missing",0)</f>
        <v>Category Missing</v>
      </c>
      <c r="I2847" s="11" t="str">
        <f>_xlfn.XLOOKUP(Orders!C2847,Products!A2847:A3346,Products!D2847:D3346,"Price Missing",0)</f>
        <v>Price Missing</v>
      </c>
      <c r="J2847" s="19">
        <f t="shared" si="44"/>
        <v>0</v>
      </c>
    </row>
    <row r="2848" spans="1:10" x14ac:dyDescent="0.35">
      <c r="A2848" s="4" t="s">
        <v>6868</v>
      </c>
      <c r="B2848" s="7" t="s">
        <v>677</v>
      </c>
      <c r="C2848" s="7" t="s">
        <v>3962</v>
      </c>
      <c r="D2848" s="5">
        <v>2</v>
      </c>
      <c r="E2848" s="7" t="str">
        <f>_xlfn.XLOOKUP(B2848,Customers!A2848:A3847,Customers!B2848:B3847,"Customer Not Found",0)</f>
        <v>Customer Not Found</v>
      </c>
      <c r="F2848" s="7" t="str">
        <f>_xlfn.XLOOKUP(Orders!B2848,Customers!A2848:A3847,Customers!C2848:C3847,"Country not Found",0)</f>
        <v>Country not Found</v>
      </c>
      <c r="G2848" s="7" t="str">
        <f>_xlfn.XLOOKUP(C2848,Products!A2848:A3347,Products!B2848:B3347,"Product Missing",0)</f>
        <v>Product Missing</v>
      </c>
      <c r="H2848" s="7" t="str">
        <f>_xlfn.XLOOKUP(C2848,Products!A2848:A3347,Products!C2848:C3347,"Category Missing",0)</f>
        <v>Category Missing</v>
      </c>
      <c r="I2848" s="11" t="str">
        <f>_xlfn.XLOOKUP(Orders!C2848,Products!A2848:A3347,Products!D2848:D3347,"Price Missing",0)</f>
        <v>Price Missing</v>
      </c>
      <c r="J2848" s="19">
        <f t="shared" si="44"/>
        <v>0</v>
      </c>
    </row>
    <row r="2849" spans="1:10" x14ac:dyDescent="0.35">
      <c r="A2849" s="4" t="s">
        <v>6869</v>
      </c>
      <c r="B2849" s="7" t="s">
        <v>2969</v>
      </c>
      <c r="C2849" s="7" t="s">
        <v>3926</v>
      </c>
      <c r="D2849" s="5">
        <v>9</v>
      </c>
      <c r="E2849" s="7" t="str">
        <f>_xlfn.XLOOKUP(B2849,Customers!A2849:A3848,Customers!B2849:B3848,"Customer Not Found",0)</f>
        <v>Customer Not Found</v>
      </c>
      <c r="F2849" s="7" t="str">
        <f>_xlfn.XLOOKUP(Orders!B2849,Customers!A2849:A3848,Customers!C2849:C3848,"Country not Found",0)</f>
        <v>Country not Found</v>
      </c>
      <c r="G2849" s="7" t="str">
        <f>_xlfn.XLOOKUP(C2849,Products!A2849:A3348,Products!B2849:B3348,"Product Missing",0)</f>
        <v>Product Missing</v>
      </c>
      <c r="H2849" s="7" t="str">
        <f>_xlfn.XLOOKUP(C2849,Products!A2849:A3348,Products!C2849:C3348,"Category Missing",0)</f>
        <v>Category Missing</v>
      </c>
      <c r="I2849" s="11" t="str">
        <f>_xlfn.XLOOKUP(Orders!C2849,Products!A2849:A3348,Products!D2849:D3348,"Price Missing",0)</f>
        <v>Price Missing</v>
      </c>
      <c r="J2849" s="19">
        <f t="shared" si="44"/>
        <v>0</v>
      </c>
    </row>
    <row r="2850" spans="1:10" x14ac:dyDescent="0.35">
      <c r="A2850" s="4" t="s">
        <v>6870</v>
      </c>
      <c r="B2850" s="7" t="s">
        <v>4</v>
      </c>
      <c r="C2850" s="7" t="s">
        <v>3582</v>
      </c>
      <c r="D2850" s="5">
        <v>2</v>
      </c>
      <c r="E2850" s="7" t="str">
        <f>_xlfn.XLOOKUP(B2850,Customers!A2850:A3849,Customers!B2850:B3849,"Customer Not Found",0)</f>
        <v>Customer Not Found</v>
      </c>
      <c r="F2850" s="7" t="str">
        <f>_xlfn.XLOOKUP(Orders!B2850,Customers!A2850:A3849,Customers!C2850:C3849,"Country not Found",0)</f>
        <v>Country not Found</v>
      </c>
      <c r="G2850" s="7" t="str">
        <f>_xlfn.XLOOKUP(C2850,Products!A2850:A3349,Products!B2850:B3349,"Product Missing",0)</f>
        <v>Product Missing</v>
      </c>
      <c r="H2850" s="7" t="str">
        <f>_xlfn.XLOOKUP(C2850,Products!A2850:A3349,Products!C2850:C3349,"Category Missing",0)</f>
        <v>Category Missing</v>
      </c>
      <c r="I2850" s="11" t="str">
        <f>_xlfn.XLOOKUP(Orders!C2850,Products!A2850:A3349,Products!D2850:D3349,"Price Missing",0)</f>
        <v>Price Missing</v>
      </c>
      <c r="J2850" s="19">
        <f t="shared" si="44"/>
        <v>0</v>
      </c>
    </row>
    <row r="2851" spans="1:10" x14ac:dyDescent="0.35">
      <c r="A2851" s="4" t="s">
        <v>6871</v>
      </c>
      <c r="B2851" s="7" t="s">
        <v>2228</v>
      </c>
      <c r="C2851" s="7" t="s">
        <v>4002</v>
      </c>
      <c r="D2851" s="5">
        <v>2</v>
      </c>
      <c r="E2851" s="7" t="str">
        <f>_xlfn.XLOOKUP(B2851,Customers!A2851:A3850,Customers!B2851:B3850,"Customer Not Found",0)</f>
        <v>Customer Not Found</v>
      </c>
      <c r="F2851" s="7" t="str">
        <f>_xlfn.XLOOKUP(Orders!B2851,Customers!A2851:A3850,Customers!C2851:C3850,"Country not Found",0)</f>
        <v>Country not Found</v>
      </c>
      <c r="G2851" s="7" t="str">
        <f>_xlfn.XLOOKUP(C2851,Products!A2851:A3350,Products!B2851:B3350,"Product Missing",0)</f>
        <v>Product Missing</v>
      </c>
      <c r="H2851" s="7" t="str">
        <f>_xlfn.XLOOKUP(C2851,Products!A2851:A3350,Products!C2851:C3350,"Category Missing",0)</f>
        <v>Category Missing</v>
      </c>
      <c r="I2851" s="11" t="str">
        <f>_xlfn.XLOOKUP(Orders!C2851,Products!A2851:A3350,Products!D2851:D3350,"Price Missing",0)</f>
        <v>Price Missing</v>
      </c>
      <c r="J2851" s="19">
        <f t="shared" si="44"/>
        <v>0</v>
      </c>
    </row>
    <row r="2852" spans="1:10" x14ac:dyDescent="0.35">
      <c r="A2852" s="4" t="s">
        <v>6872</v>
      </c>
      <c r="B2852" s="7" t="s">
        <v>701</v>
      </c>
      <c r="C2852" s="7" t="s">
        <v>3092</v>
      </c>
      <c r="D2852" s="5">
        <v>3</v>
      </c>
      <c r="E2852" s="7" t="str">
        <f>_xlfn.XLOOKUP(B2852,Customers!A2852:A3851,Customers!B2852:B3851,"Customer Not Found",0)</f>
        <v>Customer Not Found</v>
      </c>
      <c r="F2852" s="7" t="str">
        <f>_xlfn.XLOOKUP(Orders!B2852,Customers!A2852:A3851,Customers!C2852:C3851,"Country not Found",0)</f>
        <v>Country not Found</v>
      </c>
      <c r="G2852" s="7" t="str">
        <f>_xlfn.XLOOKUP(C2852,Products!A2852:A3351,Products!B2852:B3351,"Product Missing",0)</f>
        <v>Product Missing</v>
      </c>
      <c r="H2852" s="7" t="str">
        <f>_xlfn.XLOOKUP(C2852,Products!A2852:A3351,Products!C2852:C3351,"Category Missing",0)</f>
        <v>Category Missing</v>
      </c>
      <c r="I2852" s="11" t="str">
        <f>_xlfn.XLOOKUP(Orders!C2852,Products!A2852:A3351,Products!D2852:D3351,"Price Missing",0)</f>
        <v>Price Missing</v>
      </c>
      <c r="J2852" s="19">
        <f t="shared" si="44"/>
        <v>0</v>
      </c>
    </row>
    <row r="2853" spans="1:10" x14ac:dyDescent="0.35">
      <c r="A2853" s="4" t="s">
        <v>6873</v>
      </c>
      <c r="B2853" s="7" t="s">
        <v>49</v>
      </c>
      <c r="C2853" s="7" t="s">
        <v>3424</v>
      </c>
      <c r="D2853" s="5">
        <v>1</v>
      </c>
      <c r="E2853" s="7" t="str">
        <f>_xlfn.XLOOKUP(B2853,Customers!A2853:A3852,Customers!B2853:B3852,"Customer Not Found",0)</f>
        <v>Customer Not Found</v>
      </c>
      <c r="F2853" s="7" t="str">
        <f>_xlfn.XLOOKUP(Orders!B2853,Customers!A2853:A3852,Customers!C2853:C3852,"Country not Found",0)</f>
        <v>Country not Found</v>
      </c>
      <c r="G2853" s="7" t="str">
        <f>_xlfn.XLOOKUP(C2853,Products!A2853:A3352,Products!B2853:B3352,"Product Missing",0)</f>
        <v>Product Missing</v>
      </c>
      <c r="H2853" s="7" t="str">
        <f>_xlfn.XLOOKUP(C2853,Products!A2853:A3352,Products!C2853:C3352,"Category Missing",0)</f>
        <v>Category Missing</v>
      </c>
      <c r="I2853" s="11" t="str">
        <f>_xlfn.XLOOKUP(Orders!C2853,Products!A2853:A3352,Products!D2853:D3352,"Price Missing",0)</f>
        <v>Price Missing</v>
      </c>
      <c r="J2853" s="19">
        <f t="shared" si="44"/>
        <v>0</v>
      </c>
    </row>
    <row r="2854" spans="1:10" x14ac:dyDescent="0.35">
      <c r="A2854" s="4" t="s">
        <v>6874</v>
      </c>
      <c r="B2854" s="7" t="s">
        <v>2870</v>
      </c>
      <c r="C2854" s="7" t="s">
        <v>3730</v>
      </c>
      <c r="D2854" s="5">
        <v>6</v>
      </c>
      <c r="E2854" s="7" t="str">
        <f>_xlfn.XLOOKUP(B2854,Customers!A2854:A3853,Customers!B2854:B3853,"Customer Not Found",0)</f>
        <v>Customer Not Found</v>
      </c>
      <c r="F2854" s="7" t="str">
        <f>_xlfn.XLOOKUP(Orders!B2854,Customers!A2854:A3853,Customers!C2854:C3853,"Country not Found",0)</f>
        <v>Country not Found</v>
      </c>
      <c r="G2854" s="7" t="str">
        <f>_xlfn.XLOOKUP(C2854,Products!A2854:A3353,Products!B2854:B3353,"Product Missing",0)</f>
        <v>Product Missing</v>
      </c>
      <c r="H2854" s="7" t="str">
        <f>_xlfn.XLOOKUP(C2854,Products!A2854:A3353,Products!C2854:C3353,"Category Missing",0)</f>
        <v>Category Missing</v>
      </c>
      <c r="I2854" s="11" t="str">
        <f>_xlfn.XLOOKUP(Orders!C2854,Products!A2854:A3353,Products!D2854:D3353,"Price Missing",0)</f>
        <v>Price Missing</v>
      </c>
      <c r="J2854" s="19">
        <f t="shared" si="44"/>
        <v>0</v>
      </c>
    </row>
    <row r="2855" spans="1:10" x14ac:dyDescent="0.35">
      <c r="A2855" s="4" t="s">
        <v>6875</v>
      </c>
      <c r="B2855" s="7" t="s">
        <v>4</v>
      </c>
      <c r="C2855" s="7" t="s">
        <v>3348</v>
      </c>
      <c r="D2855" s="5">
        <v>5</v>
      </c>
      <c r="E2855" s="7" t="str">
        <f>_xlfn.XLOOKUP(B2855,Customers!A2855:A3854,Customers!B2855:B3854,"Customer Not Found",0)</f>
        <v>Customer Not Found</v>
      </c>
      <c r="F2855" s="7" t="str">
        <f>_xlfn.XLOOKUP(Orders!B2855,Customers!A2855:A3854,Customers!C2855:C3854,"Country not Found",0)</f>
        <v>Country not Found</v>
      </c>
      <c r="G2855" s="7" t="str">
        <f>_xlfn.XLOOKUP(C2855,Products!A2855:A3354,Products!B2855:B3354,"Product Missing",0)</f>
        <v>Product Missing</v>
      </c>
      <c r="H2855" s="7" t="str">
        <f>_xlfn.XLOOKUP(C2855,Products!A2855:A3354,Products!C2855:C3354,"Category Missing",0)</f>
        <v>Category Missing</v>
      </c>
      <c r="I2855" s="11" t="str">
        <f>_xlfn.XLOOKUP(Orders!C2855,Products!A2855:A3354,Products!D2855:D3354,"Price Missing",0)</f>
        <v>Price Missing</v>
      </c>
      <c r="J2855" s="19">
        <f t="shared" si="44"/>
        <v>0</v>
      </c>
    </row>
    <row r="2856" spans="1:10" x14ac:dyDescent="0.35">
      <c r="A2856" s="4" t="s">
        <v>6876</v>
      </c>
      <c r="B2856" s="7" t="s">
        <v>1787</v>
      </c>
      <c r="C2856" s="7" t="s">
        <v>3392</v>
      </c>
      <c r="D2856" s="5">
        <v>7</v>
      </c>
      <c r="E2856" s="7" t="str">
        <f>_xlfn.XLOOKUP(B2856,Customers!A2856:A3855,Customers!B2856:B3855,"Customer Not Found",0)</f>
        <v>Customer Not Found</v>
      </c>
      <c r="F2856" s="7" t="str">
        <f>_xlfn.XLOOKUP(Orders!B2856,Customers!A2856:A3855,Customers!C2856:C3855,"Country not Found",0)</f>
        <v>Country not Found</v>
      </c>
      <c r="G2856" s="7" t="str">
        <f>_xlfn.XLOOKUP(C2856,Products!A2856:A3355,Products!B2856:B3355,"Product Missing",0)</f>
        <v>Product Missing</v>
      </c>
      <c r="H2856" s="7" t="str">
        <f>_xlfn.XLOOKUP(C2856,Products!A2856:A3355,Products!C2856:C3355,"Category Missing",0)</f>
        <v>Category Missing</v>
      </c>
      <c r="I2856" s="11" t="str">
        <f>_xlfn.XLOOKUP(Orders!C2856,Products!A2856:A3355,Products!D2856:D3355,"Price Missing",0)</f>
        <v>Price Missing</v>
      </c>
      <c r="J2856" s="19">
        <f t="shared" si="44"/>
        <v>0</v>
      </c>
    </row>
    <row r="2857" spans="1:10" x14ac:dyDescent="0.35">
      <c r="A2857" s="4" t="s">
        <v>6877</v>
      </c>
      <c r="B2857" s="7" t="s">
        <v>1070</v>
      </c>
      <c r="C2857" s="7" t="s">
        <v>3804</v>
      </c>
      <c r="D2857" s="5">
        <v>3</v>
      </c>
      <c r="E2857" s="7" t="str">
        <f>_xlfn.XLOOKUP(B2857,Customers!A2857:A3856,Customers!B2857:B3856,"Customer Not Found",0)</f>
        <v>Customer Not Found</v>
      </c>
      <c r="F2857" s="7" t="str">
        <f>_xlfn.XLOOKUP(Orders!B2857,Customers!A2857:A3856,Customers!C2857:C3856,"Country not Found",0)</f>
        <v>Country not Found</v>
      </c>
      <c r="G2857" s="7" t="str">
        <f>_xlfn.XLOOKUP(C2857,Products!A2857:A3356,Products!B2857:B3356,"Product Missing",0)</f>
        <v>Product Missing</v>
      </c>
      <c r="H2857" s="7" t="str">
        <f>_xlfn.XLOOKUP(C2857,Products!A2857:A3356,Products!C2857:C3356,"Category Missing",0)</f>
        <v>Category Missing</v>
      </c>
      <c r="I2857" s="11" t="str">
        <f>_xlfn.XLOOKUP(Orders!C2857,Products!A2857:A3356,Products!D2857:D3356,"Price Missing",0)</f>
        <v>Price Missing</v>
      </c>
      <c r="J2857" s="19">
        <f t="shared" si="44"/>
        <v>0</v>
      </c>
    </row>
    <row r="2858" spans="1:10" x14ac:dyDescent="0.35">
      <c r="A2858" s="4" t="s">
        <v>6878</v>
      </c>
      <c r="B2858" s="7" t="s">
        <v>482</v>
      </c>
      <c r="C2858" s="7" t="s">
        <v>3254</v>
      </c>
      <c r="D2858" s="5">
        <v>3</v>
      </c>
      <c r="E2858" s="7" t="str">
        <f>_xlfn.XLOOKUP(B2858,Customers!A2858:A3857,Customers!B2858:B3857,"Customer Not Found",0)</f>
        <v>Customer Not Found</v>
      </c>
      <c r="F2858" s="7" t="str">
        <f>_xlfn.XLOOKUP(Orders!B2858,Customers!A2858:A3857,Customers!C2858:C3857,"Country not Found",0)</f>
        <v>Country not Found</v>
      </c>
      <c r="G2858" s="7" t="str">
        <f>_xlfn.XLOOKUP(C2858,Products!A2858:A3357,Products!B2858:B3357,"Product Missing",0)</f>
        <v>Product Missing</v>
      </c>
      <c r="H2858" s="7" t="str">
        <f>_xlfn.XLOOKUP(C2858,Products!A2858:A3357,Products!C2858:C3357,"Category Missing",0)</f>
        <v>Category Missing</v>
      </c>
      <c r="I2858" s="11" t="str">
        <f>_xlfn.XLOOKUP(Orders!C2858,Products!A2858:A3357,Products!D2858:D3357,"Price Missing",0)</f>
        <v>Price Missing</v>
      </c>
      <c r="J2858" s="19">
        <f t="shared" si="44"/>
        <v>0</v>
      </c>
    </row>
    <row r="2859" spans="1:10" x14ac:dyDescent="0.35">
      <c r="A2859" s="4" t="s">
        <v>6879</v>
      </c>
      <c r="B2859" s="7" t="s">
        <v>1514</v>
      </c>
      <c r="C2859" s="7" t="s">
        <v>3446</v>
      </c>
      <c r="D2859" s="5">
        <v>9</v>
      </c>
      <c r="E2859" s="7" t="str">
        <f>_xlfn.XLOOKUP(B2859,Customers!A2859:A3858,Customers!B2859:B3858,"Customer Not Found",0)</f>
        <v>Customer Not Found</v>
      </c>
      <c r="F2859" s="7" t="str">
        <f>_xlfn.XLOOKUP(Orders!B2859,Customers!A2859:A3858,Customers!C2859:C3858,"Country not Found",0)</f>
        <v>Country not Found</v>
      </c>
      <c r="G2859" s="7" t="str">
        <f>_xlfn.XLOOKUP(C2859,Products!A2859:A3358,Products!B2859:B3358,"Product Missing",0)</f>
        <v>Product Missing</v>
      </c>
      <c r="H2859" s="7" t="str">
        <f>_xlfn.XLOOKUP(C2859,Products!A2859:A3358,Products!C2859:C3358,"Category Missing",0)</f>
        <v>Category Missing</v>
      </c>
      <c r="I2859" s="11" t="str">
        <f>_xlfn.XLOOKUP(Orders!C2859,Products!A2859:A3358,Products!D2859:D3358,"Price Missing",0)</f>
        <v>Price Missing</v>
      </c>
      <c r="J2859" s="19">
        <f t="shared" si="44"/>
        <v>0</v>
      </c>
    </row>
    <row r="2860" spans="1:10" x14ac:dyDescent="0.35">
      <c r="A2860" s="4" t="s">
        <v>6880</v>
      </c>
      <c r="B2860" s="7" t="s">
        <v>257</v>
      </c>
      <c r="C2860" s="7" t="s">
        <v>3112</v>
      </c>
      <c r="D2860" s="5">
        <v>7</v>
      </c>
      <c r="E2860" s="7" t="str">
        <f>_xlfn.XLOOKUP(B2860,Customers!A2860:A3859,Customers!B2860:B3859,"Customer Not Found",0)</f>
        <v>Customer Not Found</v>
      </c>
      <c r="F2860" s="7" t="str">
        <f>_xlfn.XLOOKUP(Orders!B2860,Customers!A2860:A3859,Customers!C2860:C3859,"Country not Found",0)</f>
        <v>Country not Found</v>
      </c>
      <c r="G2860" s="7" t="str">
        <f>_xlfn.XLOOKUP(C2860,Products!A2860:A3359,Products!B2860:B3359,"Product Missing",0)</f>
        <v>Product Missing</v>
      </c>
      <c r="H2860" s="7" t="str">
        <f>_xlfn.XLOOKUP(C2860,Products!A2860:A3359,Products!C2860:C3359,"Category Missing",0)</f>
        <v>Category Missing</v>
      </c>
      <c r="I2860" s="11" t="str">
        <f>_xlfn.XLOOKUP(Orders!C2860,Products!A2860:A3359,Products!D2860:D3359,"Price Missing",0)</f>
        <v>Price Missing</v>
      </c>
      <c r="J2860" s="19">
        <f t="shared" si="44"/>
        <v>0</v>
      </c>
    </row>
    <row r="2861" spans="1:10" x14ac:dyDescent="0.35">
      <c r="A2861" s="4" t="s">
        <v>6881</v>
      </c>
      <c r="B2861" s="7" t="s">
        <v>1475</v>
      </c>
      <c r="C2861" s="7" t="s">
        <v>3664</v>
      </c>
      <c r="D2861" s="5">
        <v>8</v>
      </c>
      <c r="E2861" s="7" t="str">
        <f>_xlfn.XLOOKUP(B2861,Customers!A2861:A3860,Customers!B2861:B3860,"Customer Not Found",0)</f>
        <v>Customer Not Found</v>
      </c>
      <c r="F2861" s="7" t="str">
        <f>_xlfn.XLOOKUP(Orders!B2861,Customers!A2861:A3860,Customers!C2861:C3860,"Country not Found",0)</f>
        <v>Country not Found</v>
      </c>
      <c r="G2861" s="7" t="str">
        <f>_xlfn.XLOOKUP(C2861,Products!A2861:A3360,Products!B2861:B3360,"Product Missing",0)</f>
        <v>Product Missing</v>
      </c>
      <c r="H2861" s="7" t="str">
        <f>_xlfn.XLOOKUP(C2861,Products!A2861:A3360,Products!C2861:C3360,"Category Missing",0)</f>
        <v>Category Missing</v>
      </c>
      <c r="I2861" s="11" t="str">
        <f>_xlfn.XLOOKUP(Orders!C2861,Products!A2861:A3360,Products!D2861:D3360,"Price Missing",0)</f>
        <v>Price Missing</v>
      </c>
      <c r="J2861" s="19">
        <f t="shared" si="44"/>
        <v>0</v>
      </c>
    </row>
    <row r="2862" spans="1:10" x14ac:dyDescent="0.35">
      <c r="A2862" s="4" t="s">
        <v>6882</v>
      </c>
      <c r="B2862" s="7" t="s">
        <v>2501</v>
      </c>
      <c r="C2862" s="7" t="s">
        <v>3682</v>
      </c>
      <c r="D2862" s="5">
        <v>7</v>
      </c>
      <c r="E2862" s="7" t="str">
        <f>_xlfn.XLOOKUP(B2862,Customers!A2862:A3861,Customers!B2862:B3861,"Customer Not Found",0)</f>
        <v>Customer Not Found</v>
      </c>
      <c r="F2862" s="7" t="str">
        <f>_xlfn.XLOOKUP(Orders!B2862,Customers!A2862:A3861,Customers!C2862:C3861,"Country not Found",0)</f>
        <v>Country not Found</v>
      </c>
      <c r="G2862" s="7" t="str">
        <f>_xlfn.XLOOKUP(C2862,Products!A2862:A3361,Products!B2862:B3361,"Product Missing",0)</f>
        <v>Product Missing</v>
      </c>
      <c r="H2862" s="7" t="str">
        <f>_xlfn.XLOOKUP(C2862,Products!A2862:A3361,Products!C2862:C3361,"Category Missing",0)</f>
        <v>Category Missing</v>
      </c>
      <c r="I2862" s="11" t="str">
        <f>_xlfn.XLOOKUP(Orders!C2862,Products!A2862:A3361,Products!D2862:D3361,"Price Missing",0)</f>
        <v>Price Missing</v>
      </c>
      <c r="J2862" s="19">
        <f t="shared" si="44"/>
        <v>0</v>
      </c>
    </row>
    <row r="2863" spans="1:10" x14ac:dyDescent="0.35">
      <c r="A2863" s="4" t="s">
        <v>6883</v>
      </c>
      <c r="B2863" s="7" t="s">
        <v>1166</v>
      </c>
      <c r="C2863" s="7" t="s">
        <v>3670</v>
      </c>
      <c r="D2863" s="5">
        <v>4</v>
      </c>
      <c r="E2863" s="7" t="str">
        <f>_xlfn.XLOOKUP(B2863,Customers!A2863:A3862,Customers!B2863:B3862,"Customer Not Found",0)</f>
        <v>Customer Not Found</v>
      </c>
      <c r="F2863" s="7" t="str">
        <f>_xlfn.XLOOKUP(Orders!B2863,Customers!A2863:A3862,Customers!C2863:C3862,"Country not Found",0)</f>
        <v>Country not Found</v>
      </c>
      <c r="G2863" s="7" t="str">
        <f>_xlfn.XLOOKUP(C2863,Products!A2863:A3362,Products!B2863:B3362,"Product Missing",0)</f>
        <v>Product Missing</v>
      </c>
      <c r="H2863" s="7" t="str">
        <f>_xlfn.XLOOKUP(C2863,Products!A2863:A3362,Products!C2863:C3362,"Category Missing",0)</f>
        <v>Category Missing</v>
      </c>
      <c r="I2863" s="11" t="str">
        <f>_xlfn.XLOOKUP(Orders!C2863,Products!A2863:A3362,Products!D2863:D3362,"Price Missing",0)</f>
        <v>Price Missing</v>
      </c>
      <c r="J2863" s="19">
        <f t="shared" si="44"/>
        <v>0</v>
      </c>
    </row>
    <row r="2864" spans="1:10" x14ac:dyDescent="0.35">
      <c r="A2864" s="4" t="s">
        <v>6884</v>
      </c>
      <c r="B2864" s="7" t="s">
        <v>2954</v>
      </c>
      <c r="C2864" s="7" t="s">
        <v>3172</v>
      </c>
      <c r="D2864" s="5">
        <v>3</v>
      </c>
      <c r="E2864" s="7" t="str">
        <f>_xlfn.XLOOKUP(B2864,Customers!A2864:A3863,Customers!B2864:B3863,"Customer Not Found",0)</f>
        <v>Customer Not Found</v>
      </c>
      <c r="F2864" s="7" t="str">
        <f>_xlfn.XLOOKUP(Orders!B2864,Customers!A2864:A3863,Customers!C2864:C3863,"Country not Found",0)</f>
        <v>Country not Found</v>
      </c>
      <c r="G2864" s="7" t="str">
        <f>_xlfn.XLOOKUP(C2864,Products!A2864:A3363,Products!B2864:B3363,"Product Missing",0)</f>
        <v>Product Missing</v>
      </c>
      <c r="H2864" s="7" t="str">
        <f>_xlfn.XLOOKUP(C2864,Products!A2864:A3363,Products!C2864:C3363,"Category Missing",0)</f>
        <v>Category Missing</v>
      </c>
      <c r="I2864" s="11" t="str">
        <f>_xlfn.XLOOKUP(Orders!C2864,Products!A2864:A3363,Products!D2864:D3363,"Price Missing",0)</f>
        <v>Price Missing</v>
      </c>
      <c r="J2864" s="19">
        <f t="shared" si="44"/>
        <v>0</v>
      </c>
    </row>
    <row r="2865" spans="1:10" x14ac:dyDescent="0.35">
      <c r="A2865" s="4" t="s">
        <v>6885</v>
      </c>
      <c r="B2865" s="7" t="s">
        <v>2756</v>
      </c>
      <c r="C2865" s="7" t="s">
        <v>3632</v>
      </c>
      <c r="D2865" s="5">
        <v>3</v>
      </c>
      <c r="E2865" s="7" t="str">
        <f>_xlfn.XLOOKUP(B2865,Customers!A2865:A3864,Customers!B2865:B3864,"Customer Not Found",0)</f>
        <v>Customer Not Found</v>
      </c>
      <c r="F2865" s="7" t="str">
        <f>_xlfn.XLOOKUP(Orders!B2865,Customers!A2865:A3864,Customers!C2865:C3864,"Country not Found",0)</f>
        <v>Country not Found</v>
      </c>
      <c r="G2865" s="7" t="str">
        <f>_xlfn.XLOOKUP(C2865,Products!A2865:A3364,Products!B2865:B3364,"Product Missing",0)</f>
        <v>Product Missing</v>
      </c>
      <c r="H2865" s="7" t="str">
        <f>_xlfn.XLOOKUP(C2865,Products!A2865:A3364,Products!C2865:C3364,"Category Missing",0)</f>
        <v>Category Missing</v>
      </c>
      <c r="I2865" s="11" t="str">
        <f>_xlfn.XLOOKUP(Orders!C2865,Products!A2865:A3364,Products!D2865:D3364,"Price Missing",0)</f>
        <v>Price Missing</v>
      </c>
      <c r="J2865" s="19">
        <f t="shared" si="44"/>
        <v>0</v>
      </c>
    </row>
    <row r="2866" spans="1:10" x14ac:dyDescent="0.35">
      <c r="A2866" s="4" t="s">
        <v>6886</v>
      </c>
      <c r="B2866" s="7" t="s">
        <v>155</v>
      </c>
      <c r="C2866" s="7" t="s">
        <v>3236</v>
      </c>
      <c r="D2866" s="5">
        <v>7</v>
      </c>
      <c r="E2866" s="7" t="str">
        <f>_xlfn.XLOOKUP(B2866,Customers!A2866:A3865,Customers!B2866:B3865,"Customer Not Found",0)</f>
        <v>Customer Not Found</v>
      </c>
      <c r="F2866" s="7" t="str">
        <f>_xlfn.XLOOKUP(Orders!B2866,Customers!A2866:A3865,Customers!C2866:C3865,"Country not Found",0)</f>
        <v>Country not Found</v>
      </c>
      <c r="G2866" s="7" t="str">
        <f>_xlfn.XLOOKUP(C2866,Products!A2866:A3365,Products!B2866:B3365,"Product Missing",0)</f>
        <v>Product Missing</v>
      </c>
      <c r="H2866" s="7" t="str">
        <f>_xlfn.XLOOKUP(C2866,Products!A2866:A3365,Products!C2866:C3365,"Category Missing",0)</f>
        <v>Category Missing</v>
      </c>
      <c r="I2866" s="11" t="str">
        <f>_xlfn.XLOOKUP(Orders!C2866,Products!A2866:A3365,Products!D2866:D3365,"Price Missing",0)</f>
        <v>Price Missing</v>
      </c>
      <c r="J2866" s="19">
        <f t="shared" si="44"/>
        <v>0</v>
      </c>
    </row>
    <row r="2867" spans="1:10" x14ac:dyDescent="0.35">
      <c r="A2867" s="4" t="s">
        <v>6887</v>
      </c>
      <c r="B2867" s="7" t="s">
        <v>2762</v>
      </c>
      <c r="C2867" s="7" t="s">
        <v>3866</v>
      </c>
      <c r="D2867" s="5">
        <v>5</v>
      </c>
      <c r="E2867" s="7" t="str">
        <f>_xlfn.XLOOKUP(B2867,Customers!A2867:A3866,Customers!B2867:B3866,"Customer Not Found",0)</f>
        <v>Customer Not Found</v>
      </c>
      <c r="F2867" s="7" t="str">
        <f>_xlfn.XLOOKUP(Orders!B2867,Customers!A2867:A3866,Customers!C2867:C3866,"Country not Found",0)</f>
        <v>Country not Found</v>
      </c>
      <c r="G2867" s="7" t="str">
        <f>_xlfn.XLOOKUP(C2867,Products!A2867:A3366,Products!B2867:B3366,"Product Missing",0)</f>
        <v>Product Missing</v>
      </c>
      <c r="H2867" s="7" t="str">
        <f>_xlfn.XLOOKUP(C2867,Products!A2867:A3366,Products!C2867:C3366,"Category Missing",0)</f>
        <v>Category Missing</v>
      </c>
      <c r="I2867" s="11" t="str">
        <f>_xlfn.XLOOKUP(Orders!C2867,Products!A2867:A3366,Products!D2867:D3366,"Price Missing",0)</f>
        <v>Price Missing</v>
      </c>
      <c r="J2867" s="19">
        <f t="shared" si="44"/>
        <v>0</v>
      </c>
    </row>
    <row r="2868" spans="1:10" x14ac:dyDescent="0.35">
      <c r="A2868" s="4" t="s">
        <v>6888</v>
      </c>
      <c r="B2868" s="7" t="s">
        <v>1328</v>
      </c>
      <c r="C2868" s="7" t="s">
        <v>3058</v>
      </c>
      <c r="D2868" s="5">
        <v>1</v>
      </c>
      <c r="E2868" s="7" t="str">
        <f>_xlfn.XLOOKUP(B2868,Customers!A2868:A3867,Customers!B2868:B3867,"Customer Not Found",0)</f>
        <v>Customer Not Found</v>
      </c>
      <c r="F2868" s="7" t="str">
        <f>_xlfn.XLOOKUP(Orders!B2868,Customers!A2868:A3867,Customers!C2868:C3867,"Country not Found",0)</f>
        <v>Country not Found</v>
      </c>
      <c r="G2868" s="7" t="str">
        <f>_xlfn.XLOOKUP(C2868,Products!A2868:A3367,Products!B2868:B3367,"Product Missing",0)</f>
        <v>Product Missing</v>
      </c>
      <c r="H2868" s="7" t="str">
        <f>_xlfn.XLOOKUP(C2868,Products!A2868:A3367,Products!C2868:C3367,"Category Missing",0)</f>
        <v>Category Missing</v>
      </c>
      <c r="I2868" s="11" t="str">
        <f>_xlfn.XLOOKUP(Orders!C2868,Products!A2868:A3367,Products!D2868:D3367,"Price Missing",0)</f>
        <v>Price Missing</v>
      </c>
      <c r="J2868" s="19">
        <f t="shared" si="44"/>
        <v>0</v>
      </c>
    </row>
    <row r="2869" spans="1:10" x14ac:dyDescent="0.35">
      <c r="A2869" s="4" t="s">
        <v>6889</v>
      </c>
      <c r="B2869" s="7" t="s">
        <v>521</v>
      </c>
      <c r="C2869" s="7" t="s">
        <v>3336</v>
      </c>
      <c r="D2869" s="5">
        <v>6</v>
      </c>
      <c r="E2869" s="7" t="str">
        <f>_xlfn.XLOOKUP(B2869,Customers!A2869:A3868,Customers!B2869:B3868,"Customer Not Found",0)</f>
        <v>Customer Not Found</v>
      </c>
      <c r="F2869" s="7" t="str">
        <f>_xlfn.XLOOKUP(Orders!B2869,Customers!A2869:A3868,Customers!C2869:C3868,"Country not Found",0)</f>
        <v>Country not Found</v>
      </c>
      <c r="G2869" s="7" t="str">
        <f>_xlfn.XLOOKUP(C2869,Products!A2869:A3368,Products!B2869:B3368,"Product Missing",0)</f>
        <v>Product Missing</v>
      </c>
      <c r="H2869" s="7" t="str">
        <f>_xlfn.XLOOKUP(C2869,Products!A2869:A3368,Products!C2869:C3368,"Category Missing",0)</f>
        <v>Category Missing</v>
      </c>
      <c r="I2869" s="11" t="str">
        <f>_xlfn.XLOOKUP(Orders!C2869,Products!A2869:A3368,Products!D2869:D3368,"Price Missing",0)</f>
        <v>Price Missing</v>
      </c>
      <c r="J2869" s="19">
        <f t="shared" si="44"/>
        <v>0</v>
      </c>
    </row>
    <row r="2870" spans="1:10" x14ac:dyDescent="0.35">
      <c r="A2870" s="4" t="s">
        <v>6890</v>
      </c>
      <c r="B2870" s="7" t="s">
        <v>572</v>
      </c>
      <c r="C2870" s="7" t="s">
        <v>3152</v>
      </c>
      <c r="D2870" s="5">
        <v>8</v>
      </c>
      <c r="E2870" s="7" t="str">
        <f>_xlfn.XLOOKUP(B2870,Customers!A2870:A3869,Customers!B2870:B3869,"Customer Not Found",0)</f>
        <v>Customer Not Found</v>
      </c>
      <c r="F2870" s="7" t="str">
        <f>_xlfn.XLOOKUP(Orders!B2870,Customers!A2870:A3869,Customers!C2870:C3869,"Country not Found",0)</f>
        <v>Country not Found</v>
      </c>
      <c r="G2870" s="7" t="str">
        <f>_xlfn.XLOOKUP(C2870,Products!A2870:A3369,Products!B2870:B3369,"Product Missing",0)</f>
        <v>Product Missing</v>
      </c>
      <c r="H2870" s="7" t="str">
        <f>_xlfn.XLOOKUP(C2870,Products!A2870:A3369,Products!C2870:C3369,"Category Missing",0)</f>
        <v>Category Missing</v>
      </c>
      <c r="I2870" s="11" t="str">
        <f>_xlfn.XLOOKUP(Orders!C2870,Products!A2870:A3369,Products!D2870:D3369,"Price Missing",0)</f>
        <v>Price Missing</v>
      </c>
      <c r="J2870" s="19">
        <f t="shared" si="44"/>
        <v>0</v>
      </c>
    </row>
    <row r="2871" spans="1:10" x14ac:dyDescent="0.35">
      <c r="A2871" s="4" t="s">
        <v>6891</v>
      </c>
      <c r="B2871" s="7" t="s">
        <v>2537</v>
      </c>
      <c r="C2871" s="7" t="s">
        <v>3738</v>
      </c>
      <c r="D2871" s="5">
        <v>1</v>
      </c>
      <c r="E2871" s="7" t="str">
        <f>_xlfn.XLOOKUP(B2871,Customers!A2871:A3870,Customers!B2871:B3870,"Customer Not Found",0)</f>
        <v>Customer Not Found</v>
      </c>
      <c r="F2871" s="7" t="str">
        <f>_xlfn.XLOOKUP(Orders!B2871,Customers!A2871:A3870,Customers!C2871:C3870,"Country not Found",0)</f>
        <v>Country not Found</v>
      </c>
      <c r="G2871" s="7" t="str">
        <f>_xlfn.XLOOKUP(C2871,Products!A2871:A3370,Products!B2871:B3370,"Product Missing",0)</f>
        <v>Product Missing</v>
      </c>
      <c r="H2871" s="7" t="str">
        <f>_xlfn.XLOOKUP(C2871,Products!A2871:A3370,Products!C2871:C3370,"Category Missing",0)</f>
        <v>Category Missing</v>
      </c>
      <c r="I2871" s="11" t="str">
        <f>_xlfn.XLOOKUP(Orders!C2871,Products!A2871:A3370,Products!D2871:D3370,"Price Missing",0)</f>
        <v>Price Missing</v>
      </c>
      <c r="J2871" s="19">
        <f t="shared" si="44"/>
        <v>0</v>
      </c>
    </row>
    <row r="2872" spans="1:10" x14ac:dyDescent="0.35">
      <c r="A2872" s="4" t="s">
        <v>6892</v>
      </c>
      <c r="B2872" s="7" t="s">
        <v>36</v>
      </c>
      <c r="C2872" s="7" t="s">
        <v>3182</v>
      </c>
      <c r="D2872" s="5">
        <v>8</v>
      </c>
      <c r="E2872" s="7" t="str">
        <f>_xlfn.XLOOKUP(B2872,Customers!A2872:A3871,Customers!B2872:B3871,"Customer Not Found",0)</f>
        <v>Customer Not Found</v>
      </c>
      <c r="F2872" s="7" t="str">
        <f>_xlfn.XLOOKUP(Orders!B2872,Customers!A2872:A3871,Customers!C2872:C3871,"Country not Found",0)</f>
        <v>Country not Found</v>
      </c>
      <c r="G2872" s="7" t="str">
        <f>_xlfn.XLOOKUP(C2872,Products!A2872:A3371,Products!B2872:B3371,"Product Missing",0)</f>
        <v>Product Missing</v>
      </c>
      <c r="H2872" s="7" t="str">
        <f>_xlfn.XLOOKUP(C2872,Products!A2872:A3371,Products!C2872:C3371,"Category Missing",0)</f>
        <v>Category Missing</v>
      </c>
      <c r="I2872" s="11" t="str">
        <f>_xlfn.XLOOKUP(Orders!C2872,Products!A2872:A3371,Products!D2872:D3371,"Price Missing",0)</f>
        <v>Price Missing</v>
      </c>
      <c r="J2872" s="19">
        <f t="shared" si="44"/>
        <v>0</v>
      </c>
    </row>
    <row r="2873" spans="1:10" x14ac:dyDescent="0.35">
      <c r="A2873" s="4" t="s">
        <v>6893</v>
      </c>
      <c r="B2873" s="7" t="s">
        <v>1739</v>
      </c>
      <c r="C2873" s="7" t="s">
        <v>3802</v>
      </c>
      <c r="D2873" s="5">
        <v>6</v>
      </c>
      <c r="E2873" s="7" t="str">
        <f>_xlfn.XLOOKUP(B2873,Customers!A2873:A3872,Customers!B2873:B3872,"Customer Not Found",0)</f>
        <v>Customer Not Found</v>
      </c>
      <c r="F2873" s="7" t="str">
        <f>_xlfn.XLOOKUP(Orders!B2873,Customers!A2873:A3872,Customers!C2873:C3872,"Country not Found",0)</f>
        <v>Country not Found</v>
      </c>
      <c r="G2873" s="7" t="str">
        <f>_xlfn.XLOOKUP(C2873,Products!A2873:A3372,Products!B2873:B3372,"Product Missing",0)</f>
        <v>Product Missing</v>
      </c>
      <c r="H2873" s="7" t="str">
        <f>_xlfn.XLOOKUP(C2873,Products!A2873:A3372,Products!C2873:C3372,"Category Missing",0)</f>
        <v>Category Missing</v>
      </c>
      <c r="I2873" s="11" t="str">
        <f>_xlfn.XLOOKUP(Orders!C2873,Products!A2873:A3372,Products!D2873:D3372,"Price Missing",0)</f>
        <v>Price Missing</v>
      </c>
      <c r="J2873" s="19">
        <f t="shared" si="44"/>
        <v>0</v>
      </c>
    </row>
    <row r="2874" spans="1:10" x14ac:dyDescent="0.35">
      <c r="A2874" s="4" t="s">
        <v>6894</v>
      </c>
      <c r="B2874" s="7" t="s">
        <v>1799</v>
      </c>
      <c r="C2874" s="7" t="s">
        <v>3094</v>
      </c>
      <c r="D2874" s="5">
        <v>7</v>
      </c>
      <c r="E2874" s="7" t="str">
        <f>_xlfn.XLOOKUP(B2874,Customers!A2874:A3873,Customers!B2874:B3873,"Customer Not Found",0)</f>
        <v>Customer Not Found</v>
      </c>
      <c r="F2874" s="7" t="str">
        <f>_xlfn.XLOOKUP(Orders!B2874,Customers!A2874:A3873,Customers!C2874:C3873,"Country not Found",0)</f>
        <v>Country not Found</v>
      </c>
      <c r="G2874" s="7" t="str">
        <f>_xlfn.XLOOKUP(C2874,Products!A2874:A3373,Products!B2874:B3373,"Product Missing",0)</f>
        <v>Product Missing</v>
      </c>
      <c r="H2874" s="7" t="str">
        <f>_xlfn.XLOOKUP(C2874,Products!A2874:A3373,Products!C2874:C3373,"Category Missing",0)</f>
        <v>Category Missing</v>
      </c>
      <c r="I2874" s="11" t="str">
        <f>_xlfn.XLOOKUP(Orders!C2874,Products!A2874:A3373,Products!D2874:D3373,"Price Missing",0)</f>
        <v>Price Missing</v>
      </c>
      <c r="J2874" s="19">
        <f t="shared" si="44"/>
        <v>0</v>
      </c>
    </row>
    <row r="2875" spans="1:10" x14ac:dyDescent="0.35">
      <c r="A2875" s="4" t="s">
        <v>6895</v>
      </c>
      <c r="B2875" s="7" t="s">
        <v>2531</v>
      </c>
      <c r="C2875" s="7" t="s">
        <v>3416</v>
      </c>
      <c r="D2875" s="5">
        <v>9</v>
      </c>
      <c r="E2875" s="7" t="str">
        <f>_xlfn.XLOOKUP(B2875,Customers!A2875:A3874,Customers!B2875:B3874,"Customer Not Found",0)</f>
        <v>Customer Not Found</v>
      </c>
      <c r="F2875" s="7" t="str">
        <f>_xlfn.XLOOKUP(Orders!B2875,Customers!A2875:A3874,Customers!C2875:C3874,"Country not Found",0)</f>
        <v>Country not Found</v>
      </c>
      <c r="G2875" s="7" t="str">
        <f>_xlfn.XLOOKUP(C2875,Products!A2875:A3374,Products!B2875:B3374,"Product Missing",0)</f>
        <v>Product Missing</v>
      </c>
      <c r="H2875" s="7" t="str">
        <f>_xlfn.XLOOKUP(C2875,Products!A2875:A3374,Products!C2875:C3374,"Category Missing",0)</f>
        <v>Category Missing</v>
      </c>
      <c r="I2875" s="11" t="str">
        <f>_xlfn.XLOOKUP(Orders!C2875,Products!A2875:A3374,Products!D2875:D3374,"Price Missing",0)</f>
        <v>Price Missing</v>
      </c>
      <c r="J2875" s="19">
        <f t="shared" si="44"/>
        <v>0</v>
      </c>
    </row>
    <row r="2876" spans="1:10" x14ac:dyDescent="0.35">
      <c r="A2876" s="4" t="s">
        <v>6896</v>
      </c>
      <c r="B2876" s="7" t="s">
        <v>2267</v>
      </c>
      <c r="C2876" s="7" t="s">
        <v>3266</v>
      </c>
      <c r="D2876" s="5">
        <v>10</v>
      </c>
      <c r="E2876" s="7" t="str">
        <f>_xlfn.XLOOKUP(B2876,Customers!A2876:A3875,Customers!B2876:B3875,"Customer Not Found",0)</f>
        <v>Customer Not Found</v>
      </c>
      <c r="F2876" s="7" t="str">
        <f>_xlfn.XLOOKUP(Orders!B2876,Customers!A2876:A3875,Customers!C2876:C3875,"Country not Found",0)</f>
        <v>Country not Found</v>
      </c>
      <c r="G2876" s="7" t="str">
        <f>_xlfn.XLOOKUP(C2876,Products!A2876:A3375,Products!B2876:B3375,"Product Missing",0)</f>
        <v>Product Missing</v>
      </c>
      <c r="H2876" s="7" t="str">
        <f>_xlfn.XLOOKUP(C2876,Products!A2876:A3375,Products!C2876:C3375,"Category Missing",0)</f>
        <v>Category Missing</v>
      </c>
      <c r="I2876" s="11" t="str">
        <f>_xlfn.XLOOKUP(Orders!C2876,Products!A2876:A3375,Products!D2876:D3375,"Price Missing",0)</f>
        <v>Price Missing</v>
      </c>
      <c r="J2876" s="19">
        <f t="shared" si="44"/>
        <v>0</v>
      </c>
    </row>
    <row r="2877" spans="1:10" x14ac:dyDescent="0.35">
      <c r="A2877" s="4" t="s">
        <v>6897</v>
      </c>
      <c r="B2877" s="7" t="s">
        <v>2426</v>
      </c>
      <c r="C2877" s="7" t="s">
        <v>3110</v>
      </c>
      <c r="D2877" s="5">
        <v>6</v>
      </c>
      <c r="E2877" s="7" t="str">
        <f>_xlfn.XLOOKUP(B2877,Customers!A2877:A3876,Customers!B2877:B3876,"Customer Not Found",0)</f>
        <v>Customer Not Found</v>
      </c>
      <c r="F2877" s="7" t="str">
        <f>_xlfn.XLOOKUP(Orders!B2877,Customers!A2877:A3876,Customers!C2877:C3876,"Country not Found",0)</f>
        <v>Country not Found</v>
      </c>
      <c r="G2877" s="7" t="str">
        <f>_xlfn.XLOOKUP(C2877,Products!A2877:A3376,Products!B2877:B3376,"Product Missing",0)</f>
        <v>Product Missing</v>
      </c>
      <c r="H2877" s="7" t="str">
        <f>_xlfn.XLOOKUP(C2877,Products!A2877:A3376,Products!C2877:C3376,"Category Missing",0)</f>
        <v>Category Missing</v>
      </c>
      <c r="I2877" s="11" t="str">
        <f>_xlfn.XLOOKUP(Orders!C2877,Products!A2877:A3376,Products!D2877:D3376,"Price Missing",0)</f>
        <v>Price Missing</v>
      </c>
      <c r="J2877" s="19">
        <f t="shared" si="44"/>
        <v>0</v>
      </c>
    </row>
    <row r="2878" spans="1:10" x14ac:dyDescent="0.35">
      <c r="A2878" s="4" t="s">
        <v>6898</v>
      </c>
      <c r="B2878" s="7" t="s">
        <v>863</v>
      </c>
      <c r="C2878" s="7" t="s">
        <v>3354</v>
      </c>
      <c r="D2878" s="5">
        <v>3</v>
      </c>
      <c r="E2878" s="7" t="str">
        <f>_xlfn.XLOOKUP(B2878,Customers!A2878:A3877,Customers!B2878:B3877,"Customer Not Found",0)</f>
        <v>Customer Not Found</v>
      </c>
      <c r="F2878" s="7" t="str">
        <f>_xlfn.XLOOKUP(Orders!B2878,Customers!A2878:A3877,Customers!C2878:C3877,"Country not Found",0)</f>
        <v>Country not Found</v>
      </c>
      <c r="G2878" s="7" t="str">
        <f>_xlfn.XLOOKUP(C2878,Products!A2878:A3377,Products!B2878:B3377,"Product Missing",0)</f>
        <v>Product Missing</v>
      </c>
      <c r="H2878" s="7" t="str">
        <f>_xlfn.XLOOKUP(C2878,Products!A2878:A3377,Products!C2878:C3377,"Category Missing",0)</f>
        <v>Category Missing</v>
      </c>
      <c r="I2878" s="11" t="str">
        <f>_xlfn.XLOOKUP(Orders!C2878,Products!A2878:A3377,Products!D2878:D3377,"Price Missing",0)</f>
        <v>Price Missing</v>
      </c>
      <c r="J2878" s="19">
        <f t="shared" si="44"/>
        <v>0</v>
      </c>
    </row>
    <row r="2879" spans="1:10" x14ac:dyDescent="0.35">
      <c r="A2879" s="4" t="s">
        <v>6899</v>
      </c>
      <c r="B2879" s="7" t="s">
        <v>2249</v>
      </c>
      <c r="C2879" s="7" t="s">
        <v>3352</v>
      </c>
      <c r="D2879" s="5">
        <v>10</v>
      </c>
      <c r="E2879" s="7" t="str">
        <f>_xlfn.XLOOKUP(B2879,Customers!A2879:A3878,Customers!B2879:B3878,"Customer Not Found",0)</f>
        <v>Customer Not Found</v>
      </c>
      <c r="F2879" s="7" t="str">
        <f>_xlfn.XLOOKUP(Orders!B2879,Customers!A2879:A3878,Customers!C2879:C3878,"Country not Found",0)</f>
        <v>Country not Found</v>
      </c>
      <c r="G2879" s="7" t="str">
        <f>_xlfn.XLOOKUP(C2879,Products!A2879:A3378,Products!B2879:B3378,"Product Missing",0)</f>
        <v>Product Missing</v>
      </c>
      <c r="H2879" s="7" t="str">
        <f>_xlfn.XLOOKUP(C2879,Products!A2879:A3378,Products!C2879:C3378,"Category Missing",0)</f>
        <v>Category Missing</v>
      </c>
      <c r="I2879" s="11" t="str">
        <f>_xlfn.XLOOKUP(Orders!C2879,Products!A2879:A3378,Products!D2879:D3378,"Price Missing",0)</f>
        <v>Price Missing</v>
      </c>
      <c r="J2879" s="19">
        <f t="shared" si="44"/>
        <v>0</v>
      </c>
    </row>
    <row r="2880" spans="1:10" x14ac:dyDescent="0.35">
      <c r="A2880" s="4" t="s">
        <v>6900</v>
      </c>
      <c r="B2880" s="7" t="s">
        <v>2948</v>
      </c>
      <c r="C2880" s="7" t="s">
        <v>3284</v>
      </c>
      <c r="D2880" s="5">
        <v>3</v>
      </c>
      <c r="E2880" s="7" t="str">
        <f>_xlfn.XLOOKUP(B2880,Customers!A2880:A3879,Customers!B2880:B3879,"Customer Not Found",0)</f>
        <v>Customer Not Found</v>
      </c>
      <c r="F2880" s="7" t="str">
        <f>_xlfn.XLOOKUP(Orders!B2880,Customers!A2880:A3879,Customers!C2880:C3879,"Country not Found",0)</f>
        <v>Country not Found</v>
      </c>
      <c r="G2880" s="7" t="str">
        <f>_xlfn.XLOOKUP(C2880,Products!A2880:A3379,Products!B2880:B3379,"Product Missing",0)</f>
        <v>Product Missing</v>
      </c>
      <c r="H2880" s="7" t="str">
        <f>_xlfn.XLOOKUP(C2880,Products!A2880:A3379,Products!C2880:C3379,"Category Missing",0)</f>
        <v>Category Missing</v>
      </c>
      <c r="I2880" s="11" t="str">
        <f>_xlfn.XLOOKUP(Orders!C2880,Products!A2880:A3379,Products!D2880:D3379,"Price Missing",0)</f>
        <v>Price Missing</v>
      </c>
      <c r="J2880" s="19">
        <f t="shared" si="44"/>
        <v>0</v>
      </c>
    </row>
    <row r="2881" spans="1:10" x14ac:dyDescent="0.35">
      <c r="A2881" s="4" t="s">
        <v>6901</v>
      </c>
      <c r="B2881" s="7" t="s">
        <v>1652</v>
      </c>
      <c r="C2881" s="7" t="s">
        <v>3326</v>
      </c>
      <c r="D2881" s="5">
        <v>2</v>
      </c>
      <c r="E2881" s="7" t="str">
        <f>_xlfn.XLOOKUP(B2881,Customers!A2881:A3880,Customers!B2881:B3880,"Customer Not Found",0)</f>
        <v>Customer Not Found</v>
      </c>
      <c r="F2881" s="7" t="str">
        <f>_xlfn.XLOOKUP(Orders!B2881,Customers!A2881:A3880,Customers!C2881:C3880,"Country not Found",0)</f>
        <v>Country not Found</v>
      </c>
      <c r="G2881" s="7" t="str">
        <f>_xlfn.XLOOKUP(C2881,Products!A2881:A3380,Products!B2881:B3380,"Product Missing",0)</f>
        <v>Product Missing</v>
      </c>
      <c r="H2881" s="7" t="str">
        <f>_xlfn.XLOOKUP(C2881,Products!A2881:A3380,Products!C2881:C3380,"Category Missing",0)</f>
        <v>Category Missing</v>
      </c>
      <c r="I2881" s="11" t="str">
        <f>_xlfn.XLOOKUP(Orders!C2881,Products!A2881:A3380,Products!D2881:D3380,"Price Missing",0)</f>
        <v>Price Missing</v>
      </c>
      <c r="J2881" s="19">
        <f t="shared" si="44"/>
        <v>0</v>
      </c>
    </row>
    <row r="2882" spans="1:10" x14ac:dyDescent="0.35">
      <c r="A2882" s="4" t="s">
        <v>6902</v>
      </c>
      <c r="B2882" s="7" t="s">
        <v>1943</v>
      </c>
      <c r="C2882" s="7" t="s">
        <v>3916</v>
      </c>
      <c r="D2882" s="5">
        <v>7</v>
      </c>
      <c r="E2882" s="7" t="str">
        <f>_xlfn.XLOOKUP(B2882,Customers!A2882:A3881,Customers!B2882:B3881,"Customer Not Found",0)</f>
        <v>Customer Not Found</v>
      </c>
      <c r="F2882" s="7" t="str">
        <f>_xlfn.XLOOKUP(Orders!B2882,Customers!A2882:A3881,Customers!C2882:C3881,"Country not Found",0)</f>
        <v>Country not Found</v>
      </c>
      <c r="G2882" s="7" t="str">
        <f>_xlfn.XLOOKUP(C2882,Products!A2882:A3381,Products!B2882:B3381,"Product Missing",0)</f>
        <v>Product Missing</v>
      </c>
      <c r="H2882" s="7" t="str">
        <f>_xlfn.XLOOKUP(C2882,Products!A2882:A3381,Products!C2882:C3381,"Category Missing",0)</f>
        <v>Category Missing</v>
      </c>
      <c r="I2882" s="11" t="str">
        <f>_xlfn.XLOOKUP(Orders!C2882,Products!A2882:A3381,Products!D2882:D3381,"Price Missing",0)</f>
        <v>Price Missing</v>
      </c>
      <c r="J2882" s="19">
        <f t="shared" si="44"/>
        <v>0</v>
      </c>
    </row>
    <row r="2883" spans="1:10" x14ac:dyDescent="0.35">
      <c r="A2883" s="4" t="s">
        <v>6903</v>
      </c>
      <c r="B2883" s="7" t="s">
        <v>2375</v>
      </c>
      <c r="C2883" s="7" t="s">
        <v>3748</v>
      </c>
      <c r="D2883" s="5">
        <v>7</v>
      </c>
      <c r="E2883" s="7" t="str">
        <f>_xlfn.XLOOKUP(B2883,Customers!A2883:A3882,Customers!B2883:B3882,"Customer Not Found",0)</f>
        <v>Customer Not Found</v>
      </c>
      <c r="F2883" s="7" t="str">
        <f>_xlfn.XLOOKUP(Orders!B2883,Customers!A2883:A3882,Customers!C2883:C3882,"Country not Found",0)</f>
        <v>Country not Found</v>
      </c>
      <c r="G2883" s="7" t="str">
        <f>_xlfn.XLOOKUP(C2883,Products!A2883:A3382,Products!B2883:B3382,"Product Missing",0)</f>
        <v>Product Missing</v>
      </c>
      <c r="H2883" s="7" t="str">
        <f>_xlfn.XLOOKUP(C2883,Products!A2883:A3382,Products!C2883:C3382,"Category Missing",0)</f>
        <v>Category Missing</v>
      </c>
      <c r="I2883" s="11" t="str">
        <f>_xlfn.XLOOKUP(Orders!C2883,Products!A2883:A3382,Products!D2883:D3382,"Price Missing",0)</f>
        <v>Price Missing</v>
      </c>
      <c r="J2883" s="19">
        <f t="shared" ref="J2883:J2946" si="45">IFERROR(I2883*D2883,0)</f>
        <v>0</v>
      </c>
    </row>
    <row r="2884" spans="1:10" x14ac:dyDescent="0.35">
      <c r="A2884" s="4" t="s">
        <v>6904</v>
      </c>
      <c r="B2884" s="7" t="s">
        <v>404</v>
      </c>
      <c r="C2884" s="7" t="s">
        <v>3966</v>
      </c>
      <c r="D2884" s="5">
        <v>6</v>
      </c>
      <c r="E2884" s="7" t="str">
        <f>_xlfn.XLOOKUP(B2884,Customers!A2884:A3883,Customers!B2884:B3883,"Customer Not Found",0)</f>
        <v>Customer Not Found</v>
      </c>
      <c r="F2884" s="7" t="str">
        <f>_xlfn.XLOOKUP(Orders!B2884,Customers!A2884:A3883,Customers!C2884:C3883,"Country not Found",0)</f>
        <v>Country not Found</v>
      </c>
      <c r="G2884" s="7" t="str">
        <f>_xlfn.XLOOKUP(C2884,Products!A2884:A3383,Products!B2884:B3383,"Product Missing",0)</f>
        <v>Product Missing</v>
      </c>
      <c r="H2884" s="7" t="str">
        <f>_xlfn.XLOOKUP(C2884,Products!A2884:A3383,Products!C2884:C3383,"Category Missing",0)</f>
        <v>Category Missing</v>
      </c>
      <c r="I2884" s="11" t="str">
        <f>_xlfn.XLOOKUP(Orders!C2884,Products!A2884:A3383,Products!D2884:D3383,"Price Missing",0)</f>
        <v>Price Missing</v>
      </c>
      <c r="J2884" s="19">
        <f t="shared" si="45"/>
        <v>0</v>
      </c>
    </row>
    <row r="2885" spans="1:10" x14ac:dyDescent="0.35">
      <c r="A2885" s="4" t="s">
        <v>6905</v>
      </c>
      <c r="B2885" s="7" t="s">
        <v>854</v>
      </c>
      <c r="C2885" s="7" t="s">
        <v>3894</v>
      </c>
      <c r="D2885" s="5">
        <v>8</v>
      </c>
      <c r="E2885" s="7" t="str">
        <f>_xlfn.XLOOKUP(B2885,Customers!A2885:A3884,Customers!B2885:B3884,"Customer Not Found",0)</f>
        <v>Customer Not Found</v>
      </c>
      <c r="F2885" s="7" t="str">
        <f>_xlfn.XLOOKUP(Orders!B2885,Customers!A2885:A3884,Customers!C2885:C3884,"Country not Found",0)</f>
        <v>Country not Found</v>
      </c>
      <c r="G2885" s="7" t="str">
        <f>_xlfn.XLOOKUP(C2885,Products!A2885:A3384,Products!B2885:B3384,"Product Missing",0)</f>
        <v>Product Missing</v>
      </c>
      <c r="H2885" s="7" t="str">
        <f>_xlfn.XLOOKUP(C2885,Products!A2885:A3384,Products!C2885:C3384,"Category Missing",0)</f>
        <v>Category Missing</v>
      </c>
      <c r="I2885" s="11" t="str">
        <f>_xlfn.XLOOKUP(Orders!C2885,Products!A2885:A3384,Products!D2885:D3384,"Price Missing",0)</f>
        <v>Price Missing</v>
      </c>
      <c r="J2885" s="19">
        <f t="shared" si="45"/>
        <v>0</v>
      </c>
    </row>
    <row r="2886" spans="1:10" x14ac:dyDescent="0.35">
      <c r="A2886" s="4" t="s">
        <v>6906</v>
      </c>
      <c r="B2886" s="7" t="s">
        <v>43</v>
      </c>
      <c r="C2886" s="7" t="s">
        <v>3536</v>
      </c>
      <c r="D2886" s="5">
        <v>3</v>
      </c>
      <c r="E2886" s="7" t="str">
        <f>_xlfn.XLOOKUP(B2886,Customers!A2886:A3885,Customers!B2886:B3885,"Customer Not Found",0)</f>
        <v>Customer Not Found</v>
      </c>
      <c r="F2886" s="7" t="str">
        <f>_xlfn.XLOOKUP(Orders!B2886,Customers!A2886:A3885,Customers!C2886:C3885,"Country not Found",0)</f>
        <v>Country not Found</v>
      </c>
      <c r="G2886" s="7" t="str">
        <f>_xlfn.XLOOKUP(C2886,Products!A2886:A3385,Products!B2886:B3385,"Product Missing",0)</f>
        <v>Product Missing</v>
      </c>
      <c r="H2886" s="7" t="str">
        <f>_xlfn.XLOOKUP(C2886,Products!A2886:A3385,Products!C2886:C3385,"Category Missing",0)</f>
        <v>Category Missing</v>
      </c>
      <c r="I2886" s="11" t="str">
        <f>_xlfn.XLOOKUP(Orders!C2886,Products!A2886:A3385,Products!D2886:D3385,"Price Missing",0)</f>
        <v>Price Missing</v>
      </c>
      <c r="J2886" s="19">
        <f t="shared" si="45"/>
        <v>0</v>
      </c>
    </row>
    <row r="2887" spans="1:10" x14ac:dyDescent="0.35">
      <c r="A2887" s="4" t="s">
        <v>6907</v>
      </c>
      <c r="B2887" s="7" t="s">
        <v>737</v>
      </c>
      <c r="C2887" s="7" t="s">
        <v>3964</v>
      </c>
      <c r="D2887" s="5">
        <v>6</v>
      </c>
      <c r="E2887" s="7" t="str">
        <f>_xlfn.XLOOKUP(B2887,Customers!A2887:A3886,Customers!B2887:B3886,"Customer Not Found",0)</f>
        <v>Customer Not Found</v>
      </c>
      <c r="F2887" s="7" t="str">
        <f>_xlfn.XLOOKUP(Orders!B2887,Customers!A2887:A3886,Customers!C2887:C3886,"Country not Found",0)</f>
        <v>Country not Found</v>
      </c>
      <c r="G2887" s="7" t="str">
        <f>_xlfn.XLOOKUP(C2887,Products!A2887:A3386,Products!B2887:B3386,"Product Missing",0)</f>
        <v>Product Missing</v>
      </c>
      <c r="H2887" s="7" t="str">
        <f>_xlfn.XLOOKUP(C2887,Products!A2887:A3386,Products!C2887:C3386,"Category Missing",0)</f>
        <v>Category Missing</v>
      </c>
      <c r="I2887" s="11" t="str">
        <f>_xlfn.XLOOKUP(Orders!C2887,Products!A2887:A3386,Products!D2887:D3386,"Price Missing",0)</f>
        <v>Price Missing</v>
      </c>
      <c r="J2887" s="19">
        <f t="shared" si="45"/>
        <v>0</v>
      </c>
    </row>
    <row r="2888" spans="1:10" x14ac:dyDescent="0.35">
      <c r="A2888" s="4" t="s">
        <v>6908</v>
      </c>
      <c r="B2888" s="7" t="s">
        <v>2336</v>
      </c>
      <c r="C2888" s="7" t="s">
        <v>3242</v>
      </c>
      <c r="D2888" s="5">
        <v>5</v>
      </c>
      <c r="E2888" s="7" t="str">
        <f>_xlfn.XLOOKUP(B2888,Customers!A2888:A3887,Customers!B2888:B3887,"Customer Not Found",0)</f>
        <v>Customer Not Found</v>
      </c>
      <c r="F2888" s="7" t="str">
        <f>_xlfn.XLOOKUP(Orders!B2888,Customers!A2888:A3887,Customers!C2888:C3887,"Country not Found",0)</f>
        <v>Country not Found</v>
      </c>
      <c r="G2888" s="7" t="str">
        <f>_xlfn.XLOOKUP(C2888,Products!A2888:A3387,Products!B2888:B3387,"Product Missing",0)</f>
        <v>Product Missing</v>
      </c>
      <c r="H2888" s="7" t="str">
        <f>_xlfn.XLOOKUP(C2888,Products!A2888:A3387,Products!C2888:C3387,"Category Missing",0)</f>
        <v>Category Missing</v>
      </c>
      <c r="I2888" s="11" t="str">
        <f>_xlfn.XLOOKUP(Orders!C2888,Products!A2888:A3387,Products!D2888:D3387,"Price Missing",0)</f>
        <v>Price Missing</v>
      </c>
      <c r="J2888" s="19">
        <f t="shared" si="45"/>
        <v>0</v>
      </c>
    </row>
    <row r="2889" spans="1:10" x14ac:dyDescent="0.35">
      <c r="A2889" s="4" t="s">
        <v>6909</v>
      </c>
      <c r="B2889" s="7" t="s">
        <v>8</v>
      </c>
      <c r="C2889" s="7" t="s">
        <v>4016</v>
      </c>
      <c r="D2889" s="5">
        <v>7</v>
      </c>
      <c r="E2889" s="7" t="str">
        <f>_xlfn.XLOOKUP(B2889,Customers!A2889:A3888,Customers!B2889:B3888,"Customer Not Found",0)</f>
        <v>Customer Not Found</v>
      </c>
      <c r="F2889" s="7" t="str">
        <f>_xlfn.XLOOKUP(Orders!B2889,Customers!A2889:A3888,Customers!C2889:C3888,"Country not Found",0)</f>
        <v>Country not Found</v>
      </c>
      <c r="G2889" s="7" t="str">
        <f>_xlfn.XLOOKUP(C2889,Products!A2889:A3388,Products!B2889:B3388,"Product Missing",0)</f>
        <v>Product Missing</v>
      </c>
      <c r="H2889" s="7" t="str">
        <f>_xlfn.XLOOKUP(C2889,Products!A2889:A3388,Products!C2889:C3388,"Category Missing",0)</f>
        <v>Category Missing</v>
      </c>
      <c r="I2889" s="11" t="str">
        <f>_xlfn.XLOOKUP(Orders!C2889,Products!A2889:A3388,Products!D2889:D3388,"Price Missing",0)</f>
        <v>Price Missing</v>
      </c>
      <c r="J2889" s="19">
        <f t="shared" si="45"/>
        <v>0</v>
      </c>
    </row>
    <row r="2890" spans="1:10" x14ac:dyDescent="0.35">
      <c r="A2890" s="4" t="s">
        <v>6910</v>
      </c>
      <c r="B2890" s="7" t="s">
        <v>677</v>
      </c>
      <c r="C2890" s="7" t="s">
        <v>3910</v>
      </c>
      <c r="D2890" s="5">
        <v>2</v>
      </c>
      <c r="E2890" s="7" t="str">
        <f>_xlfn.XLOOKUP(B2890,Customers!A2890:A3889,Customers!B2890:B3889,"Customer Not Found",0)</f>
        <v>Customer Not Found</v>
      </c>
      <c r="F2890" s="7" t="str">
        <f>_xlfn.XLOOKUP(Orders!B2890,Customers!A2890:A3889,Customers!C2890:C3889,"Country not Found",0)</f>
        <v>Country not Found</v>
      </c>
      <c r="G2890" s="7" t="str">
        <f>_xlfn.XLOOKUP(C2890,Products!A2890:A3389,Products!B2890:B3389,"Product Missing",0)</f>
        <v>Product Missing</v>
      </c>
      <c r="H2890" s="7" t="str">
        <f>_xlfn.XLOOKUP(C2890,Products!A2890:A3389,Products!C2890:C3389,"Category Missing",0)</f>
        <v>Category Missing</v>
      </c>
      <c r="I2890" s="11" t="str">
        <f>_xlfn.XLOOKUP(Orders!C2890,Products!A2890:A3389,Products!D2890:D3389,"Price Missing",0)</f>
        <v>Price Missing</v>
      </c>
      <c r="J2890" s="19">
        <f t="shared" si="45"/>
        <v>0</v>
      </c>
    </row>
    <row r="2891" spans="1:10" x14ac:dyDescent="0.35">
      <c r="A2891" s="4" t="s">
        <v>6911</v>
      </c>
      <c r="B2891" s="7" t="s">
        <v>1145</v>
      </c>
      <c r="C2891" s="7" t="s">
        <v>3214</v>
      </c>
      <c r="D2891" s="5">
        <v>3</v>
      </c>
      <c r="E2891" s="7" t="str">
        <f>_xlfn.XLOOKUP(B2891,Customers!A2891:A3890,Customers!B2891:B3890,"Customer Not Found",0)</f>
        <v>Customer Not Found</v>
      </c>
      <c r="F2891" s="7" t="str">
        <f>_xlfn.XLOOKUP(Orders!B2891,Customers!A2891:A3890,Customers!C2891:C3890,"Country not Found",0)</f>
        <v>Country not Found</v>
      </c>
      <c r="G2891" s="7" t="str">
        <f>_xlfn.XLOOKUP(C2891,Products!A2891:A3390,Products!B2891:B3390,"Product Missing",0)</f>
        <v>Product Missing</v>
      </c>
      <c r="H2891" s="7" t="str">
        <f>_xlfn.XLOOKUP(C2891,Products!A2891:A3390,Products!C2891:C3390,"Category Missing",0)</f>
        <v>Category Missing</v>
      </c>
      <c r="I2891" s="11" t="str">
        <f>_xlfn.XLOOKUP(Orders!C2891,Products!A2891:A3390,Products!D2891:D3390,"Price Missing",0)</f>
        <v>Price Missing</v>
      </c>
      <c r="J2891" s="19">
        <f t="shared" si="45"/>
        <v>0</v>
      </c>
    </row>
    <row r="2892" spans="1:10" x14ac:dyDescent="0.35">
      <c r="A2892" s="4" t="s">
        <v>6912</v>
      </c>
      <c r="B2892" s="7" t="s">
        <v>2447</v>
      </c>
      <c r="C2892" s="7" t="s">
        <v>3080</v>
      </c>
      <c r="D2892" s="5">
        <v>1</v>
      </c>
      <c r="E2892" s="7" t="str">
        <f>_xlfn.XLOOKUP(B2892,Customers!A2892:A3891,Customers!B2892:B3891,"Customer Not Found",0)</f>
        <v>Customer Not Found</v>
      </c>
      <c r="F2892" s="7" t="str">
        <f>_xlfn.XLOOKUP(Orders!B2892,Customers!A2892:A3891,Customers!C2892:C3891,"Country not Found",0)</f>
        <v>Country not Found</v>
      </c>
      <c r="G2892" s="7" t="str">
        <f>_xlfn.XLOOKUP(C2892,Products!A2892:A3391,Products!B2892:B3391,"Product Missing",0)</f>
        <v>Product Missing</v>
      </c>
      <c r="H2892" s="7" t="str">
        <f>_xlfn.XLOOKUP(C2892,Products!A2892:A3391,Products!C2892:C3391,"Category Missing",0)</f>
        <v>Category Missing</v>
      </c>
      <c r="I2892" s="11" t="str">
        <f>_xlfn.XLOOKUP(Orders!C2892,Products!A2892:A3391,Products!D2892:D3391,"Price Missing",0)</f>
        <v>Price Missing</v>
      </c>
      <c r="J2892" s="19">
        <f t="shared" si="45"/>
        <v>0</v>
      </c>
    </row>
    <row r="2893" spans="1:10" x14ac:dyDescent="0.35">
      <c r="A2893" s="4" t="s">
        <v>6913</v>
      </c>
      <c r="B2893" s="7" t="s">
        <v>212</v>
      </c>
      <c r="C2893" s="7" t="s">
        <v>3744</v>
      </c>
      <c r="D2893" s="5">
        <v>8</v>
      </c>
      <c r="E2893" s="7" t="str">
        <f>_xlfn.XLOOKUP(B2893,Customers!A2893:A3892,Customers!B2893:B3892,"Customer Not Found",0)</f>
        <v>Customer Not Found</v>
      </c>
      <c r="F2893" s="7" t="str">
        <f>_xlfn.XLOOKUP(Orders!B2893,Customers!A2893:A3892,Customers!C2893:C3892,"Country not Found",0)</f>
        <v>Country not Found</v>
      </c>
      <c r="G2893" s="7" t="str">
        <f>_xlfn.XLOOKUP(C2893,Products!A2893:A3392,Products!B2893:B3392,"Product Missing",0)</f>
        <v>Product Missing</v>
      </c>
      <c r="H2893" s="7" t="str">
        <f>_xlfn.XLOOKUP(C2893,Products!A2893:A3392,Products!C2893:C3392,"Category Missing",0)</f>
        <v>Category Missing</v>
      </c>
      <c r="I2893" s="11" t="str">
        <f>_xlfn.XLOOKUP(Orders!C2893,Products!A2893:A3392,Products!D2893:D3392,"Price Missing",0)</f>
        <v>Price Missing</v>
      </c>
      <c r="J2893" s="19">
        <f t="shared" si="45"/>
        <v>0</v>
      </c>
    </row>
    <row r="2894" spans="1:10" x14ac:dyDescent="0.35">
      <c r="A2894" s="4" t="s">
        <v>6914</v>
      </c>
      <c r="B2894" s="7" t="s">
        <v>236</v>
      </c>
      <c r="C2894" s="7" t="s">
        <v>3054</v>
      </c>
      <c r="D2894" s="5">
        <v>2</v>
      </c>
      <c r="E2894" s="7" t="str">
        <f>_xlfn.XLOOKUP(B2894,Customers!A2894:A3893,Customers!B2894:B3893,"Customer Not Found",0)</f>
        <v>Customer Not Found</v>
      </c>
      <c r="F2894" s="7" t="str">
        <f>_xlfn.XLOOKUP(Orders!B2894,Customers!A2894:A3893,Customers!C2894:C3893,"Country not Found",0)</f>
        <v>Country not Found</v>
      </c>
      <c r="G2894" s="7" t="str">
        <f>_xlfn.XLOOKUP(C2894,Products!A2894:A3393,Products!B2894:B3393,"Product Missing",0)</f>
        <v>Product Missing</v>
      </c>
      <c r="H2894" s="7" t="str">
        <f>_xlfn.XLOOKUP(C2894,Products!A2894:A3393,Products!C2894:C3393,"Category Missing",0)</f>
        <v>Category Missing</v>
      </c>
      <c r="I2894" s="11" t="str">
        <f>_xlfn.XLOOKUP(Orders!C2894,Products!A2894:A3393,Products!D2894:D3393,"Price Missing",0)</f>
        <v>Price Missing</v>
      </c>
      <c r="J2894" s="19">
        <f t="shared" si="45"/>
        <v>0</v>
      </c>
    </row>
    <row r="2895" spans="1:10" x14ac:dyDescent="0.35">
      <c r="A2895" s="4" t="s">
        <v>6915</v>
      </c>
      <c r="B2895" s="7" t="s">
        <v>761</v>
      </c>
      <c r="C2895" s="7" t="s">
        <v>3260</v>
      </c>
      <c r="D2895" s="5">
        <v>9</v>
      </c>
      <c r="E2895" s="7" t="str">
        <f>_xlfn.XLOOKUP(B2895,Customers!A2895:A3894,Customers!B2895:B3894,"Customer Not Found",0)</f>
        <v>Customer Not Found</v>
      </c>
      <c r="F2895" s="7" t="str">
        <f>_xlfn.XLOOKUP(Orders!B2895,Customers!A2895:A3894,Customers!C2895:C3894,"Country not Found",0)</f>
        <v>Country not Found</v>
      </c>
      <c r="G2895" s="7" t="str">
        <f>_xlfn.XLOOKUP(C2895,Products!A2895:A3394,Products!B2895:B3394,"Product Missing",0)</f>
        <v>Product Missing</v>
      </c>
      <c r="H2895" s="7" t="str">
        <f>_xlfn.XLOOKUP(C2895,Products!A2895:A3394,Products!C2895:C3394,"Category Missing",0)</f>
        <v>Category Missing</v>
      </c>
      <c r="I2895" s="11" t="str">
        <f>_xlfn.XLOOKUP(Orders!C2895,Products!A2895:A3394,Products!D2895:D3394,"Price Missing",0)</f>
        <v>Price Missing</v>
      </c>
      <c r="J2895" s="19">
        <f t="shared" si="45"/>
        <v>0</v>
      </c>
    </row>
    <row r="2896" spans="1:10" x14ac:dyDescent="0.35">
      <c r="A2896" s="4" t="s">
        <v>6916</v>
      </c>
      <c r="B2896" s="7" t="s">
        <v>896</v>
      </c>
      <c r="C2896" s="7" t="s">
        <v>3186</v>
      </c>
      <c r="D2896" s="5">
        <v>4</v>
      </c>
      <c r="E2896" s="7" t="str">
        <f>_xlfn.XLOOKUP(B2896,Customers!A2896:A3895,Customers!B2896:B3895,"Customer Not Found",0)</f>
        <v>Customer Not Found</v>
      </c>
      <c r="F2896" s="7" t="str">
        <f>_xlfn.XLOOKUP(Orders!B2896,Customers!A2896:A3895,Customers!C2896:C3895,"Country not Found",0)</f>
        <v>Country not Found</v>
      </c>
      <c r="G2896" s="7" t="str">
        <f>_xlfn.XLOOKUP(C2896,Products!A2896:A3395,Products!B2896:B3395,"Product Missing",0)</f>
        <v>Product Missing</v>
      </c>
      <c r="H2896" s="7" t="str">
        <f>_xlfn.XLOOKUP(C2896,Products!A2896:A3395,Products!C2896:C3395,"Category Missing",0)</f>
        <v>Category Missing</v>
      </c>
      <c r="I2896" s="11" t="str">
        <f>_xlfn.XLOOKUP(Orders!C2896,Products!A2896:A3395,Products!D2896:D3395,"Price Missing",0)</f>
        <v>Price Missing</v>
      </c>
      <c r="J2896" s="19">
        <f t="shared" si="45"/>
        <v>0</v>
      </c>
    </row>
    <row r="2897" spans="1:10" x14ac:dyDescent="0.35">
      <c r="A2897" s="4" t="s">
        <v>6917</v>
      </c>
      <c r="B2897" s="7" t="s">
        <v>2009</v>
      </c>
      <c r="C2897" s="7" t="s">
        <v>3234</v>
      </c>
      <c r="D2897" s="5">
        <v>7</v>
      </c>
      <c r="E2897" s="7" t="str">
        <f>_xlfn.XLOOKUP(B2897,Customers!A2897:A3896,Customers!B2897:B3896,"Customer Not Found",0)</f>
        <v>Customer Not Found</v>
      </c>
      <c r="F2897" s="7" t="str">
        <f>_xlfn.XLOOKUP(Orders!B2897,Customers!A2897:A3896,Customers!C2897:C3896,"Country not Found",0)</f>
        <v>Country not Found</v>
      </c>
      <c r="G2897" s="7" t="str">
        <f>_xlfn.XLOOKUP(C2897,Products!A2897:A3396,Products!B2897:B3396,"Product Missing",0)</f>
        <v>Product Missing</v>
      </c>
      <c r="H2897" s="7" t="str">
        <f>_xlfn.XLOOKUP(C2897,Products!A2897:A3396,Products!C2897:C3396,"Category Missing",0)</f>
        <v>Category Missing</v>
      </c>
      <c r="I2897" s="11" t="str">
        <f>_xlfn.XLOOKUP(Orders!C2897,Products!A2897:A3396,Products!D2897:D3396,"Price Missing",0)</f>
        <v>Price Missing</v>
      </c>
      <c r="J2897" s="19">
        <f t="shared" si="45"/>
        <v>0</v>
      </c>
    </row>
    <row r="2898" spans="1:10" x14ac:dyDescent="0.35">
      <c r="A2898" s="4" t="s">
        <v>6918</v>
      </c>
      <c r="B2898" s="7" t="s">
        <v>2195</v>
      </c>
      <c r="C2898" s="7" t="s">
        <v>3712</v>
      </c>
      <c r="D2898" s="5">
        <v>9</v>
      </c>
      <c r="E2898" s="7" t="str">
        <f>_xlfn.XLOOKUP(B2898,Customers!A2898:A3897,Customers!B2898:B3897,"Customer Not Found",0)</f>
        <v>Customer Not Found</v>
      </c>
      <c r="F2898" s="7" t="str">
        <f>_xlfn.XLOOKUP(Orders!B2898,Customers!A2898:A3897,Customers!C2898:C3897,"Country not Found",0)</f>
        <v>Country not Found</v>
      </c>
      <c r="G2898" s="7" t="str">
        <f>_xlfn.XLOOKUP(C2898,Products!A2898:A3397,Products!B2898:B3397,"Product Missing",0)</f>
        <v>Product Missing</v>
      </c>
      <c r="H2898" s="7" t="str">
        <f>_xlfn.XLOOKUP(C2898,Products!A2898:A3397,Products!C2898:C3397,"Category Missing",0)</f>
        <v>Category Missing</v>
      </c>
      <c r="I2898" s="11" t="str">
        <f>_xlfn.XLOOKUP(Orders!C2898,Products!A2898:A3397,Products!D2898:D3397,"Price Missing",0)</f>
        <v>Price Missing</v>
      </c>
      <c r="J2898" s="19">
        <f t="shared" si="45"/>
        <v>0</v>
      </c>
    </row>
    <row r="2899" spans="1:10" x14ac:dyDescent="0.35">
      <c r="A2899" s="4" t="s">
        <v>6919</v>
      </c>
      <c r="B2899" s="7" t="s">
        <v>1577</v>
      </c>
      <c r="C2899" s="7" t="s">
        <v>3358</v>
      </c>
      <c r="D2899" s="5">
        <v>2</v>
      </c>
      <c r="E2899" s="7" t="str">
        <f>_xlfn.XLOOKUP(B2899,Customers!A2899:A3898,Customers!B2899:B3898,"Customer Not Found",0)</f>
        <v>Customer Not Found</v>
      </c>
      <c r="F2899" s="7" t="str">
        <f>_xlfn.XLOOKUP(Orders!B2899,Customers!A2899:A3898,Customers!C2899:C3898,"Country not Found",0)</f>
        <v>Country not Found</v>
      </c>
      <c r="G2899" s="7" t="str">
        <f>_xlfn.XLOOKUP(C2899,Products!A2899:A3398,Products!B2899:B3398,"Product Missing",0)</f>
        <v>Product Missing</v>
      </c>
      <c r="H2899" s="7" t="str">
        <f>_xlfn.XLOOKUP(C2899,Products!A2899:A3398,Products!C2899:C3398,"Category Missing",0)</f>
        <v>Category Missing</v>
      </c>
      <c r="I2899" s="11" t="str">
        <f>_xlfn.XLOOKUP(Orders!C2899,Products!A2899:A3398,Products!D2899:D3398,"Price Missing",0)</f>
        <v>Price Missing</v>
      </c>
      <c r="J2899" s="19">
        <f t="shared" si="45"/>
        <v>0</v>
      </c>
    </row>
    <row r="2900" spans="1:10" x14ac:dyDescent="0.35">
      <c r="A2900" s="4" t="s">
        <v>6920</v>
      </c>
      <c r="B2900" s="7" t="s">
        <v>602</v>
      </c>
      <c r="C2900" s="7" t="s">
        <v>3180</v>
      </c>
      <c r="D2900" s="5">
        <v>2</v>
      </c>
      <c r="E2900" s="7" t="str">
        <f>_xlfn.XLOOKUP(B2900,Customers!A2900:A3899,Customers!B2900:B3899,"Customer Not Found",0)</f>
        <v>Customer Not Found</v>
      </c>
      <c r="F2900" s="7" t="str">
        <f>_xlfn.XLOOKUP(Orders!B2900,Customers!A2900:A3899,Customers!C2900:C3899,"Country not Found",0)</f>
        <v>Country not Found</v>
      </c>
      <c r="G2900" s="7" t="str">
        <f>_xlfn.XLOOKUP(C2900,Products!A2900:A3399,Products!B2900:B3399,"Product Missing",0)</f>
        <v>Product Missing</v>
      </c>
      <c r="H2900" s="7" t="str">
        <f>_xlfn.XLOOKUP(C2900,Products!A2900:A3399,Products!C2900:C3399,"Category Missing",0)</f>
        <v>Category Missing</v>
      </c>
      <c r="I2900" s="11" t="str">
        <f>_xlfn.XLOOKUP(Orders!C2900,Products!A2900:A3399,Products!D2900:D3399,"Price Missing",0)</f>
        <v>Price Missing</v>
      </c>
      <c r="J2900" s="19">
        <f t="shared" si="45"/>
        <v>0</v>
      </c>
    </row>
    <row r="2901" spans="1:10" x14ac:dyDescent="0.35">
      <c r="A2901" s="4" t="s">
        <v>6921</v>
      </c>
      <c r="B2901" s="7" t="s">
        <v>701</v>
      </c>
      <c r="C2901" s="7" t="s">
        <v>3920</v>
      </c>
      <c r="D2901" s="5">
        <v>3</v>
      </c>
      <c r="E2901" s="7" t="str">
        <f>_xlfn.XLOOKUP(B2901,Customers!A2901:A3900,Customers!B2901:B3900,"Customer Not Found",0)</f>
        <v>Customer Not Found</v>
      </c>
      <c r="F2901" s="7" t="str">
        <f>_xlfn.XLOOKUP(Orders!B2901,Customers!A2901:A3900,Customers!C2901:C3900,"Country not Found",0)</f>
        <v>Country not Found</v>
      </c>
      <c r="G2901" s="7" t="str">
        <f>_xlfn.XLOOKUP(C2901,Products!A2901:A3400,Products!B2901:B3400,"Product Missing",0)</f>
        <v>Product Missing</v>
      </c>
      <c r="H2901" s="7" t="str">
        <f>_xlfn.XLOOKUP(C2901,Products!A2901:A3400,Products!C2901:C3400,"Category Missing",0)</f>
        <v>Category Missing</v>
      </c>
      <c r="I2901" s="11" t="str">
        <f>_xlfn.XLOOKUP(Orders!C2901,Products!A2901:A3400,Products!D2901:D3400,"Price Missing",0)</f>
        <v>Price Missing</v>
      </c>
      <c r="J2901" s="19">
        <f t="shared" si="45"/>
        <v>0</v>
      </c>
    </row>
    <row r="2902" spans="1:10" x14ac:dyDescent="0.35">
      <c r="A2902" s="4" t="s">
        <v>6922</v>
      </c>
      <c r="B2902" s="7" t="s">
        <v>377</v>
      </c>
      <c r="C2902" s="7" t="s">
        <v>3718</v>
      </c>
      <c r="D2902" s="5">
        <v>4</v>
      </c>
      <c r="E2902" s="7" t="str">
        <f>_xlfn.XLOOKUP(B2902,Customers!A2902:A3901,Customers!B2902:B3901,"Customer Not Found",0)</f>
        <v>Customer Not Found</v>
      </c>
      <c r="F2902" s="7" t="str">
        <f>_xlfn.XLOOKUP(Orders!B2902,Customers!A2902:A3901,Customers!C2902:C3901,"Country not Found",0)</f>
        <v>Country not Found</v>
      </c>
      <c r="G2902" s="7" t="str">
        <f>_xlfn.XLOOKUP(C2902,Products!A2902:A3401,Products!B2902:B3401,"Product Missing",0)</f>
        <v>Product Missing</v>
      </c>
      <c r="H2902" s="7" t="str">
        <f>_xlfn.XLOOKUP(C2902,Products!A2902:A3401,Products!C2902:C3401,"Category Missing",0)</f>
        <v>Category Missing</v>
      </c>
      <c r="I2902" s="11" t="str">
        <f>_xlfn.XLOOKUP(Orders!C2902,Products!A2902:A3401,Products!D2902:D3401,"Price Missing",0)</f>
        <v>Price Missing</v>
      </c>
      <c r="J2902" s="19">
        <f t="shared" si="45"/>
        <v>0</v>
      </c>
    </row>
    <row r="2903" spans="1:10" x14ac:dyDescent="0.35">
      <c r="A2903" s="4" t="s">
        <v>6923</v>
      </c>
      <c r="B2903" s="7" t="s">
        <v>1397</v>
      </c>
      <c r="C2903" s="7" t="s">
        <v>3750</v>
      </c>
      <c r="D2903" s="5">
        <v>5</v>
      </c>
      <c r="E2903" s="7" t="str">
        <f>_xlfn.XLOOKUP(B2903,Customers!A2903:A3902,Customers!B2903:B3902,"Customer Not Found",0)</f>
        <v>Customer Not Found</v>
      </c>
      <c r="F2903" s="7" t="str">
        <f>_xlfn.XLOOKUP(Orders!B2903,Customers!A2903:A3902,Customers!C2903:C3902,"Country not Found",0)</f>
        <v>Country not Found</v>
      </c>
      <c r="G2903" s="7" t="str">
        <f>_xlfn.XLOOKUP(C2903,Products!A2903:A3402,Products!B2903:B3402,"Product Missing",0)</f>
        <v>Product Missing</v>
      </c>
      <c r="H2903" s="7" t="str">
        <f>_xlfn.XLOOKUP(C2903,Products!A2903:A3402,Products!C2903:C3402,"Category Missing",0)</f>
        <v>Category Missing</v>
      </c>
      <c r="I2903" s="11" t="str">
        <f>_xlfn.XLOOKUP(Orders!C2903,Products!A2903:A3402,Products!D2903:D3402,"Price Missing",0)</f>
        <v>Price Missing</v>
      </c>
      <c r="J2903" s="19">
        <f t="shared" si="45"/>
        <v>0</v>
      </c>
    </row>
    <row r="2904" spans="1:10" x14ac:dyDescent="0.35">
      <c r="A2904" s="4" t="s">
        <v>6924</v>
      </c>
      <c r="B2904" s="7" t="s">
        <v>1508</v>
      </c>
      <c r="C2904" s="7" t="s">
        <v>3658</v>
      </c>
      <c r="D2904" s="5">
        <v>2</v>
      </c>
      <c r="E2904" s="7" t="str">
        <f>_xlfn.XLOOKUP(B2904,Customers!A2904:A3903,Customers!B2904:B3903,"Customer Not Found",0)</f>
        <v>Customer Not Found</v>
      </c>
      <c r="F2904" s="7" t="str">
        <f>_xlfn.XLOOKUP(Orders!B2904,Customers!A2904:A3903,Customers!C2904:C3903,"Country not Found",0)</f>
        <v>Country not Found</v>
      </c>
      <c r="G2904" s="7" t="str">
        <f>_xlfn.XLOOKUP(C2904,Products!A2904:A3403,Products!B2904:B3403,"Product Missing",0)</f>
        <v>Product Missing</v>
      </c>
      <c r="H2904" s="7" t="str">
        <f>_xlfn.XLOOKUP(C2904,Products!A2904:A3403,Products!C2904:C3403,"Category Missing",0)</f>
        <v>Category Missing</v>
      </c>
      <c r="I2904" s="11" t="str">
        <f>_xlfn.XLOOKUP(Orders!C2904,Products!A2904:A3403,Products!D2904:D3403,"Price Missing",0)</f>
        <v>Price Missing</v>
      </c>
      <c r="J2904" s="19">
        <f t="shared" si="45"/>
        <v>0</v>
      </c>
    </row>
    <row r="2905" spans="1:10" x14ac:dyDescent="0.35">
      <c r="A2905" s="4" t="s">
        <v>6925</v>
      </c>
      <c r="B2905" s="7" t="s">
        <v>58</v>
      </c>
      <c r="C2905" s="7" t="s">
        <v>3268</v>
      </c>
      <c r="D2905" s="5">
        <v>9</v>
      </c>
      <c r="E2905" s="7" t="str">
        <f>_xlfn.XLOOKUP(B2905,Customers!A2905:A3904,Customers!B2905:B3904,"Customer Not Found",0)</f>
        <v>Customer Not Found</v>
      </c>
      <c r="F2905" s="7" t="str">
        <f>_xlfn.XLOOKUP(Orders!B2905,Customers!A2905:A3904,Customers!C2905:C3904,"Country not Found",0)</f>
        <v>Country not Found</v>
      </c>
      <c r="G2905" s="7" t="str">
        <f>_xlfn.XLOOKUP(C2905,Products!A2905:A3404,Products!B2905:B3404,"Product Missing",0)</f>
        <v>Product Missing</v>
      </c>
      <c r="H2905" s="7" t="str">
        <f>_xlfn.XLOOKUP(C2905,Products!A2905:A3404,Products!C2905:C3404,"Category Missing",0)</f>
        <v>Category Missing</v>
      </c>
      <c r="I2905" s="11" t="str">
        <f>_xlfn.XLOOKUP(Orders!C2905,Products!A2905:A3404,Products!D2905:D3404,"Price Missing",0)</f>
        <v>Price Missing</v>
      </c>
      <c r="J2905" s="19">
        <f t="shared" si="45"/>
        <v>0</v>
      </c>
    </row>
    <row r="2906" spans="1:10" x14ac:dyDescent="0.35">
      <c r="A2906" s="4" t="s">
        <v>6926</v>
      </c>
      <c r="B2906" s="7" t="s">
        <v>266</v>
      </c>
      <c r="C2906" s="7" t="s">
        <v>3554</v>
      </c>
      <c r="D2906" s="5">
        <v>6</v>
      </c>
      <c r="E2906" s="7" t="str">
        <f>_xlfn.XLOOKUP(B2906,Customers!A2906:A3905,Customers!B2906:B3905,"Customer Not Found",0)</f>
        <v>Customer Not Found</v>
      </c>
      <c r="F2906" s="7" t="str">
        <f>_xlfn.XLOOKUP(Orders!B2906,Customers!A2906:A3905,Customers!C2906:C3905,"Country not Found",0)</f>
        <v>Country not Found</v>
      </c>
      <c r="G2906" s="7" t="str">
        <f>_xlfn.XLOOKUP(C2906,Products!A2906:A3405,Products!B2906:B3405,"Product Missing",0)</f>
        <v>Product Missing</v>
      </c>
      <c r="H2906" s="7" t="str">
        <f>_xlfn.XLOOKUP(C2906,Products!A2906:A3405,Products!C2906:C3405,"Category Missing",0)</f>
        <v>Category Missing</v>
      </c>
      <c r="I2906" s="11" t="str">
        <f>_xlfn.XLOOKUP(Orders!C2906,Products!A2906:A3405,Products!D2906:D3405,"Price Missing",0)</f>
        <v>Price Missing</v>
      </c>
      <c r="J2906" s="19">
        <f t="shared" si="45"/>
        <v>0</v>
      </c>
    </row>
    <row r="2907" spans="1:10" x14ac:dyDescent="0.35">
      <c r="A2907" s="4" t="s">
        <v>6927</v>
      </c>
      <c r="B2907" s="7" t="s">
        <v>1517</v>
      </c>
      <c r="C2907" s="7" t="s">
        <v>3994</v>
      </c>
      <c r="D2907" s="5">
        <v>5</v>
      </c>
      <c r="E2907" s="7" t="str">
        <f>_xlfn.XLOOKUP(B2907,Customers!A2907:A3906,Customers!B2907:B3906,"Customer Not Found",0)</f>
        <v>Customer Not Found</v>
      </c>
      <c r="F2907" s="7" t="str">
        <f>_xlfn.XLOOKUP(Orders!B2907,Customers!A2907:A3906,Customers!C2907:C3906,"Country not Found",0)</f>
        <v>Country not Found</v>
      </c>
      <c r="G2907" s="7" t="str">
        <f>_xlfn.XLOOKUP(C2907,Products!A2907:A3406,Products!B2907:B3406,"Product Missing",0)</f>
        <v>Product Missing</v>
      </c>
      <c r="H2907" s="7" t="str">
        <f>_xlfn.XLOOKUP(C2907,Products!A2907:A3406,Products!C2907:C3406,"Category Missing",0)</f>
        <v>Category Missing</v>
      </c>
      <c r="I2907" s="11" t="str">
        <f>_xlfn.XLOOKUP(Orders!C2907,Products!A2907:A3406,Products!D2907:D3406,"Price Missing",0)</f>
        <v>Price Missing</v>
      </c>
      <c r="J2907" s="19">
        <f t="shared" si="45"/>
        <v>0</v>
      </c>
    </row>
    <row r="2908" spans="1:10" x14ac:dyDescent="0.35">
      <c r="A2908" s="4" t="s">
        <v>6928</v>
      </c>
      <c r="B2908" s="7" t="s">
        <v>2249</v>
      </c>
      <c r="C2908" s="7" t="s">
        <v>3636</v>
      </c>
      <c r="D2908" s="5">
        <v>7</v>
      </c>
      <c r="E2908" s="7" t="str">
        <f>_xlfn.XLOOKUP(B2908,Customers!A2908:A3907,Customers!B2908:B3907,"Customer Not Found",0)</f>
        <v>Customer Not Found</v>
      </c>
      <c r="F2908" s="7" t="str">
        <f>_xlfn.XLOOKUP(Orders!B2908,Customers!A2908:A3907,Customers!C2908:C3907,"Country not Found",0)</f>
        <v>Country not Found</v>
      </c>
      <c r="G2908" s="7" t="str">
        <f>_xlfn.XLOOKUP(C2908,Products!A2908:A3407,Products!B2908:B3407,"Product Missing",0)</f>
        <v>Product Missing</v>
      </c>
      <c r="H2908" s="7" t="str">
        <f>_xlfn.XLOOKUP(C2908,Products!A2908:A3407,Products!C2908:C3407,"Category Missing",0)</f>
        <v>Category Missing</v>
      </c>
      <c r="I2908" s="11" t="str">
        <f>_xlfn.XLOOKUP(Orders!C2908,Products!A2908:A3407,Products!D2908:D3407,"Price Missing",0)</f>
        <v>Price Missing</v>
      </c>
      <c r="J2908" s="19">
        <f t="shared" si="45"/>
        <v>0</v>
      </c>
    </row>
    <row r="2909" spans="1:10" x14ac:dyDescent="0.35">
      <c r="A2909" s="4" t="s">
        <v>6929</v>
      </c>
      <c r="B2909" s="7" t="s">
        <v>884</v>
      </c>
      <c r="C2909" s="7" t="s">
        <v>3960</v>
      </c>
      <c r="D2909" s="5">
        <v>9</v>
      </c>
      <c r="E2909" s="7" t="str">
        <f>_xlfn.XLOOKUP(B2909,Customers!A2909:A3908,Customers!B2909:B3908,"Customer Not Found",0)</f>
        <v>Customer Not Found</v>
      </c>
      <c r="F2909" s="7" t="str">
        <f>_xlfn.XLOOKUP(Orders!B2909,Customers!A2909:A3908,Customers!C2909:C3908,"Country not Found",0)</f>
        <v>Country not Found</v>
      </c>
      <c r="G2909" s="7" t="str">
        <f>_xlfn.XLOOKUP(C2909,Products!A2909:A3408,Products!B2909:B3408,"Product Missing",0)</f>
        <v>Product Missing</v>
      </c>
      <c r="H2909" s="7" t="str">
        <f>_xlfn.XLOOKUP(C2909,Products!A2909:A3408,Products!C2909:C3408,"Category Missing",0)</f>
        <v>Category Missing</v>
      </c>
      <c r="I2909" s="11" t="str">
        <f>_xlfn.XLOOKUP(Orders!C2909,Products!A2909:A3408,Products!D2909:D3408,"Price Missing",0)</f>
        <v>Price Missing</v>
      </c>
      <c r="J2909" s="19">
        <f t="shared" si="45"/>
        <v>0</v>
      </c>
    </row>
    <row r="2910" spans="1:10" x14ac:dyDescent="0.35">
      <c r="A2910" s="4" t="s">
        <v>6930</v>
      </c>
      <c r="B2910" s="7" t="s">
        <v>2243</v>
      </c>
      <c r="C2910" s="7" t="s">
        <v>3566</v>
      </c>
      <c r="D2910" s="5">
        <v>5</v>
      </c>
      <c r="E2910" s="7" t="str">
        <f>_xlfn.XLOOKUP(B2910,Customers!A2910:A3909,Customers!B2910:B3909,"Customer Not Found",0)</f>
        <v>Customer Not Found</v>
      </c>
      <c r="F2910" s="7" t="str">
        <f>_xlfn.XLOOKUP(Orders!B2910,Customers!A2910:A3909,Customers!C2910:C3909,"Country not Found",0)</f>
        <v>Country not Found</v>
      </c>
      <c r="G2910" s="7" t="str">
        <f>_xlfn.XLOOKUP(C2910,Products!A2910:A3409,Products!B2910:B3409,"Product Missing",0)</f>
        <v>Product Missing</v>
      </c>
      <c r="H2910" s="7" t="str">
        <f>_xlfn.XLOOKUP(C2910,Products!A2910:A3409,Products!C2910:C3409,"Category Missing",0)</f>
        <v>Category Missing</v>
      </c>
      <c r="I2910" s="11" t="str">
        <f>_xlfn.XLOOKUP(Orders!C2910,Products!A2910:A3409,Products!D2910:D3409,"Price Missing",0)</f>
        <v>Price Missing</v>
      </c>
      <c r="J2910" s="19">
        <f t="shared" si="45"/>
        <v>0</v>
      </c>
    </row>
    <row r="2911" spans="1:10" x14ac:dyDescent="0.35">
      <c r="A2911" s="4" t="s">
        <v>6931</v>
      </c>
      <c r="B2911" s="7" t="s">
        <v>824</v>
      </c>
      <c r="C2911" s="7" t="s">
        <v>3114</v>
      </c>
      <c r="D2911" s="5">
        <v>9</v>
      </c>
      <c r="E2911" s="7" t="str">
        <f>_xlfn.XLOOKUP(B2911,Customers!A2911:A3910,Customers!B2911:B3910,"Customer Not Found",0)</f>
        <v>Customer Not Found</v>
      </c>
      <c r="F2911" s="7" t="str">
        <f>_xlfn.XLOOKUP(Orders!B2911,Customers!A2911:A3910,Customers!C2911:C3910,"Country not Found",0)</f>
        <v>Country not Found</v>
      </c>
      <c r="G2911" s="7" t="str">
        <f>_xlfn.XLOOKUP(C2911,Products!A2911:A3410,Products!B2911:B3410,"Product Missing",0)</f>
        <v>Product Missing</v>
      </c>
      <c r="H2911" s="7" t="str">
        <f>_xlfn.XLOOKUP(C2911,Products!A2911:A3410,Products!C2911:C3410,"Category Missing",0)</f>
        <v>Category Missing</v>
      </c>
      <c r="I2911" s="11" t="str">
        <f>_xlfn.XLOOKUP(Orders!C2911,Products!A2911:A3410,Products!D2911:D3410,"Price Missing",0)</f>
        <v>Price Missing</v>
      </c>
      <c r="J2911" s="19">
        <f t="shared" si="45"/>
        <v>0</v>
      </c>
    </row>
    <row r="2912" spans="1:10" x14ac:dyDescent="0.35">
      <c r="A2912" s="4" t="s">
        <v>6932</v>
      </c>
      <c r="B2912" s="7" t="s">
        <v>1133</v>
      </c>
      <c r="C2912" s="7" t="s">
        <v>3804</v>
      </c>
      <c r="D2912" s="5">
        <v>6</v>
      </c>
      <c r="E2912" s="7" t="str">
        <f>_xlfn.XLOOKUP(B2912,Customers!A2912:A3911,Customers!B2912:B3911,"Customer Not Found",0)</f>
        <v>Customer Not Found</v>
      </c>
      <c r="F2912" s="7" t="str">
        <f>_xlfn.XLOOKUP(Orders!B2912,Customers!A2912:A3911,Customers!C2912:C3911,"Country not Found",0)</f>
        <v>Country not Found</v>
      </c>
      <c r="G2912" s="7" t="str">
        <f>_xlfn.XLOOKUP(C2912,Products!A2912:A3411,Products!B2912:B3411,"Product Missing",0)</f>
        <v>Product Missing</v>
      </c>
      <c r="H2912" s="7" t="str">
        <f>_xlfn.XLOOKUP(C2912,Products!A2912:A3411,Products!C2912:C3411,"Category Missing",0)</f>
        <v>Category Missing</v>
      </c>
      <c r="I2912" s="11" t="str">
        <f>_xlfn.XLOOKUP(Orders!C2912,Products!A2912:A3411,Products!D2912:D3411,"Price Missing",0)</f>
        <v>Price Missing</v>
      </c>
      <c r="J2912" s="19">
        <f t="shared" si="45"/>
        <v>0</v>
      </c>
    </row>
    <row r="2913" spans="1:10" x14ac:dyDescent="0.35">
      <c r="A2913" s="4" t="s">
        <v>6933</v>
      </c>
      <c r="B2913" s="7" t="s">
        <v>872</v>
      </c>
      <c r="C2913" s="7" t="s">
        <v>3512</v>
      </c>
      <c r="D2913" s="5">
        <v>2</v>
      </c>
      <c r="E2913" s="7" t="str">
        <f>_xlfn.XLOOKUP(B2913,Customers!A2913:A3912,Customers!B2913:B3912,"Customer Not Found",0)</f>
        <v>Customer Not Found</v>
      </c>
      <c r="F2913" s="7" t="str">
        <f>_xlfn.XLOOKUP(Orders!B2913,Customers!A2913:A3912,Customers!C2913:C3912,"Country not Found",0)</f>
        <v>Country not Found</v>
      </c>
      <c r="G2913" s="7" t="str">
        <f>_xlfn.XLOOKUP(C2913,Products!A2913:A3412,Products!B2913:B3412,"Product Missing",0)</f>
        <v>Product Missing</v>
      </c>
      <c r="H2913" s="7" t="str">
        <f>_xlfn.XLOOKUP(C2913,Products!A2913:A3412,Products!C2913:C3412,"Category Missing",0)</f>
        <v>Category Missing</v>
      </c>
      <c r="I2913" s="11" t="str">
        <f>_xlfn.XLOOKUP(Orders!C2913,Products!A2913:A3412,Products!D2913:D3412,"Price Missing",0)</f>
        <v>Price Missing</v>
      </c>
      <c r="J2913" s="19">
        <f t="shared" si="45"/>
        <v>0</v>
      </c>
    </row>
    <row r="2914" spans="1:10" x14ac:dyDescent="0.35">
      <c r="A2914" s="4" t="s">
        <v>6934</v>
      </c>
      <c r="B2914" s="7" t="s">
        <v>161</v>
      </c>
      <c r="C2914" s="7" t="s">
        <v>3782</v>
      </c>
      <c r="D2914" s="5">
        <v>7</v>
      </c>
      <c r="E2914" s="7" t="str">
        <f>_xlfn.XLOOKUP(B2914,Customers!A2914:A3913,Customers!B2914:B3913,"Customer Not Found",0)</f>
        <v>Customer Not Found</v>
      </c>
      <c r="F2914" s="7" t="str">
        <f>_xlfn.XLOOKUP(Orders!B2914,Customers!A2914:A3913,Customers!C2914:C3913,"Country not Found",0)</f>
        <v>Country not Found</v>
      </c>
      <c r="G2914" s="7" t="str">
        <f>_xlfn.XLOOKUP(C2914,Products!A2914:A3413,Products!B2914:B3413,"Product Missing",0)</f>
        <v>Product Missing</v>
      </c>
      <c r="H2914" s="7" t="str">
        <f>_xlfn.XLOOKUP(C2914,Products!A2914:A3413,Products!C2914:C3413,"Category Missing",0)</f>
        <v>Category Missing</v>
      </c>
      <c r="I2914" s="11" t="str">
        <f>_xlfn.XLOOKUP(Orders!C2914,Products!A2914:A3413,Products!D2914:D3413,"Price Missing",0)</f>
        <v>Price Missing</v>
      </c>
      <c r="J2914" s="19">
        <f t="shared" si="45"/>
        <v>0</v>
      </c>
    </row>
    <row r="2915" spans="1:10" x14ac:dyDescent="0.35">
      <c r="A2915" s="4" t="s">
        <v>6935</v>
      </c>
      <c r="B2915" s="7" t="s">
        <v>194</v>
      </c>
      <c r="C2915" s="7" t="s">
        <v>3594</v>
      </c>
      <c r="D2915" s="5">
        <v>5</v>
      </c>
      <c r="E2915" s="7" t="str">
        <f>_xlfn.XLOOKUP(B2915,Customers!A2915:A3914,Customers!B2915:B3914,"Customer Not Found",0)</f>
        <v>Customer Not Found</v>
      </c>
      <c r="F2915" s="7" t="str">
        <f>_xlfn.XLOOKUP(Orders!B2915,Customers!A2915:A3914,Customers!C2915:C3914,"Country not Found",0)</f>
        <v>Country not Found</v>
      </c>
      <c r="G2915" s="7" t="str">
        <f>_xlfn.XLOOKUP(C2915,Products!A2915:A3414,Products!B2915:B3414,"Product Missing",0)</f>
        <v>Product Missing</v>
      </c>
      <c r="H2915" s="7" t="str">
        <f>_xlfn.XLOOKUP(C2915,Products!A2915:A3414,Products!C2915:C3414,"Category Missing",0)</f>
        <v>Category Missing</v>
      </c>
      <c r="I2915" s="11" t="str">
        <f>_xlfn.XLOOKUP(Orders!C2915,Products!A2915:A3414,Products!D2915:D3414,"Price Missing",0)</f>
        <v>Price Missing</v>
      </c>
      <c r="J2915" s="19">
        <f t="shared" si="45"/>
        <v>0</v>
      </c>
    </row>
    <row r="2916" spans="1:10" x14ac:dyDescent="0.35">
      <c r="A2916" s="4" t="s">
        <v>6936</v>
      </c>
      <c r="B2916" s="7" t="s">
        <v>1766</v>
      </c>
      <c r="C2916" s="7" t="s">
        <v>3876</v>
      </c>
      <c r="D2916" s="5">
        <v>3</v>
      </c>
      <c r="E2916" s="7" t="str">
        <f>_xlfn.XLOOKUP(B2916,Customers!A2916:A3915,Customers!B2916:B3915,"Customer Not Found",0)</f>
        <v>Customer Not Found</v>
      </c>
      <c r="F2916" s="7" t="str">
        <f>_xlfn.XLOOKUP(Orders!B2916,Customers!A2916:A3915,Customers!C2916:C3915,"Country not Found",0)</f>
        <v>Country not Found</v>
      </c>
      <c r="G2916" s="7" t="str">
        <f>_xlfn.XLOOKUP(C2916,Products!A2916:A3415,Products!B2916:B3415,"Product Missing",0)</f>
        <v>Product Missing</v>
      </c>
      <c r="H2916" s="7" t="str">
        <f>_xlfn.XLOOKUP(C2916,Products!A2916:A3415,Products!C2916:C3415,"Category Missing",0)</f>
        <v>Category Missing</v>
      </c>
      <c r="I2916" s="11" t="str">
        <f>_xlfn.XLOOKUP(Orders!C2916,Products!A2916:A3415,Products!D2916:D3415,"Price Missing",0)</f>
        <v>Price Missing</v>
      </c>
      <c r="J2916" s="19">
        <f t="shared" si="45"/>
        <v>0</v>
      </c>
    </row>
    <row r="2917" spans="1:10" x14ac:dyDescent="0.35">
      <c r="A2917" s="4" t="s">
        <v>6937</v>
      </c>
      <c r="B2917" s="7" t="s">
        <v>1157</v>
      </c>
      <c r="C2917" s="7" t="s">
        <v>3184</v>
      </c>
      <c r="D2917" s="5">
        <v>9</v>
      </c>
      <c r="E2917" s="7" t="str">
        <f>_xlfn.XLOOKUP(B2917,Customers!A2917:A3916,Customers!B2917:B3916,"Customer Not Found",0)</f>
        <v>Customer Not Found</v>
      </c>
      <c r="F2917" s="7" t="str">
        <f>_xlfn.XLOOKUP(Orders!B2917,Customers!A2917:A3916,Customers!C2917:C3916,"Country not Found",0)</f>
        <v>Country not Found</v>
      </c>
      <c r="G2917" s="7" t="str">
        <f>_xlfn.XLOOKUP(C2917,Products!A2917:A3416,Products!B2917:B3416,"Product Missing",0)</f>
        <v>Product Missing</v>
      </c>
      <c r="H2917" s="7" t="str">
        <f>_xlfn.XLOOKUP(C2917,Products!A2917:A3416,Products!C2917:C3416,"Category Missing",0)</f>
        <v>Category Missing</v>
      </c>
      <c r="I2917" s="11" t="str">
        <f>_xlfn.XLOOKUP(Orders!C2917,Products!A2917:A3416,Products!D2917:D3416,"Price Missing",0)</f>
        <v>Price Missing</v>
      </c>
      <c r="J2917" s="19">
        <f t="shared" si="45"/>
        <v>0</v>
      </c>
    </row>
    <row r="2918" spans="1:10" x14ac:dyDescent="0.35">
      <c r="A2918" s="4" t="s">
        <v>6938</v>
      </c>
      <c r="B2918" s="7" t="s">
        <v>1676</v>
      </c>
      <c r="C2918" s="7" t="s">
        <v>3720</v>
      </c>
      <c r="D2918" s="5">
        <v>3</v>
      </c>
      <c r="E2918" s="7" t="str">
        <f>_xlfn.XLOOKUP(B2918,Customers!A2918:A3917,Customers!B2918:B3917,"Customer Not Found",0)</f>
        <v>Customer Not Found</v>
      </c>
      <c r="F2918" s="7" t="str">
        <f>_xlfn.XLOOKUP(Orders!B2918,Customers!A2918:A3917,Customers!C2918:C3917,"Country not Found",0)</f>
        <v>Country not Found</v>
      </c>
      <c r="G2918" s="7" t="str">
        <f>_xlfn.XLOOKUP(C2918,Products!A2918:A3417,Products!B2918:B3417,"Product Missing",0)</f>
        <v>Product Missing</v>
      </c>
      <c r="H2918" s="7" t="str">
        <f>_xlfn.XLOOKUP(C2918,Products!A2918:A3417,Products!C2918:C3417,"Category Missing",0)</f>
        <v>Category Missing</v>
      </c>
      <c r="I2918" s="11" t="str">
        <f>_xlfn.XLOOKUP(Orders!C2918,Products!A2918:A3417,Products!D2918:D3417,"Price Missing",0)</f>
        <v>Price Missing</v>
      </c>
      <c r="J2918" s="19">
        <f t="shared" si="45"/>
        <v>0</v>
      </c>
    </row>
    <row r="2919" spans="1:10" x14ac:dyDescent="0.35">
      <c r="A2919" s="4" t="s">
        <v>6939</v>
      </c>
      <c r="B2919" s="7" t="s">
        <v>1757</v>
      </c>
      <c r="C2919" s="7" t="s">
        <v>3322</v>
      </c>
      <c r="D2919" s="5">
        <v>5</v>
      </c>
      <c r="E2919" s="7" t="str">
        <f>_xlfn.XLOOKUP(B2919,Customers!A2919:A3918,Customers!B2919:B3918,"Customer Not Found",0)</f>
        <v>Customer Not Found</v>
      </c>
      <c r="F2919" s="7" t="str">
        <f>_xlfn.XLOOKUP(Orders!B2919,Customers!A2919:A3918,Customers!C2919:C3918,"Country not Found",0)</f>
        <v>Country not Found</v>
      </c>
      <c r="G2919" s="7" t="str">
        <f>_xlfn.XLOOKUP(C2919,Products!A2919:A3418,Products!B2919:B3418,"Product Missing",0)</f>
        <v>Product Missing</v>
      </c>
      <c r="H2919" s="7" t="str">
        <f>_xlfn.XLOOKUP(C2919,Products!A2919:A3418,Products!C2919:C3418,"Category Missing",0)</f>
        <v>Category Missing</v>
      </c>
      <c r="I2919" s="11" t="str">
        <f>_xlfn.XLOOKUP(Orders!C2919,Products!A2919:A3418,Products!D2919:D3418,"Price Missing",0)</f>
        <v>Price Missing</v>
      </c>
      <c r="J2919" s="19">
        <f t="shared" si="45"/>
        <v>0</v>
      </c>
    </row>
    <row r="2920" spans="1:10" x14ac:dyDescent="0.35">
      <c r="A2920" s="4" t="s">
        <v>6940</v>
      </c>
      <c r="B2920" s="7" t="s">
        <v>2474</v>
      </c>
      <c r="C2920" s="7" t="s">
        <v>3688</v>
      </c>
      <c r="D2920" s="5">
        <v>4</v>
      </c>
      <c r="E2920" s="7" t="str">
        <f>_xlfn.XLOOKUP(B2920,Customers!A2920:A3919,Customers!B2920:B3919,"Customer Not Found",0)</f>
        <v>Customer Not Found</v>
      </c>
      <c r="F2920" s="7" t="str">
        <f>_xlfn.XLOOKUP(Orders!B2920,Customers!A2920:A3919,Customers!C2920:C3919,"Country not Found",0)</f>
        <v>Country not Found</v>
      </c>
      <c r="G2920" s="7" t="str">
        <f>_xlfn.XLOOKUP(C2920,Products!A2920:A3419,Products!B2920:B3419,"Product Missing",0)</f>
        <v>Product Missing</v>
      </c>
      <c r="H2920" s="7" t="str">
        <f>_xlfn.XLOOKUP(C2920,Products!A2920:A3419,Products!C2920:C3419,"Category Missing",0)</f>
        <v>Category Missing</v>
      </c>
      <c r="I2920" s="11" t="str">
        <f>_xlfn.XLOOKUP(Orders!C2920,Products!A2920:A3419,Products!D2920:D3419,"Price Missing",0)</f>
        <v>Price Missing</v>
      </c>
      <c r="J2920" s="19">
        <f t="shared" si="45"/>
        <v>0</v>
      </c>
    </row>
    <row r="2921" spans="1:10" x14ac:dyDescent="0.35">
      <c r="A2921" s="4" t="s">
        <v>6941</v>
      </c>
      <c r="B2921" s="7" t="s">
        <v>935</v>
      </c>
      <c r="C2921" s="7" t="s">
        <v>3544</v>
      </c>
      <c r="D2921" s="5">
        <v>3</v>
      </c>
      <c r="E2921" s="7" t="str">
        <f>_xlfn.XLOOKUP(B2921,Customers!A2921:A3920,Customers!B2921:B3920,"Customer Not Found",0)</f>
        <v>Customer Not Found</v>
      </c>
      <c r="F2921" s="7" t="str">
        <f>_xlfn.XLOOKUP(Orders!B2921,Customers!A2921:A3920,Customers!C2921:C3920,"Country not Found",0)</f>
        <v>Country not Found</v>
      </c>
      <c r="G2921" s="7" t="str">
        <f>_xlfn.XLOOKUP(C2921,Products!A2921:A3420,Products!B2921:B3420,"Product Missing",0)</f>
        <v>Product Missing</v>
      </c>
      <c r="H2921" s="7" t="str">
        <f>_xlfn.XLOOKUP(C2921,Products!A2921:A3420,Products!C2921:C3420,"Category Missing",0)</f>
        <v>Category Missing</v>
      </c>
      <c r="I2921" s="11" t="str">
        <f>_xlfn.XLOOKUP(Orders!C2921,Products!A2921:A3420,Products!D2921:D3420,"Price Missing",0)</f>
        <v>Price Missing</v>
      </c>
      <c r="J2921" s="19">
        <f t="shared" si="45"/>
        <v>0</v>
      </c>
    </row>
    <row r="2922" spans="1:10" x14ac:dyDescent="0.35">
      <c r="A2922" s="4" t="s">
        <v>6942</v>
      </c>
      <c r="B2922" s="7" t="s">
        <v>980</v>
      </c>
      <c r="C2922" s="7" t="s">
        <v>3486</v>
      </c>
      <c r="D2922" s="5">
        <v>3</v>
      </c>
      <c r="E2922" s="7" t="str">
        <f>_xlfn.XLOOKUP(B2922,Customers!A2922:A3921,Customers!B2922:B3921,"Customer Not Found",0)</f>
        <v>Customer Not Found</v>
      </c>
      <c r="F2922" s="7" t="str">
        <f>_xlfn.XLOOKUP(Orders!B2922,Customers!A2922:A3921,Customers!C2922:C3921,"Country not Found",0)</f>
        <v>Country not Found</v>
      </c>
      <c r="G2922" s="7" t="str">
        <f>_xlfn.XLOOKUP(C2922,Products!A2922:A3421,Products!B2922:B3421,"Product Missing",0)</f>
        <v>Product Missing</v>
      </c>
      <c r="H2922" s="7" t="str">
        <f>_xlfn.XLOOKUP(C2922,Products!A2922:A3421,Products!C2922:C3421,"Category Missing",0)</f>
        <v>Category Missing</v>
      </c>
      <c r="I2922" s="11" t="str">
        <f>_xlfn.XLOOKUP(Orders!C2922,Products!A2922:A3421,Products!D2922:D3421,"Price Missing",0)</f>
        <v>Price Missing</v>
      </c>
      <c r="J2922" s="19">
        <f t="shared" si="45"/>
        <v>0</v>
      </c>
    </row>
    <row r="2923" spans="1:10" x14ac:dyDescent="0.35">
      <c r="A2923" s="4" t="s">
        <v>6943</v>
      </c>
      <c r="B2923" s="7" t="s">
        <v>1706</v>
      </c>
      <c r="C2923" s="7" t="s">
        <v>3608</v>
      </c>
      <c r="D2923" s="5">
        <v>1</v>
      </c>
      <c r="E2923" s="7" t="str">
        <f>_xlfn.XLOOKUP(B2923,Customers!A2923:A3922,Customers!B2923:B3922,"Customer Not Found",0)</f>
        <v>Customer Not Found</v>
      </c>
      <c r="F2923" s="7" t="str">
        <f>_xlfn.XLOOKUP(Orders!B2923,Customers!A2923:A3922,Customers!C2923:C3922,"Country not Found",0)</f>
        <v>Country not Found</v>
      </c>
      <c r="G2923" s="7" t="str">
        <f>_xlfn.XLOOKUP(C2923,Products!A2923:A3422,Products!B2923:B3422,"Product Missing",0)</f>
        <v>Product Missing</v>
      </c>
      <c r="H2923" s="7" t="str">
        <f>_xlfn.XLOOKUP(C2923,Products!A2923:A3422,Products!C2923:C3422,"Category Missing",0)</f>
        <v>Category Missing</v>
      </c>
      <c r="I2923" s="11" t="str">
        <f>_xlfn.XLOOKUP(Orders!C2923,Products!A2923:A3422,Products!D2923:D3422,"Price Missing",0)</f>
        <v>Price Missing</v>
      </c>
      <c r="J2923" s="19">
        <f t="shared" si="45"/>
        <v>0</v>
      </c>
    </row>
    <row r="2924" spans="1:10" x14ac:dyDescent="0.35">
      <c r="A2924" s="4" t="s">
        <v>6944</v>
      </c>
      <c r="B2924" s="7" t="s">
        <v>2567</v>
      </c>
      <c r="C2924" s="7" t="s">
        <v>3868</v>
      </c>
      <c r="D2924" s="5">
        <v>4</v>
      </c>
      <c r="E2924" s="7" t="str">
        <f>_xlfn.XLOOKUP(B2924,Customers!A2924:A3923,Customers!B2924:B3923,"Customer Not Found",0)</f>
        <v>Customer Not Found</v>
      </c>
      <c r="F2924" s="7" t="str">
        <f>_xlfn.XLOOKUP(Orders!B2924,Customers!A2924:A3923,Customers!C2924:C3923,"Country not Found",0)</f>
        <v>Country not Found</v>
      </c>
      <c r="G2924" s="7" t="str">
        <f>_xlfn.XLOOKUP(C2924,Products!A2924:A3423,Products!B2924:B3423,"Product Missing",0)</f>
        <v>Product Missing</v>
      </c>
      <c r="H2924" s="7" t="str">
        <f>_xlfn.XLOOKUP(C2924,Products!A2924:A3423,Products!C2924:C3423,"Category Missing",0)</f>
        <v>Category Missing</v>
      </c>
      <c r="I2924" s="11" t="str">
        <f>_xlfn.XLOOKUP(Orders!C2924,Products!A2924:A3423,Products!D2924:D3423,"Price Missing",0)</f>
        <v>Price Missing</v>
      </c>
      <c r="J2924" s="19">
        <f t="shared" si="45"/>
        <v>0</v>
      </c>
    </row>
    <row r="2925" spans="1:10" x14ac:dyDescent="0.35">
      <c r="A2925" s="4" t="s">
        <v>6945</v>
      </c>
      <c r="B2925" s="7" t="s">
        <v>305</v>
      </c>
      <c r="C2925" s="7" t="s">
        <v>3402</v>
      </c>
      <c r="D2925" s="5">
        <v>2</v>
      </c>
      <c r="E2925" s="7" t="str">
        <f>_xlfn.XLOOKUP(B2925,Customers!A2925:A3924,Customers!B2925:B3924,"Customer Not Found",0)</f>
        <v>Customer Not Found</v>
      </c>
      <c r="F2925" s="7" t="str">
        <f>_xlfn.XLOOKUP(Orders!B2925,Customers!A2925:A3924,Customers!C2925:C3924,"Country not Found",0)</f>
        <v>Country not Found</v>
      </c>
      <c r="G2925" s="7" t="str">
        <f>_xlfn.XLOOKUP(C2925,Products!A2925:A3424,Products!B2925:B3424,"Product Missing",0)</f>
        <v>Product Missing</v>
      </c>
      <c r="H2925" s="7" t="str">
        <f>_xlfn.XLOOKUP(C2925,Products!A2925:A3424,Products!C2925:C3424,"Category Missing",0)</f>
        <v>Category Missing</v>
      </c>
      <c r="I2925" s="11" t="str">
        <f>_xlfn.XLOOKUP(Orders!C2925,Products!A2925:A3424,Products!D2925:D3424,"Price Missing",0)</f>
        <v>Price Missing</v>
      </c>
      <c r="J2925" s="19">
        <f t="shared" si="45"/>
        <v>0</v>
      </c>
    </row>
    <row r="2926" spans="1:10" x14ac:dyDescent="0.35">
      <c r="A2926" s="4" t="s">
        <v>6946</v>
      </c>
      <c r="B2926" s="7" t="s">
        <v>692</v>
      </c>
      <c r="C2926" s="7" t="s">
        <v>3868</v>
      </c>
      <c r="D2926" s="5">
        <v>3</v>
      </c>
      <c r="E2926" s="7" t="str">
        <f>_xlfn.XLOOKUP(B2926,Customers!A2926:A3925,Customers!B2926:B3925,"Customer Not Found",0)</f>
        <v>Customer Not Found</v>
      </c>
      <c r="F2926" s="7" t="str">
        <f>_xlfn.XLOOKUP(Orders!B2926,Customers!A2926:A3925,Customers!C2926:C3925,"Country not Found",0)</f>
        <v>Country not Found</v>
      </c>
      <c r="G2926" s="7" t="str">
        <f>_xlfn.XLOOKUP(C2926,Products!A2926:A3425,Products!B2926:B3425,"Product Missing",0)</f>
        <v>Product Missing</v>
      </c>
      <c r="H2926" s="7" t="str">
        <f>_xlfn.XLOOKUP(C2926,Products!A2926:A3425,Products!C2926:C3425,"Category Missing",0)</f>
        <v>Category Missing</v>
      </c>
      <c r="I2926" s="11" t="str">
        <f>_xlfn.XLOOKUP(Orders!C2926,Products!A2926:A3425,Products!D2926:D3425,"Price Missing",0)</f>
        <v>Price Missing</v>
      </c>
      <c r="J2926" s="19">
        <f t="shared" si="45"/>
        <v>0</v>
      </c>
    </row>
    <row r="2927" spans="1:10" x14ac:dyDescent="0.35">
      <c r="A2927" s="4" t="s">
        <v>6947</v>
      </c>
      <c r="B2927" s="7" t="s">
        <v>1109</v>
      </c>
      <c r="C2927" s="7" t="s">
        <v>3058</v>
      </c>
      <c r="D2927" s="5">
        <v>8</v>
      </c>
      <c r="E2927" s="7" t="str">
        <f>_xlfn.XLOOKUP(B2927,Customers!A2927:A3926,Customers!B2927:B3926,"Customer Not Found",0)</f>
        <v>Customer Not Found</v>
      </c>
      <c r="F2927" s="7" t="str">
        <f>_xlfn.XLOOKUP(Orders!B2927,Customers!A2927:A3926,Customers!C2927:C3926,"Country not Found",0)</f>
        <v>Country not Found</v>
      </c>
      <c r="G2927" s="7" t="str">
        <f>_xlfn.XLOOKUP(C2927,Products!A2927:A3426,Products!B2927:B3426,"Product Missing",0)</f>
        <v>Product Missing</v>
      </c>
      <c r="H2927" s="7" t="str">
        <f>_xlfn.XLOOKUP(C2927,Products!A2927:A3426,Products!C2927:C3426,"Category Missing",0)</f>
        <v>Category Missing</v>
      </c>
      <c r="I2927" s="11" t="str">
        <f>_xlfn.XLOOKUP(Orders!C2927,Products!A2927:A3426,Products!D2927:D3426,"Price Missing",0)</f>
        <v>Price Missing</v>
      </c>
      <c r="J2927" s="19">
        <f t="shared" si="45"/>
        <v>0</v>
      </c>
    </row>
    <row r="2928" spans="1:10" x14ac:dyDescent="0.35">
      <c r="A2928" s="4" t="s">
        <v>6948</v>
      </c>
      <c r="B2928" s="7" t="s">
        <v>2543</v>
      </c>
      <c r="C2928" s="7" t="s">
        <v>3230</v>
      </c>
      <c r="D2928" s="5">
        <v>6</v>
      </c>
      <c r="E2928" s="7" t="str">
        <f>_xlfn.XLOOKUP(B2928,Customers!A2928:A3927,Customers!B2928:B3927,"Customer Not Found",0)</f>
        <v>Customer Not Found</v>
      </c>
      <c r="F2928" s="7" t="str">
        <f>_xlfn.XLOOKUP(Orders!B2928,Customers!A2928:A3927,Customers!C2928:C3927,"Country not Found",0)</f>
        <v>Country not Found</v>
      </c>
      <c r="G2928" s="7" t="str">
        <f>_xlfn.XLOOKUP(C2928,Products!A2928:A3427,Products!B2928:B3427,"Product Missing",0)</f>
        <v>Product Missing</v>
      </c>
      <c r="H2928" s="7" t="str">
        <f>_xlfn.XLOOKUP(C2928,Products!A2928:A3427,Products!C2928:C3427,"Category Missing",0)</f>
        <v>Category Missing</v>
      </c>
      <c r="I2928" s="11" t="str">
        <f>_xlfn.XLOOKUP(Orders!C2928,Products!A2928:A3427,Products!D2928:D3427,"Price Missing",0)</f>
        <v>Price Missing</v>
      </c>
      <c r="J2928" s="19">
        <f t="shared" si="45"/>
        <v>0</v>
      </c>
    </row>
    <row r="2929" spans="1:10" x14ac:dyDescent="0.35">
      <c r="A2929" s="4" t="s">
        <v>6949</v>
      </c>
      <c r="B2929" s="7" t="s">
        <v>680</v>
      </c>
      <c r="C2929" s="7" t="s">
        <v>3018</v>
      </c>
      <c r="D2929" s="5">
        <v>4</v>
      </c>
      <c r="E2929" s="7" t="str">
        <f>_xlfn.XLOOKUP(B2929,Customers!A2929:A3928,Customers!B2929:B3928,"Customer Not Found",0)</f>
        <v>Customer Not Found</v>
      </c>
      <c r="F2929" s="7" t="str">
        <f>_xlfn.XLOOKUP(Orders!B2929,Customers!A2929:A3928,Customers!C2929:C3928,"Country not Found",0)</f>
        <v>Country not Found</v>
      </c>
      <c r="G2929" s="7" t="str">
        <f>_xlfn.XLOOKUP(C2929,Products!A2929:A3428,Products!B2929:B3428,"Product Missing",0)</f>
        <v>Product Missing</v>
      </c>
      <c r="H2929" s="7" t="str">
        <f>_xlfn.XLOOKUP(C2929,Products!A2929:A3428,Products!C2929:C3428,"Category Missing",0)</f>
        <v>Category Missing</v>
      </c>
      <c r="I2929" s="11" t="str">
        <f>_xlfn.XLOOKUP(Orders!C2929,Products!A2929:A3428,Products!D2929:D3428,"Price Missing",0)</f>
        <v>Price Missing</v>
      </c>
      <c r="J2929" s="19">
        <f t="shared" si="45"/>
        <v>0</v>
      </c>
    </row>
    <row r="2930" spans="1:10" x14ac:dyDescent="0.35">
      <c r="A2930" s="4" t="s">
        <v>6950</v>
      </c>
      <c r="B2930" s="7" t="s">
        <v>2060</v>
      </c>
      <c r="C2930" s="7" t="s">
        <v>3050</v>
      </c>
      <c r="D2930" s="5">
        <v>10</v>
      </c>
      <c r="E2930" s="7" t="str">
        <f>_xlfn.XLOOKUP(B2930,Customers!A2930:A3929,Customers!B2930:B3929,"Customer Not Found",0)</f>
        <v>Customer Not Found</v>
      </c>
      <c r="F2930" s="7" t="str">
        <f>_xlfn.XLOOKUP(Orders!B2930,Customers!A2930:A3929,Customers!C2930:C3929,"Country not Found",0)</f>
        <v>Country not Found</v>
      </c>
      <c r="G2930" s="7" t="str">
        <f>_xlfn.XLOOKUP(C2930,Products!A2930:A3429,Products!B2930:B3429,"Product Missing",0)</f>
        <v>Product Missing</v>
      </c>
      <c r="H2930" s="7" t="str">
        <f>_xlfn.XLOOKUP(C2930,Products!A2930:A3429,Products!C2930:C3429,"Category Missing",0)</f>
        <v>Category Missing</v>
      </c>
      <c r="I2930" s="11" t="str">
        <f>_xlfn.XLOOKUP(Orders!C2930,Products!A2930:A3429,Products!D2930:D3429,"Price Missing",0)</f>
        <v>Price Missing</v>
      </c>
      <c r="J2930" s="19">
        <f t="shared" si="45"/>
        <v>0</v>
      </c>
    </row>
    <row r="2931" spans="1:10" x14ac:dyDescent="0.35">
      <c r="A2931" s="4" t="s">
        <v>6951</v>
      </c>
      <c r="B2931" s="7" t="s">
        <v>1526</v>
      </c>
      <c r="C2931" s="7" t="s">
        <v>3356</v>
      </c>
      <c r="D2931" s="5">
        <v>2</v>
      </c>
      <c r="E2931" s="7" t="str">
        <f>_xlfn.XLOOKUP(B2931,Customers!A2931:A3930,Customers!B2931:B3930,"Customer Not Found",0)</f>
        <v>Customer Not Found</v>
      </c>
      <c r="F2931" s="7" t="str">
        <f>_xlfn.XLOOKUP(Orders!B2931,Customers!A2931:A3930,Customers!C2931:C3930,"Country not Found",0)</f>
        <v>Country not Found</v>
      </c>
      <c r="G2931" s="7" t="str">
        <f>_xlfn.XLOOKUP(C2931,Products!A2931:A3430,Products!B2931:B3430,"Product Missing",0)</f>
        <v>Product Missing</v>
      </c>
      <c r="H2931" s="7" t="str">
        <f>_xlfn.XLOOKUP(C2931,Products!A2931:A3430,Products!C2931:C3430,"Category Missing",0)</f>
        <v>Category Missing</v>
      </c>
      <c r="I2931" s="11" t="str">
        <f>_xlfn.XLOOKUP(Orders!C2931,Products!A2931:A3430,Products!D2931:D3430,"Price Missing",0)</f>
        <v>Price Missing</v>
      </c>
      <c r="J2931" s="19">
        <f t="shared" si="45"/>
        <v>0</v>
      </c>
    </row>
    <row r="2932" spans="1:10" x14ac:dyDescent="0.35">
      <c r="A2932" s="4" t="s">
        <v>6952</v>
      </c>
      <c r="B2932" s="7" t="s">
        <v>554</v>
      </c>
      <c r="C2932" s="7" t="s">
        <v>3992</v>
      </c>
      <c r="D2932" s="5">
        <v>4</v>
      </c>
      <c r="E2932" s="7" t="str">
        <f>_xlfn.XLOOKUP(B2932,Customers!A2932:A3931,Customers!B2932:B3931,"Customer Not Found",0)</f>
        <v>Customer Not Found</v>
      </c>
      <c r="F2932" s="7" t="str">
        <f>_xlfn.XLOOKUP(Orders!B2932,Customers!A2932:A3931,Customers!C2932:C3931,"Country not Found",0)</f>
        <v>Country not Found</v>
      </c>
      <c r="G2932" s="7" t="str">
        <f>_xlfn.XLOOKUP(C2932,Products!A2932:A3431,Products!B2932:B3431,"Product Missing",0)</f>
        <v>Product Missing</v>
      </c>
      <c r="H2932" s="7" t="str">
        <f>_xlfn.XLOOKUP(C2932,Products!A2932:A3431,Products!C2932:C3431,"Category Missing",0)</f>
        <v>Category Missing</v>
      </c>
      <c r="I2932" s="11" t="str">
        <f>_xlfn.XLOOKUP(Orders!C2932,Products!A2932:A3431,Products!D2932:D3431,"Price Missing",0)</f>
        <v>Price Missing</v>
      </c>
      <c r="J2932" s="19">
        <f t="shared" si="45"/>
        <v>0</v>
      </c>
    </row>
    <row r="2933" spans="1:10" x14ac:dyDescent="0.35">
      <c r="A2933" s="4" t="s">
        <v>6953</v>
      </c>
      <c r="B2933" s="7" t="s">
        <v>353</v>
      </c>
      <c r="C2933" s="7" t="s">
        <v>3326</v>
      </c>
      <c r="D2933" s="5">
        <v>1</v>
      </c>
      <c r="E2933" s="7" t="str">
        <f>_xlfn.XLOOKUP(B2933,Customers!A2933:A3932,Customers!B2933:B3932,"Customer Not Found",0)</f>
        <v>Customer Not Found</v>
      </c>
      <c r="F2933" s="7" t="str">
        <f>_xlfn.XLOOKUP(Orders!B2933,Customers!A2933:A3932,Customers!C2933:C3932,"Country not Found",0)</f>
        <v>Country not Found</v>
      </c>
      <c r="G2933" s="7" t="str">
        <f>_xlfn.XLOOKUP(C2933,Products!A2933:A3432,Products!B2933:B3432,"Product Missing",0)</f>
        <v>Product Missing</v>
      </c>
      <c r="H2933" s="7" t="str">
        <f>_xlfn.XLOOKUP(C2933,Products!A2933:A3432,Products!C2933:C3432,"Category Missing",0)</f>
        <v>Category Missing</v>
      </c>
      <c r="I2933" s="11" t="str">
        <f>_xlfn.XLOOKUP(Orders!C2933,Products!A2933:A3432,Products!D2933:D3432,"Price Missing",0)</f>
        <v>Price Missing</v>
      </c>
      <c r="J2933" s="19">
        <f t="shared" si="45"/>
        <v>0</v>
      </c>
    </row>
    <row r="2934" spans="1:10" x14ac:dyDescent="0.35">
      <c r="A2934" s="4" t="s">
        <v>6954</v>
      </c>
      <c r="B2934" s="7" t="s">
        <v>827</v>
      </c>
      <c r="C2934" s="7" t="s">
        <v>3260</v>
      </c>
      <c r="D2934" s="5">
        <v>5</v>
      </c>
      <c r="E2934" s="7" t="str">
        <f>_xlfn.XLOOKUP(B2934,Customers!A2934:A3933,Customers!B2934:B3933,"Customer Not Found",0)</f>
        <v>Customer Not Found</v>
      </c>
      <c r="F2934" s="7" t="str">
        <f>_xlfn.XLOOKUP(Orders!B2934,Customers!A2934:A3933,Customers!C2934:C3933,"Country not Found",0)</f>
        <v>Country not Found</v>
      </c>
      <c r="G2934" s="7" t="str">
        <f>_xlfn.XLOOKUP(C2934,Products!A2934:A3433,Products!B2934:B3433,"Product Missing",0)</f>
        <v>Product Missing</v>
      </c>
      <c r="H2934" s="7" t="str">
        <f>_xlfn.XLOOKUP(C2934,Products!A2934:A3433,Products!C2934:C3433,"Category Missing",0)</f>
        <v>Category Missing</v>
      </c>
      <c r="I2934" s="11" t="str">
        <f>_xlfn.XLOOKUP(Orders!C2934,Products!A2934:A3433,Products!D2934:D3433,"Price Missing",0)</f>
        <v>Price Missing</v>
      </c>
      <c r="J2934" s="19">
        <f t="shared" si="45"/>
        <v>0</v>
      </c>
    </row>
    <row r="2935" spans="1:10" x14ac:dyDescent="0.35">
      <c r="A2935" s="4" t="s">
        <v>6955</v>
      </c>
      <c r="B2935" s="7" t="s">
        <v>2789</v>
      </c>
      <c r="C2935" s="7" t="s">
        <v>3480</v>
      </c>
      <c r="D2935" s="5">
        <v>7</v>
      </c>
      <c r="E2935" s="7" t="str">
        <f>_xlfn.XLOOKUP(B2935,Customers!A2935:A3934,Customers!B2935:B3934,"Customer Not Found",0)</f>
        <v>Customer Not Found</v>
      </c>
      <c r="F2935" s="7" t="str">
        <f>_xlfn.XLOOKUP(Orders!B2935,Customers!A2935:A3934,Customers!C2935:C3934,"Country not Found",0)</f>
        <v>Country not Found</v>
      </c>
      <c r="G2935" s="7" t="str">
        <f>_xlfn.XLOOKUP(C2935,Products!A2935:A3434,Products!B2935:B3434,"Product Missing",0)</f>
        <v>Product Missing</v>
      </c>
      <c r="H2935" s="7" t="str">
        <f>_xlfn.XLOOKUP(C2935,Products!A2935:A3434,Products!C2935:C3434,"Category Missing",0)</f>
        <v>Category Missing</v>
      </c>
      <c r="I2935" s="11" t="str">
        <f>_xlfn.XLOOKUP(Orders!C2935,Products!A2935:A3434,Products!D2935:D3434,"Price Missing",0)</f>
        <v>Price Missing</v>
      </c>
      <c r="J2935" s="19">
        <f t="shared" si="45"/>
        <v>0</v>
      </c>
    </row>
    <row r="2936" spans="1:10" x14ac:dyDescent="0.35">
      <c r="A2936" s="4" t="s">
        <v>6956</v>
      </c>
      <c r="B2936" s="7" t="s">
        <v>2822</v>
      </c>
      <c r="C2936" s="7" t="s">
        <v>3646</v>
      </c>
      <c r="D2936" s="5">
        <v>1</v>
      </c>
      <c r="E2936" s="7" t="str">
        <f>_xlfn.XLOOKUP(B2936,Customers!A2936:A3935,Customers!B2936:B3935,"Customer Not Found",0)</f>
        <v>Customer Not Found</v>
      </c>
      <c r="F2936" s="7" t="str">
        <f>_xlfn.XLOOKUP(Orders!B2936,Customers!A2936:A3935,Customers!C2936:C3935,"Country not Found",0)</f>
        <v>Country not Found</v>
      </c>
      <c r="G2936" s="7" t="str">
        <f>_xlfn.XLOOKUP(C2936,Products!A2936:A3435,Products!B2936:B3435,"Product Missing",0)</f>
        <v>Product Missing</v>
      </c>
      <c r="H2936" s="7" t="str">
        <f>_xlfn.XLOOKUP(C2936,Products!A2936:A3435,Products!C2936:C3435,"Category Missing",0)</f>
        <v>Category Missing</v>
      </c>
      <c r="I2936" s="11" t="str">
        <f>_xlfn.XLOOKUP(Orders!C2936,Products!A2936:A3435,Products!D2936:D3435,"Price Missing",0)</f>
        <v>Price Missing</v>
      </c>
      <c r="J2936" s="19">
        <f t="shared" si="45"/>
        <v>0</v>
      </c>
    </row>
    <row r="2937" spans="1:10" x14ac:dyDescent="0.35">
      <c r="A2937" s="4" t="s">
        <v>6957</v>
      </c>
      <c r="B2937" s="7" t="s">
        <v>2375</v>
      </c>
      <c r="C2937" s="7" t="s">
        <v>3358</v>
      </c>
      <c r="D2937" s="5">
        <v>7</v>
      </c>
      <c r="E2937" s="7" t="str">
        <f>_xlfn.XLOOKUP(B2937,Customers!A2937:A3936,Customers!B2937:B3936,"Customer Not Found",0)</f>
        <v>Customer Not Found</v>
      </c>
      <c r="F2937" s="7" t="str">
        <f>_xlfn.XLOOKUP(Orders!B2937,Customers!A2937:A3936,Customers!C2937:C3936,"Country not Found",0)</f>
        <v>Country not Found</v>
      </c>
      <c r="G2937" s="7" t="str">
        <f>_xlfn.XLOOKUP(C2937,Products!A2937:A3436,Products!B2937:B3436,"Product Missing",0)</f>
        <v>Product Missing</v>
      </c>
      <c r="H2937" s="7" t="str">
        <f>_xlfn.XLOOKUP(C2937,Products!A2937:A3436,Products!C2937:C3436,"Category Missing",0)</f>
        <v>Category Missing</v>
      </c>
      <c r="I2937" s="11" t="str">
        <f>_xlfn.XLOOKUP(Orders!C2937,Products!A2937:A3436,Products!D2937:D3436,"Price Missing",0)</f>
        <v>Price Missing</v>
      </c>
      <c r="J2937" s="19">
        <f t="shared" si="45"/>
        <v>0</v>
      </c>
    </row>
    <row r="2938" spans="1:10" x14ac:dyDescent="0.35">
      <c r="A2938" s="4" t="s">
        <v>6958</v>
      </c>
      <c r="B2938" s="7" t="s">
        <v>2576</v>
      </c>
      <c r="C2938" s="7" t="s">
        <v>3652</v>
      </c>
      <c r="D2938" s="5">
        <v>3</v>
      </c>
      <c r="E2938" s="7" t="str">
        <f>_xlfn.XLOOKUP(B2938,Customers!A2938:A3937,Customers!B2938:B3937,"Customer Not Found",0)</f>
        <v>Customer Not Found</v>
      </c>
      <c r="F2938" s="7" t="str">
        <f>_xlfn.XLOOKUP(Orders!B2938,Customers!A2938:A3937,Customers!C2938:C3937,"Country not Found",0)</f>
        <v>Country not Found</v>
      </c>
      <c r="G2938" s="7" t="str">
        <f>_xlfn.XLOOKUP(C2938,Products!A2938:A3437,Products!B2938:B3437,"Product Missing",0)</f>
        <v>Product Missing</v>
      </c>
      <c r="H2938" s="7" t="str">
        <f>_xlfn.XLOOKUP(C2938,Products!A2938:A3437,Products!C2938:C3437,"Category Missing",0)</f>
        <v>Category Missing</v>
      </c>
      <c r="I2938" s="11" t="str">
        <f>_xlfn.XLOOKUP(Orders!C2938,Products!A2938:A3437,Products!D2938:D3437,"Price Missing",0)</f>
        <v>Price Missing</v>
      </c>
      <c r="J2938" s="19">
        <f t="shared" si="45"/>
        <v>0</v>
      </c>
    </row>
    <row r="2939" spans="1:10" x14ac:dyDescent="0.35">
      <c r="A2939" s="4" t="s">
        <v>6959</v>
      </c>
      <c r="B2939" s="7" t="s">
        <v>2543</v>
      </c>
      <c r="C2939" s="7" t="s">
        <v>3568</v>
      </c>
      <c r="D2939" s="5">
        <v>8</v>
      </c>
      <c r="E2939" s="7" t="str">
        <f>_xlfn.XLOOKUP(B2939,Customers!A2939:A3938,Customers!B2939:B3938,"Customer Not Found",0)</f>
        <v>Customer Not Found</v>
      </c>
      <c r="F2939" s="7" t="str">
        <f>_xlfn.XLOOKUP(Orders!B2939,Customers!A2939:A3938,Customers!C2939:C3938,"Country not Found",0)</f>
        <v>Country not Found</v>
      </c>
      <c r="G2939" s="7" t="str">
        <f>_xlfn.XLOOKUP(C2939,Products!A2939:A3438,Products!B2939:B3438,"Product Missing",0)</f>
        <v>Product Missing</v>
      </c>
      <c r="H2939" s="7" t="str">
        <f>_xlfn.XLOOKUP(C2939,Products!A2939:A3438,Products!C2939:C3438,"Category Missing",0)</f>
        <v>Category Missing</v>
      </c>
      <c r="I2939" s="11" t="str">
        <f>_xlfn.XLOOKUP(Orders!C2939,Products!A2939:A3438,Products!D2939:D3438,"Price Missing",0)</f>
        <v>Price Missing</v>
      </c>
      <c r="J2939" s="19">
        <f t="shared" si="45"/>
        <v>0</v>
      </c>
    </row>
    <row r="2940" spans="1:10" x14ac:dyDescent="0.35">
      <c r="A2940" s="4" t="s">
        <v>6960</v>
      </c>
      <c r="B2940" s="7" t="s">
        <v>1514</v>
      </c>
      <c r="C2940" s="7" t="s">
        <v>3478</v>
      </c>
      <c r="D2940" s="5">
        <v>2</v>
      </c>
      <c r="E2940" s="7" t="str">
        <f>_xlfn.XLOOKUP(B2940,Customers!A2940:A3939,Customers!B2940:B3939,"Customer Not Found",0)</f>
        <v>Customer Not Found</v>
      </c>
      <c r="F2940" s="7" t="str">
        <f>_xlfn.XLOOKUP(Orders!B2940,Customers!A2940:A3939,Customers!C2940:C3939,"Country not Found",0)</f>
        <v>Country not Found</v>
      </c>
      <c r="G2940" s="7" t="str">
        <f>_xlfn.XLOOKUP(C2940,Products!A2940:A3439,Products!B2940:B3439,"Product Missing",0)</f>
        <v>Product Missing</v>
      </c>
      <c r="H2940" s="7" t="str">
        <f>_xlfn.XLOOKUP(C2940,Products!A2940:A3439,Products!C2940:C3439,"Category Missing",0)</f>
        <v>Category Missing</v>
      </c>
      <c r="I2940" s="11" t="str">
        <f>_xlfn.XLOOKUP(Orders!C2940,Products!A2940:A3439,Products!D2940:D3439,"Price Missing",0)</f>
        <v>Price Missing</v>
      </c>
      <c r="J2940" s="19">
        <f t="shared" si="45"/>
        <v>0</v>
      </c>
    </row>
    <row r="2941" spans="1:10" x14ac:dyDescent="0.35">
      <c r="A2941" s="4" t="s">
        <v>6961</v>
      </c>
      <c r="B2941" s="7" t="s">
        <v>1040</v>
      </c>
      <c r="C2941" s="7" t="s">
        <v>3654</v>
      </c>
      <c r="D2941" s="5">
        <v>1</v>
      </c>
      <c r="E2941" s="7" t="str">
        <f>_xlfn.XLOOKUP(B2941,Customers!A2941:A3940,Customers!B2941:B3940,"Customer Not Found",0)</f>
        <v>Customer Not Found</v>
      </c>
      <c r="F2941" s="7" t="str">
        <f>_xlfn.XLOOKUP(Orders!B2941,Customers!A2941:A3940,Customers!C2941:C3940,"Country not Found",0)</f>
        <v>Country not Found</v>
      </c>
      <c r="G2941" s="7" t="str">
        <f>_xlfn.XLOOKUP(C2941,Products!A2941:A3440,Products!B2941:B3440,"Product Missing",0)</f>
        <v>Product Missing</v>
      </c>
      <c r="H2941" s="7" t="str">
        <f>_xlfn.XLOOKUP(C2941,Products!A2941:A3440,Products!C2941:C3440,"Category Missing",0)</f>
        <v>Category Missing</v>
      </c>
      <c r="I2941" s="11" t="str">
        <f>_xlfn.XLOOKUP(Orders!C2941,Products!A2941:A3440,Products!D2941:D3440,"Price Missing",0)</f>
        <v>Price Missing</v>
      </c>
      <c r="J2941" s="19">
        <f t="shared" si="45"/>
        <v>0</v>
      </c>
    </row>
    <row r="2942" spans="1:10" x14ac:dyDescent="0.35">
      <c r="A2942" s="4" t="s">
        <v>6962</v>
      </c>
      <c r="B2942" s="7" t="s">
        <v>800</v>
      </c>
      <c r="C2942" s="7" t="s">
        <v>3742</v>
      </c>
      <c r="D2942" s="5">
        <v>6</v>
      </c>
      <c r="E2942" s="7" t="str">
        <f>_xlfn.XLOOKUP(B2942,Customers!A2942:A3941,Customers!B2942:B3941,"Customer Not Found",0)</f>
        <v>Customer Not Found</v>
      </c>
      <c r="F2942" s="7" t="str">
        <f>_xlfn.XLOOKUP(Orders!B2942,Customers!A2942:A3941,Customers!C2942:C3941,"Country not Found",0)</f>
        <v>Country not Found</v>
      </c>
      <c r="G2942" s="7" t="str">
        <f>_xlfn.XLOOKUP(C2942,Products!A2942:A3441,Products!B2942:B3441,"Product Missing",0)</f>
        <v>Product Missing</v>
      </c>
      <c r="H2942" s="7" t="str">
        <f>_xlfn.XLOOKUP(C2942,Products!A2942:A3441,Products!C2942:C3441,"Category Missing",0)</f>
        <v>Category Missing</v>
      </c>
      <c r="I2942" s="11" t="str">
        <f>_xlfn.XLOOKUP(Orders!C2942,Products!A2942:A3441,Products!D2942:D3441,"Price Missing",0)</f>
        <v>Price Missing</v>
      </c>
      <c r="J2942" s="19">
        <f t="shared" si="45"/>
        <v>0</v>
      </c>
    </row>
    <row r="2943" spans="1:10" x14ac:dyDescent="0.35">
      <c r="A2943" s="4" t="s">
        <v>6963</v>
      </c>
      <c r="B2943" s="7" t="s">
        <v>2729</v>
      </c>
      <c r="C2943" s="7" t="s">
        <v>3310</v>
      </c>
      <c r="D2943" s="5">
        <v>5</v>
      </c>
      <c r="E2943" s="7" t="str">
        <f>_xlfn.XLOOKUP(B2943,Customers!A2943:A3942,Customers!B2943:B3942,"Customer Not Found",0)</f>
        <v>Customer Not Found</v>
      </c>
      <c r="F2943" s="7" t="str">
        <f>_xlfn.XLOOKUP(Orders!B2943,Customers!A2943:A3942,Customers!C2943:C3942,"Country not Found",0)</f>
        <v>Country not Found</v>
      </c>
      <c r="G2943" s="7" t="str">
        <f>_xlfn.XLOOKUP(C2943,Products!A2943:A3442,Products!B2943:B3442,"Product Missing",0)</f>
        <v>Product Missing</v>
      </c>
      <c r="H2943" s="7" t="str">
        <f>_xlfn.XLOOKUP(C2943,Products!A2943:A3442,Products!C2943:C3442,"Category Missing",0)</f>
        <v>Category Missing</v>
      </c>
      <c r="I2943" s="11" t="str">
        <f>_xlfn.XLOOKUP(Orders!C2943,Products!A2943:A3442,Products!D2943:D3442,"Price Missing",0)</f>
        <v>Price Missing</v>
      </c>
      <c r="J2943" s="19">
        <f t="shared" si="45"/>
        <v>0</v>
      </c>
    </row>
    <row r="2944" spans="1:10" x14ac:dyDescent="0.35">
      <c r="A2944" s="4" t="s">
        <v>6964</v>
      </c>
      <c r="B2944" s="7" t="s">
        <v>605</v>
      </c>
      <c r="C2944" s="7" t="s">
        <v>3660</v>
      </c>
      <c r="D2944" s="5">
        <v>2</v>
      </c>
      <c r="E2944" s="7" t="str">
        <f>_xlfn.XLOOKUP(B2944,Customers!A2944:A3943,Customers!B2944:B3943,"Customer Not Found",0)</f>
        <v>Customer Not Found</v>
      </c>
      <c r="F2944" s="7" t="str">
        <f>_xlfn.XLOOKUP(Orders!B2944,Customers!A2944:A3943,Customers!C2944:C3943,"Country not Found",0)</f>
        <v>Country not Found</v>
      </c>
      <c r="G2944" s="7" t="str">
        <f>_xlfn.XLOOKUP(C2944,Products!A2944:A3443,Products!B2944:B3443,"Product Missing",0)</f>
        <v>Product Missing</v>
      </c>
      <c r="H2944" s="7" t="str">
        <f>_xlfn.XLOOKUP(C2944,Products!A2944:A3443,Products!C2944:C3443,"Category Missing",0)</f>
        <v>Category Missing</v>
      </c>
      <c r="I2944" s="11" t="str">
        <f>_xlfn.XLOOKUP(Orders!C2944,Products!A2944:A3443,Products!D2944:D3443,"Price Missing",0)</f>
        <v>Price Missing</v>
      </c>
      <c r="J2944" s="19">
        <f t="shared" si="45"/>
        <v>0</v>
      </c>
    </row>
    <row r="2945" spans="1:10" x14ac:dyDescent="0.35">
      <c r="A2945" s="4" t="s">
        <v>6965</v>
      </c>
      <c r="B2945" s="7" t="s">
        <v>2381</v>
      </c>
      <c r="C2945" s="7" t="s">
        <v>3242</v>
      </c>
      <c r="D2945" s="5">
        <v>5</v>
      </c>
      <c r="E2945" s="7" t="str">
        <f>_xlfn.XLOOKUP(B2945,Customers!A2945:A3944,Customers!B2945:B3944,"Customer Not Found",0)</f>
        <v>Customer Not Found</v>
      </c>
      <c r="F2945" s="7" t="str">
        <f>_xlfn.XLOOKUP(Orders!B2945,Customers!A2945:A3944,Customers!C2945:C3944,"Country not Found",0)</f>
        <v>Country not Found</v>
      </c>
      <c r="G2945" s="7" t="str">
        <f>_xlfn.XLOOKUP(C2945,Products!A2945:A3444,Products!B2945:B3444,"Product Missing",0)</f>
        <v>Product Missing</v>
      </c>
      <c r="H2945" s="7" t="str">
        <f>_xlfn.XLOOKUP(C2945,Products!A2945:A3444,Products!C2945:C3444,"Category Missing",0)</f>
        <v>Category Missing</v>
      </c>
      <c r="I2945" s="11" t="str">
        <f>_xlfn.XLOOKUP(Orders!C2945,Products!A2945:A3444,Products!D2945:D3444,"Price Missing",0)</f>
        <v>Price Missing</v>
      </c>
      <c r="J2945" s="19">
        <f t="shared" si="45"/>
        <v>0</v>
      </c>
    </row>
    <row r="2946" spans="1:10" x14ac:dyDescent="0.35">
      <c r="A2946" s="4" t="s">
        <v>6966</v>
      </c>
      <c r="B2946" s="7" t="s">
        <v>2297</v>
      </c>
      <c r="C2946" s="7" t="s">
        <v>3206</v>
      </c>
      <c r="D2946" s="5">
        <v>7</v>
      </c>
      <c r="E2946" s="7" t="str">
        <f>_xlfn.XLOOKUP(B2946,Customers!A2946:A3945,Customers!B2946:B3945,"Customer Not Found",0)</f>
        <v>Customer Not Found</v>
      </c>
      <c r="F2946" s="7" t="str">
        <f>_xlfn.XLOOKUP(Orders!B2946,Customers!A2946:A3945,Customers!C2946:C3945,"Country not Found",0)</f>
        <v>Country not Found</v>
      </c>
      <c r="G2946" s="7" t="str">
        <f>_xlfn.XLOOKUP(C2946,Products!A2946:A3445,Products!B2946:B3445,"Product Missing",0)</f>
        <v>Product Missing</v>
      </c>
      <c r="H2946" s="7" t="str">
        <f>_xlfn.XLOOKUP(C2946,Products!A2946:A3445,Products!C2946:C3445,"Category Missing",0)</f>
        <v>Category Missing</v>
      </c>
      <c r="I2946" s="11" t="str">
        <f>_xlfn.XLOOKUP(Orders!C2946,Products!A2946:A3445,Products!D2946:D3445,"Price Missing",0)</f>
        <v>Price Missing</v>
      </c>
      <c r="J2946" s="19">
        <f t="shared" si="45"/>
        <v>0</v>
      </c>
    </row>
    <row r="2947" spans="1:10" x14ac:dyDescent="0.35">
      <c r="A2947" s="4" t="s">
        <v>6967</v>
      </c>
      <c r="B2947" s="7" t="s">
        <v>2057</v>
      </c>
      <c r="C2947" s="7" t="s">
        <v>3494</v>
      </c>
      <c r="D2947" s="5">
        <v>9</v>
      </c>
      <c r="E2947" s="7" t="str">
        <f>_xlfn.XLOOKUP(B2947,Customers!A2947:A3946,Customers!B2947:B3946,"Customer Not Found",0)</f>
        <v>Customer Not Found</v>
      </c>
      <c r="F2947" s="7" t="str">
        <f>_xlfn.XLOOKUP(Orders!B2947,Customers!A2947:A3946,Customers!C2947:C3946,"Country not Found",0)</f>
        <v>Country not Found</v>
      </c>
      <c r="G2947" s="7" t="str">
        <f>_xlfn.XLOOKUP(C2947,Products!A2947:A3446,Products!B2947:B3446,"Product Missing",0)</f>
        <v>Product Missing</v>
      </c>
      <c r="H2947" s="7" t="str">
        <f>_xlfn.XLOOKUP(C2947,Products!A2947:A3446,Products!C2947:C3446,"Category Missing",0)</f>
        <v>Category Missing</v>
      </c>
      <c r="I2947" s="11" t="str">
        <f>_xlfn.XLOOKUP(Orders!C2947,Products!A2947:A3446,Products!D2947:D3446,"Price Missing",0)</f>
        <v>Price Missing</v>
      </c>
      <c r="J2947" s="19">
        <f t="shared" ref="J2947:J3001" si="46">IFERROR(I2947*D2947,0)</f>
        <v>0</v>
      </c>
    </row>
    <row r="2948" spans="1:10" x14ac:dyDescent="0.35">
      <c r="A2948" s="4" t="s">
        <v>6968</v>
      </c>
      <c r="B2948" s="7" t="s">
        <v>869</v>
      </c>
      <c r="C2948" s="7" t="s">
        <v>3039</v>
      </c>
      <c r="D2948" s="5">
        <v>5</v>
      </c>
      <c r="E2948" s="7" t="str">
        <f>_xlfn.XLOOKUP(B2948,Customers!A2948:A3947,Customers!B2948:B3947,"Customer Not Found",0)</f>
        <v>Customer Not Found</v>
      </c>
      <c r="F2948" s="7" t="str">
        <f>_xlfn.XLOOKUP(Orders!B2948,Customers!A2948:A3947,Customers!C2948:C3947,"Country not Found",0)</f>
        <v>Country not Found</v>
      </c>
      <c r="G2948" s="7" t="str">
        <f>_xlfn.XLOOKUP(C2948,Products!A2948:A3447,Products!B2948:B3447,"Product Missing",0)</f>
        <v>Product Missing</v>
      </c>
      <c r="H2948" s="7" t="str">
        <f>_xlfn.XLOOKUP(C2948,Products!A2948:A3447,Products!C2948:C3447,"Category Missing",0)</f>
        <v>Category Missing</v>
      </c>
      <c r="I2948" s="11" t="str">
        <f>_xlfn.XLOOKUP(Orders!C2948,Products!A2948:A3447,Products!D2948:D3447,"Price Missing",0)</f>
        <v>Price Missing</v>
      </c>
      <c r="J2948" s="19">
        <f t="shared" si="46"/>
        <v>0</v>
      </c>
    </row>
    <row r="2949" spans="1:10" x14ac:dyDescent="0.35">
      <c r="A2949" s="4" t="s">
        <v>6969</v>
      </c>
      <c r="B2949" s="7" t="s">
        <v>2177</v>
      </c>
      <c r="C2949" s="7" t="s">
        <v>3148</v>
      </c>
      <c r="D2949" s="5">
        <v>3</v>
      </c>
      <c r="E2949" s="7" t="str">
        <f>_xlfn.XLOOKUP(B2949,Customers!A2949:A3948,Customers!B2949:B3948,"Customer Not Found",0)</f>
        <v>Customer Not Found</v>
      </c>
      <c r="F2949" s="7" t="str">
        <f>_xlfn.XLOOKUP(Orders!B2949,Customers!A2949:A3948,Customers!C2949:C3948,"Country not Found",0)</f>
        <v>Country not Found</v>
      </c>
      <c r="G2949" s="7" t="str">
        <f>_xlfn.XLOOKUP(C2949,Products!A2949:A3448,Products!B2949:B3448,"Product Missing",0)</f>
        <v>Product Missing</v>
      </c>
      <c r="H2949" s="7" t="str">
        <f>_xlfn.XLOOKUP(C2949,Products!A2949:A3448,Products!C2949:C3448,"Category Missing",0)</f>
        <v>Category Missing</v>
      </c>
      <c r="I2949" s="11" t="str">
        <f>_xlfn.XLOOKUP(Orders!C2949,Products!A2949:A3448,Products!D2949:D3448,"Price Missing",0)</f>
        <v>Price Missing</v>
      </c>
      <c r="J2949" s="19">
        <f t="shared" si="46"/>
        <v>0</v>
      </c>
    </row>
    <row r="2950" spans="1:10" x14ac:dyDescent="0.35">
      <c r="A2950" s="4" t="s">
        <v>6970</v>
      </c>
      <c r="B2950" s="7" t="s">
        <v>644</v>
      </c>
      <c r="C2950" s="7" t="s">
        <v>3862</v>
      </c>
      <c r="D2950" s="5">
        <v>6</v>
      </c>
      <c r="E2950" s="7" t="str">
        <f>_xlfn.XLOOKUP(B2950,Customers!A2950:A3949,Customers!B2950:B3949,"Customer Not Found",0)</f>
        <v>Customer Not Found</v>
      </c>
      <c r="F2950" s="7" t="str">
        <f>_xlfn.XLOOKUP(Orders!B2950,Customers!A2950:A3949,Customers!C2950:C3949,"Country not Found",0)</f>
        <v>Country not Found</v>
      </c>
      <c r="G2950" s="7" t="str">
        <f>_xlfn.XLOOKUP(C2950,Products!A2950:A3449,Products!B2950:B3449,"Product Missing",0)</f>
        <v>Product Missing</v>
      </c>
      <c r="H2950" s="7" t="str">
        <f>_xlfn.XLOOKUP(C2950,Products!A2950:A3449,Products!C2950:C3449,"Category Missing",0)</f>
        <v>Category Missing</v>
      </c>
      <c r="I2950" s="11" t="str">
        <f>_xlfn.XLOOKUP(Orders!C2950,Products!A2950:A3449,Products!D2950:D3449,"Price Missing",0)</f>
        <v>Price Missing</v>
      </c>
      <c r="J2950" s="19">
        <f t="shared" si="46"/>
        <v>0</v>
      </c>
    </row>
    <row r="2951" spans="1:10" x14ac:dyDescent="0.35">
      <c r="A2951" s="4" t="s">
        <v>6971</v>
      </c>
      <c r="B2951" s="7" t="s">
        <v>1031</v>
      </c>
      <c r="C2951" s="7" t="s">
        <v>3782</v>
      </c>
      <c r="D2951" s="5">
        <v>8</v>
      </c>
      <c r="E2951" s="7" t="str">
        <f>_xlfn.XLOOKUP(B2951,Customers!A2951:A3950,Customers!B2951:B3950,"Customer Not Found",0)</f>
        <v>Customer Not Found</v>
      </c>
      <c r="F2951" s="7" t="str">
        <f>_xlfn.XLOOKUP(Orders!B2951,Customers!A2951:A3950,Customers!C2951:C3950,"Country not Found",0)</f>
        <v>Country not Found</v>
      </c>
      <c r="G2951" s="7" t="str">
        <f>_xlfn.XLOOKUP(C2951,Products!A2951:A3450,Products!B2951:B3450,"Product Missing",0)</f>
        <v>Product Missing</v>
      </c>
      <c r="H2951" s="7" t="str">
        <f>_xlfn.XLOOKUP(C2951,Products!A2951:A3450,Products!C2951:C3450,"Category Missing",0)</f>
        <v>Category Missing</v>
      </c>
      <c r="I2951" s="11" t="str">
        <f>_xlfn.XLOOKUP(Orders!C2951,Products!A2951:A3450,Products!D2951:D3450,"Price Missing",0)</f>
        <v>Price Missing</v>
      </c>
      <c r="J2951" s="19">
        <f t="shared" si="46"/>
        <v>0</v>
      </c>
    </row>
    <row r="2952" spans="1:10" x14ac:dyDescent="0.35">
      <c r="A2952" s="4" t="s">
        <v>6972</v>
      </c>
      <c r="B2952" s="7" t="s">
        <v>554</v>
      </c>
      <c r="C2952" s="7" t="s">
        <v>3416</v>
      </c>
      <c r="D2952" s="5">
        <v>7</v>
      </c>
      <c r="E2952" s="7" t="str">
        <f>_xlfn.XLOOKUP(B2952,Customers!A2952:A3951,Customers!B2952:B3951,"Customer Not Found",0)</f>
        <v>Customer Not Found</v>
      </c>
      <c r="F2952" s="7" t="str">
        <f>_xlfn.XLOOKUP(Orders!B2952,Customers!A2952:A3951,Customers!C2952:C3951,"Country not Found",0)</f>
        <v>Country not Found</v>
      </c>
      <c r="G2952" s="7" t="str">
        <f>_xlfn.XLOOKUP(C2952,Products!A2952:A3451,Products!B2952:B3451,"Product Missing",0)</f>
        <v>Product Missing</v>
      </c>
      <c r="H2952" s="7" t="str">
        <f>_xlfn.XLOOKUP(C2952,Products!A2952:A3451,Products!C2952:C3451,"Category Missing",0)</f>
        <v>Category Missing</v>
      </c>
      <c r="I2952" s="11" t="str">
        <f>_xlfn.XLOOKUP(Orders!C2952,Products!A2952:A3451,Products!D2952:D3451,"Price Missing",0)</f>
        <v>Price Missing</v>
      </c>
      <c r="J2952" s="19">
        <f t="shared" si="46"/>
        <v>0</v>
      </c>
    </row>
    <row r="2953" spans="1:10" x14ac:dyDescent="0.35">
      <c r="A2953" s="4" t="s">
        <v>6973</v>
      </c>
      <c r="B2953" s="7" t="s">
        <v>2483</v>
      </c>
      <c r="C2953" s="7" t="s">
        <v>3392</v>
      </c>
      <c r="D2953" s="5">
        <v>3</v>
      </c>
      <c r="E2953" s="7" t="str">
        <f>_xlfn.XLOOKUP(B2953,Customers!A2953:A3952,Customers!B2953:B3952,"Customer Not Found",0)</f>
        <v>Customer Not Found</v>
      </c>
      <c r="F2953" s="7" t="str">
        <f>_xlfn.XLOOKUP(Orders!B2953,Customers!A2953:A3952,Customers!C2953:C3952,"Country not Found",0)</f>
        <v>Country not Found</v>
      </c>
      <c r="G2953" s="7" t="str">
        <f>_xlfn.XLOOKUP(C2953,Products!A2953:A3452,Products!B2953:B3452,"Product Missing",0)</f>
        <v>Product Missing</v>
      </c>
      <c r="H2953" s="7" t="str">
        <f>_xlfn.XLOOKUP(C2953,Products!A2953:A3452,Products!C2953:C3452,"Category Missing",0)</f>
        <v>Category Missing</v>
      </c>
      <c r="I2953" s="11" t="str">
        <f>_xlfn.XLOOKUP(Orders!C2953,Products!A2953:A3452,Products!D2953:D3452,"Price Missing",0)</f>
        <v>Price Missing</v>
      </c>
      <c r="J2953" s="19">
        <f t="shared" si="46"/>
        <v>0</v>
      </c>
    </row>
    <row r="2954" spans="1:10" x14ac:dyDescent="0.35">
      <c r="A2954" s="4" t="s">
        <v>6974</v>
      </c>
      <c r="B2954" s="7" t="s">
        <v>674</v>
      </c>
      <c r="C2954" s="7" t="s">
        <v>3914</v>
      </c>
      <c r="D2954" s="5">
        <v>2</v>
      </c>
      <c r="E2954" s="7" t="str">
        <f>_xlfn.XLOOKUP(B2954,Customers!A2954:A3953,Customers!B2954:B3953,"Customer Not Found",0)</f>
        <v>Customer Not Found</v>
      </c>
      <c r="F2954" s="7" t="str">
        <f>_xlfn.XLOOKUP(Orders!B2954,Customers!A2954:A3953,Customers!C2954:C3953,"Country not Found",0)</f>
        <v>Country not Found</v>
      </c>
      <c r="G2954" s="7" t="str">
        <f>_xlfn.XLOOKUP(C2954,Products!A2954:A3453,Products!B2954:B3453,"Product Missing",0)</f>
        <v>Product Missing</v>
      </c>
      <c r="H2954" s="7" t="str">
        <f>_xlfn.XLOOKUP(C2954,Products!A2954:A3453,Products!C2954:C3453,"Category Missing",0)</f>
        <v>Category Missing</v>
      </c>
      <c r="I2954" s="11" t="str">
        <f>_xlfn.XLOOKUP(Orders!C2954,Products!A2954:A3453,Products!D2954:D3453,"Price Missing",0)</f>
        <v>Price Missing</v>
      </c>
      <c r="J2954" s="19">
        <f t="shared" si="46"/>
        <v>0</v>
      </c>
    </row>
    <row r="2955" spans="1:10" x14ac:dyDescent="0.35">
      <c r="A2955" s="4" t="s">
        <v>6975</v>
      </c>
      <c r="B2955" s="7" t="s">
        <v>2003</v>
      </c>
      <c r="C2955" s="7" t="s">
        <v>3698</v>
      </c>
      <c r="D2955" s="5">
        <v>6</v>
      </c>
      <c r="E2955" s="7" t="str">
        <f>_xlfn.XLOOKUP(B2955,Customers!A2955:A3954,Customers!B2955:B3954,"Customer Not Found",0)</f>
        <v>Customer Not Found</v>
      </c>
      <c r="F2955" s="7" t="str">
        <f>_xlfn.XLOOKUP(Orders!B2955,Customers!A2955:A3954,Customers!C2955:C3954,"Country not Found",0)</f>
        <v>Country not Found</v>
      </c>
      <c r="G2955" s="7" t="str">
        <f>_xlfn.XLOOKUP(C2955,Products!A2955:A3454,Products!B2955:B3454,"Product Missing",0)</f>
        <v>Product Missing</v>
      </c>
      <c r="H2955" s="7" t="str">
        <f>_xlfn.XLOOKUP(C2955,Products!A2955:A3454,Products!C2955:C3454,"Category Missing",0)</f>
        <v>Category Missing</v>
      </c>
      <c r="I2955" s="11" t="str">
        <f>_xlfn.XLOOKUP(Orders!C2955,Products!A2955:A3454,Products!D2955:D3454,"Price Missing",0)</f>
        <v>Price Missing</v>
      </c>
      <c r="J2955" s="19">
        <f t="shared" si="46"/>
        <v>0</v>
      </c>
    </row>
    <row r="2956" spans="1:10" x14ac:dyDescent="0.35">
      <c r="A2956" s="4" t="s">
        <v>6976</v>
      </c>
      <c r="B2956" s="7" t="s">
        <v>1193</v>
      </c>
      <c r="C2956" s="7" t="s">
        <v>3832</v>
      </c>
      <c r="D2956" s="5">
        <v>3</v>
      </c>
      <c r="E2956" s="7" t="str">
        <f>_xlfn.XLOOKUP(B2956,Customers!A2956:A3955,Customers!B2956:B3955,"Customer Not Found",0)</f>
        <v>Customer Not Found</v>
      </c>
      <c r="F2956" s="7" t="str">
        <f>_xlfn.XLOOKUP(Orders!B2956,Customers!A2956:A3955,Customers!C2956:C3955,"Country not Found",0)</f>
        <v>Country not Found</v>
      </c>
      <c r="G2956" s="7" t="str">
        <f>_xlfn.XLOOKUP(C2956,Products!A2956:A3455,Products!B2956:B3455,"Product Missing",0)</f>
        <v>Product Missing</v>
      </c>
      <c r="H2956" s="7" t="str">
        <f>_xlfn.XLOOKUP(C2956,Products!A2956:A3455,Products!C2956:C3455,"Category Missing",0)</f>
        <v>Category Missing</v>
      </c>
      <c r="I2956" s="11" t="str">
        <f>_xlfn.XLOOKUP(Orders!C2956,Products!A2956:A3455,Products!D2956:D3455,"Price Missing",0)</f>
        <v>Price Missing</v>
      </c>
      <c r="J2956" s="19">
        <f t="shared" si="46"/>
        <v>0</v>
      </c>
    </row>
    <row r="2957" spans="1:10" x14ac:dyDescent="0.35">
      <c r="A2957" s="4" t="s">
        <v>6977</v>
      </c>
      <c r="B2957" s="7" t="s">
        <v>1067</v>
      </c>
      <c r="C2957" s="7" t="s">
        <v>3910</v>
      </c>
      <c r="D2957" s="5">
        <v>2</v>
      </c>
      <c r="E2957" s="7" t="str">
        <f>_xlfn.XLOOKUP(B2957,Customers!A2957:A3956,Customers!B2957:B3956,"Customer Not Found",0)</f>
        <v>Customer Not Found</v>
      </c>
      <c r="F2957" s="7" t="str">
        <f>_xlfn.XLOOKUP(Orders!B2957,Customers!A2957:A3956,Customers!C2957:C3956,"Country not Found",0)</f>
        <v>Country not Found</v>
      </c>
      <c r="G2957" s="7" t="str">
        <f>_xlfn.XLOOKUP(C2957,Products!A2957:A3456,Products!B2957:B3456,"Product Missing",0)</f>
        <v>Product Missing</v>
      </c>
      <c r="H2957" s="7" t="str">
        <f>_xlfn.XLOOKUP(C2957,Products!A2957:A3456,Products!C2957:C3456,"Category Missing",0)</f>
        <v>Category Missing</v>
      </c>
      <c r="I2957" s="11" t="str">
        <f>_xlfn.XLOOKUP(Orders!C2957,Products!A2957:A3456,Products!D2957:D3456,"Price Missing",0)</f>
        <v>Price Missing</v>
      </c>
      <c r="J2957" s="19">
        <f t="shared" si="46"/>
        <v>0</v>
      </c>
    </row>
    <row r="2958" spans="1:10" x14ac:dyDescent="0.35">
      <c r="A2958" s="4" t="s">
        <v>6978</v>
      </c>
      <c r="B2958" s="7" t="s">
        <v>113</v>
      </c>
      <c r="C2958" s="7" t="s">
        <v>3558</v>
      </c>
      <c r="D2958" s="5">
        <v>2</v>
      </c>
      <c r="E2958" s="7" t="str">
        <f>_xlfn.XLOOKUP(B2958,Customers!A2958:A3957,Customers!B2958:B3957,"Customer Not Found",0)</f>
        <v>Customer Not Found</v>
      </c>
      <c r="F2958" s="7" t="str">
        <f>_xlfn.XLOOKUP(Orders!B2958,Customers!A2958:A3957,Customers!C2958:C3957,"Country not Found",0)</f>
        <v>Country not Found</v>
      </c>
      <c r="G2958" s="7" t="str">
        <f>_xlfn.XLOOKUP(C2958,Products!A2958:A3457,Products!B2958:B3457,"Product Missing",0)</f>
        <v>Product Missing</v>
      </c>
      <c r="H2958" s="7" t="str">
        <f>_xlfn.XLOOKUP(C2958,Products!A2958:A3457,Products!C2958:C3457,"Category Missing",0)</f>
        <v>Category Missing</v>
      </c>
      <c r="I2958" s="11" t="str">
        <f>_xlfn.XLOOKUP(Orders!C2958,Products!A2958:A3457,Products!D2958:D3457,"Price Missing",0)</f>
        <v>Price Missing</v>
      </c>
      <c r="J2958" s="19">
        <f t="shared" si="46"/>
        <v>0</v>
      </c>
    </row>
    <row r="2959" spans="1:10" x14ac:dyDescent="0.35">
      <c r="A2959" s="4" t="s">
        <v>6979</v>
      </c>
      <c r="B2959" s="7" t="s">
        <v>1616</v>
      </c>
      <c r="C2959" s="7" t="s">
        <v>3678</v>
      </c>
      <c r="D2959" s="5">
        <v>4</v>
      </c>
      <c r="E2959" s="7" t="str">
        <f>_xlfn.XLOOKUP(B2959,Customers!A2959:A3958,Customers!B2959:B3958,"Customer Not Found",0)</f>
        <v>Customer Not Found</v>
      </c>
      <c r="F2959" s="7" t="str">
        <f>_xlfn.XLOOKUP(Orders!B2959,Customers!A2959:A3958,Customers!C2959:C3958,"Country not Found",0)</f>
        <v>Country not Found</v>
      </c>
      <c r="G2959" s="7" t="str">
        <f>_xlfn.XLOOKUP(C2959,Products!A2959:A3458,Products!B2959:B3458,"Product Missing",0)</f>
        <v>Product Missing</v>
      </c>
      <c r="H2959" s="7" t="str">
        <f>_xlfn.XLOOKUP(C2959,Products!A2959:A3458,Products!C2959:C3458,"Category Missing",0)</f>
        <v>Category Missing</v>
      </c>
      <c r="I2959" s="11" t="str">
        <f>_xlfn.XLOOKUP(Orders!C2959,Products!A2959:A3458,Products!D2959:D3458,"Price Missing",0)</f>
        <v>Price Missing</v>
      </c>
      <c r="J2959" s="19">
        <f t="shared" si="46"/>
        <v>0</v>
      </c>
    </row>
    <row r="2960" spans="1:10" x14ac:dyDescent="0.35">
      <c r="A2960" s="4" t="s">
        <v>6980</v>
      </c>
      <c r="B2960" s="7" t="s">
        <v>1388</v>
      </c>
      <c r="C2960" s="7" t="s">
        <v>3360</v>
      </c>
      <c r="D2960" s="5">
        <v>9</v>
      </c>
      <c r="E2960" s="7" t="str">
        <f>_xlfn.XLOOKUP(B2960,Customers!A2960:A3959,Customers!B2960:B3959,"Customer Not Found",0)</f>
        <v>Customer Not Found</v>
      </c>
      <c r="F2960" s="7" t="str">
        <f>_xlfn.XLOOKUP(Orders!B2960,Customers!A2960:A3959,Customers!C2960:C3959,"Country not Found",0)</f>
        <v>Country not Found</v>
      </c>
      <c r="G2960" s="7" t="str">
        <f>_xlfn.XLOOKUP(C2960,Products!A2960:A3459,Products!B2960:B3459,"Product Missing",0)</f>
        <v>Product Missing</v>
      </c>
      <c r="H2960" s="7" t="str">
        <f>_xlfn.XLOOKUP(C2960,Products!A2960:A3459,Products!C2960:C3459,"Category Missing",0)</f>
        <v>Category Missing</v>
      </c>
      <c r="I2960" s="11" t="str">
        <f>_xlfn.XLOOKUP(Orders!C2960,Products!A2960:A3459,Products!D2960:D3459,"Price Missing",0)</f>
        <v>Price Missing</v>
      </c>
      <c r="J2960" s="19">
        <f t="shared" si="46"/>
        <v>0</v>
      </c>
    </row>
    <row r="2961" spans="1:10" x14ac:dyDescent="0.35">
      <c r="A2961" s="4" t="s">
        <v>6981</v>
      </c>
      <c r="B2961" s="7" t="s">
        <v>2648</v>
      </c>
      <c r="C2961" s="7" t="s">
        <v>3586</v>
      </c>
      <c r="D2961" s="5">
        <v>4</v>
      </c>
      <c r="E2961" s="7" t="str">
        <f>_xlfn.XLOOKUP(B2961,Customers!A2961:A3960,Customers!B2961:B3960,"Customer Not Found",0)</f>
        <v>Customer Not Found</v>
      </c>
      <c r="F2961" s="7" t="str">
        <f>_xlfn.XLOOKUP(Orders!B2961,Customers!A2961:A3960,Customers!C2961:C3960,"Country not Found",0)</f>
        <v>Country not Found</v>
      </c>
      <c r="G2961" s="7" t="str">
        <f>_xlfn.XLOOKUP(C2961,Products!A2961:A3460,Products!B2961:B3460,"Product Missing",0)</f>
        <v>Product Missing</v>
      </c>
      <c r="H2961" s="7" t="str">
        <f>_xlfn.XLOOKUP(C2961,Products!A2961:A3460,Products!C2961:C3460,"Category Missing",0)</f>
        <v>Category Missing</v>
      </c>
      <c r="I2961" s="11" t="str">
        <f>_xlfn.XLOOKUP(Orders!C2961,Products!A2961:A3460,Products!D2961:D3460,"Price Missing",0)</f>
        <v>Price Missing</v>
      </c>
      <c r="J2961" s="19">
        <f t="shared" si="46"/>
        <v>0</v>
      </c>
    </row>
    <row r="2962" spans="1:10" x14ac:dyDescent="0.35">
      <c r="A2962" s="4" t="s">
        <v>6982</v>
      </c>
      <c r="B2962" s="7" t="s">
        <v>524</v>
      </c>
      <c r="C2962" s="7" t="s">
        <v>4018</v>
      </c>
      <c r="D2962" s="5">
        <v>5</v>
      </c>
      <c r="E2962" s="7" t="str">
        <f>_xlfn.XLOOKUP(B2962,Customers!A2962:A3961,Customers!B2962:B3961,"Customer Not Found",0)</f>
        <v>Customer Not Found</v>
      </c>
      <c r="F2962" s="7" t="str">
        <f>_xlfn.XLOOKUP(Orders!B2962,Customers!A2962:A3961,Customers!C2962:C3961,"Country not Found",0)</f>
        <v>Country not Found</v>
      </c>
      <c r="G2962" s="7" t="str">
        <f>_xlfn.XLOOKUP(C2962,Products!A2962:A3461,Products!B2962:B3461,"Product Missing",0)</f>
        <v>Product Missing</v>
      </c>
      <c r="H2962" s="7" t="str">
        <f>_xlfn.XLOOKUP(C2962,Products!A2962:A3461,Products!C2962:C3461,"Category Missing",0)</f>
        <v>Category Missing</v>
      </c>
      <c r="I2962" s="11" t="str">
        <f>_xlfn.XLOOKUP(Orders!C2962,Products!A2962:A3461,Products!D2962:D3461,"Price Missing",0)</f>
        <v>Price Missing</v>
      </c>
      <c r="J2962" s="19">
        <f t="shared" si="46"/>
        <v>0</v>
      </c>
    </row>
    <row r="2963" spans="1:10" x14ac:dyDescent="0.35">
      <c r="A2963" s="4" t="s">
        <v>6983</v>
      </c>
      <c r="B2963" s="7" t="s">
        <v>1769</v>
      </c>
      <c r="C2963" s="7" t="s">
        <v>3478</v>
      </c>
      <c r="D2963" s="5">
        <v>5</v>
      </c>
      <c r="E2963" s="7" t="str">
        <f>_xlfn.XLOOKUP(B2963,Customers!A2963:A3962,Customers!B2963:B3962,"Customer Not Found",0)</f>
        <v>Customer Not Found</v>
      </c>
      <c r="F2963" s="7" t="str">
        <f>_xlfn.XLOOKUP(Orders!B2963,Customers!A2963:A3962,Customers!C2963:C3962,"Country not Found",0)</f>
        <v>Country not Found</v>
      </c>
      <c r="G2963" s="7" t="str">
        <f>_xlfn.XLOOKUP(C2963,Products!A2963:A3462,Products!B2963:B3462,"Product Missing",0)</f>
        <v>Product Missing</v>
      </c>
      <c r="H2963" s="7" t="str">
        <f>_xlfn.XLOOKUP(C2963,Products!A2963:A3462,Products!C2963:C3462,"Category Missing",0)</f>
        <v>Category Missing</v>
      </c>
      <c r="I2963" s="11" t="str">
        <f>_xlfn.XLOOKUP(Orders!C2963,Products!A2963:A3462,Products!D2963:D3462,"Price Missing",0)</f>
        <v>Price Missing</v>
      </c>
      <c r="J2963" s="19">
        <f t="shared" si="46"/>
        <v>0</v>
      </c>
    </row>
    <row r="2964" spans="1:10" x14ac:dyDescent="0.35">
      <c r="A2964" s="4" t="s">
        <v>6984</v>
      </c>
      <c r="B2964" s="7" t="s">
        <v>2543</v>
      </c>
      <c r="C2964" s="7" t="s">
        <v>3906</v>
      </c>
      <c r="D2964" s="5">
        <v>2</v>
      </c>
      <c r="E2964" s="7" t="str">
        <f>_xlfn.XLOOKUP(B2964,Customers!A2964:A3963,Customers!B2964:B3963,"Customer Not Found",0)</f>
        <v>Customer Not Found</v>
      </c>
      <c r="F2964" s="7" t="str">
        <f>_xlfn.XLOOKUP(Orders!B2964,Customers!A2964:A3963,Customers!C2964:C3963,"Country not Found",0)</f>
        <v>Country not Found</v>
      </c>
      <c r="G2964" s="7" t="str">
        <f>_xlfn.XLOOKUP(C2964,Products!A2964:A3463,Products!B2964:B3463,"Product Missing",0)</f>
        <v>Product Missing</v>
      </c>
      <c r="H2964" s="7" t="str">
        <f>_xlfn.XLOOKUP(C2964,Products!A2964:A3463,Products!C2964:C3463,"Category Missing",0)</f>
        <v>Category Missing</v>
      </c>
      <c r="I2964" s="11" t="str">
        <f>_xlfn.XLOOKUP(Orders!C2964,Products!A2964:A3463,Products!D2964:D3463,"Price Missing",0)</f>
        <v>Price Missing</v>
      </c>
      <c r="J2964" s="19">
        <f t="shared" si="46"/>
        <v>0</v>
      </c>
    </row>
    <row r="2965" spans="1:10" x14ac:dyDescent="0.35">
      <c r="A2965" s="4" t="s">
        <v>6985</v>
      </c>
      <c r="B2965" s="7" t="s">
        <v>551</v>
      </c>
      <c r="C2965" s="7" t="s">
        <v>3716</v>
      </c>
      <c r="D2965" s="5">
        <v>7</v>
      </c>
      <c r="E2965" s="7" t="str">
        <f>_xlfn.XLOOKUP(B2965,Customers!A2965:A3964,Customers!B2965:B3964,"Customer Not Found",0)</f>
        <v>Customer Not Found</v>
      </c>
      <c r="F2965" s="7" t="str">
        <f>_xlfn.XLOOKUP(Orders!B2965,Customers!A2965:A3964,Customers!C2965:C3964,"Country not Found",0)</f>
        <v>Country not Found</v>
      </c>
      <c r="G2965" s="7" t="str">
        <f>_xlfn.XLOOKUP(C2965,Products!A2965:A3464,Products!B2965:B3464,"Product Missing",0)</f>
        <v>Product Missing</v>
      </c>
      <c r="H2965" s="7" t="str">
        <f>_xlfn.XLOOKUP(C2965,Products!A2965:A3464,Products!C2965:C3464,"Category Missing",0)</f>
        <v>Category Missing</v>
      </c>
      <c r="I2965" s="11" t="str">
        <f>_xlfn.XLOOKUP(Orders!C2965,Products!A2965:A3464,Products!D2965:D3464,"Price Missing",0)</f>
        <v>Price Missing</v>
      </c>
      <c r="J2965" s="19">
        <f t="shared" si="46"/>
        <v>0</v>
      </c>
    </row>
    <row r="2966" spans="1:10" x14ac:dyDescent="0.35">
      <c r="A2966" s="4" t="s">
        <v>6986</v>
      </c>
      <c r="B2966" s="7" t="s">
        <v>572</v>
      </c>
      <c r="C2966" s="7" t="s">
        <v>3450</v>
      </c>
      <c r="D2966" s="5">
        <v>10</v>
      </c>
      <c r="E2966" s="7" t="str">
        <f>_xlfn.XLOOKUP(B2966,Customers!A2966:A3965,Customers!B2966:B3965,"Customer Not Found",0)</f>
        <v>Customer Not Found</v>
      </c>
      <c r="F2966" s="7" t="str">
        <f>_xlfn.XLOOKUP(Orders!B2966,Customers!A2966:A3965,Customers!C2966:C3965,"Country not Found",0)</f>
        <v>Country not Found</v>
      </c>
      <c r="G2966" s="7" t="str">
        <f>_xlfn.XLOOKUP(C2966,Products!A2966:A3465,Products!B2966:B3465,"Product Missing",0)</f>
        <v>Product Missing</v>
      </c>
      <c r="H2966" s="7" t="str">
        <f>_xlfn.XLOOKUP(C2966,Products!A2966:A3465,Products!C2966:C3465,"Category Missing",0)</f>
        <v>Category Missing</v>
      </c>
      <c r="I2966" s="11" t="str">
        <f>_xlfn.XLOOKUP(Orders!C2966,Products!A2966:A3465,Products!D2966:D3465,"Price Missing",0)</f>
        <v>Price Missing</v>
      </c>
      <c r="J2966" s="19">
        <f t="shared" si="46"/>
        <v>0</v>
      </c>
    </row>
    <row r="2967" spans="1:10" x14ac:dyDescent="0.35">
      <c r="A2967" s="4" t="s">
        <v>6987</v>
      </c>
      <c r="B2967" s="7" t="s">
        <v>2018</v>
      </c>
      <c r="C2967" s="7" t="s">
        <v>4000</v>
      </c>
      <c r="D2967" s="5">
        <v>3</v>
      </c>
      <c r="E2967" s="7" t="str">
        <f>_xlfn.XLOOKUP(B2967,Customers!A2967:A3966,Customers!B2967:B3966,"Customer Not Found",0)</f>
        <v>Customer Not Found</v>
      </c>
      <c r="F2967" s="7" t="str">
        <f>_xlfn.XLOOKUP(Orders!B2967,Customers!A2967:A3966,Customers!C2967:C3966,"Country not Found",0)</f>
        <v>Country not Found</v>
      </c>
      <c r="G2967" s="7" t="str">
        <f>_xlfn.XLOOKUP(C2967,Products!A2967:A3466,Products!B2967:B3466,"Product Missing",0)</f>
        <v>Product Missing</v>
      </c>
      <c r="H2967" s="7" t="str">
        <f>_xlfn.XLOOKUP(C2967,Products!A2967:A3466,Products!C2967:C3466,"Category Missing",0)</f>
        <v>Category Missing</v>
      </c>
      <c r="I2967" s="11" t="str">
        <f>_xlfn.XLOOKUP(Orders!C2967,Products!A2967:A3466,Products!D2967:D3466,"Price Missing",0)</f>
        <v>Price Missing</v>
      </c>
      <c r="J2967" s="19">
        <f t="shared" si="46"/>
        <v>0</v>
      </c>
    </row>
    <row r="2968" spans="1:10" x14ac:dyDescent="0.35">
      <c r="A2968" s="4" t="s">
        <v>6988</v>
      </c>
      <c r="B2968" s="7" t="s">
        <v>2462</v>
      </c>
      <c r="C2968" s="7" t="s">
        <v>3300</v>
      </c>
      <c r="D2968" s="5">
        <v>4</v>
      </c>
      <c r="E2968" s="7" t="str">
        <f>_xlfn.XLOOKUP(B2968,Customers!A2968:A3967,Customers!B2968:B3967,"Customer Not Found",0)</f>
        <v>Customer Not Found</v>
      </c>
      <c r="F2968" s="7" t="str">
        <f>_xlfn.XLOOKUP(Orders!B2968,Customers!A2968:A3967,Customers!C2968:C3967,"Country not Found",0)</f>
        <v>Country not Found</v>
      </c>
      <c r="G2968" s="7" t="str">
        <f>_xlfn.XLOOKUP(C2968,Products!A2968:A3467,Products!B2968:B3467,"Product Missing",0)</f>
        <v>Product Missing</v>
      </c>
      <c r="H2968" s="7" t="str">
        <f>_xlfn.XLOOKUP(C2968,Products!A2968:A3467,Products!C2968:C3467,"Category Missing",0)</f>
        <v>Category Missing</v>
      </c>
      <c r="I2968" s="11" t="str">
        <f>_xlfn.XLOOKUP(Orders!C2968,Products!A2968:A3467,Products!D2968:D3467,"Price Missing",0)</f>
        <v>Price Missing</v>
      </c>
      <c r="J2968" s="19">
        <f t="shared" si="46"/>
        <v>0</v>
      </c>
    </row>
    <row r="2969" spans="1:10" x14ac:dyDescent="0.35">
      <c r="A2969" s="4" t="s">
        <v>6989</v>
      </c>
      <c r="B2969" s="7" t="s">
        <v>1844</v>
      </c>
      <c r="C2969" s="7" t="s">
        <v>3698</v>
      </c>
      <c r="D2969" s="5">
        <v>4</v>
      </c>
      <c r="E2969" s="7" t="str">
        <f>_xlfn.XLOOKUP(B2969,Customers!A2969:A3968,Customers!B2969:B3968,"Customer Not Found",0)</f>
        <v>Customer Not Found</v>
      </c>
      <c r="F2969" s="7" t="str">
        <f>_xlfn.XLOOKUP(Orders!B2969,Customers!A2969:A3968,Customers!C2969:C3968,"Country not Found",0)</f>
        <v>Country not Found</v>
      </c>
      <c r="G2969" s="7" t="str">
        <f>_xlfn.XLOOKUP(C2969,Products!A2969:A3468,Products!B2969:B3468,"Product Missing",0)</f>
        <v>Product Missing</v>
      </c>
      <c r="H2969" s="7" t="str">
        <f>_xlfn.XLOOKUP(C2969,Products!A2969:A3468,Products!C2969:C3468,"Category Missing",0)</f>
        <v>Category Missing</v>
      </c>
      <c r="I2969" s="11" t="str">
        <f>_xlfn.XLOOKUP(Orders!C2969,Products!A2969:A3468,Products!D2969:D3468,"Price Missing",0)</f>
        <v>Price Missing</v>
      </c>
      <c r="J2969" s="19">
        <f t="shared" si="46"/>
        <v>0</v>
      </c>
    </row>
    <row r="2970" spans="1:10" x14ac:dyDescent="0.35">
      <c r="A2970" s="4" t="s">
        <v>6990</v>
      </c>
      <c r="B2970" s="7" t="s">
        <v>33</v>
      </c>
      <c r="C2970" s="7" t="s">
        <v>3550</v>
      </c>
      <c r="D2970" s="5">
        <v>8</v>
      </c>
      <c r="E2970" s="7" t="str">
        <f>_xlfn.XLOOKUP(B2970,Customers!A2970:A3969,Customers!B2970:B3969,"Customer Not Found",0)</f>
        <v>Customer Not Found</v>
      </c>
      <c r="F2970" s="7" t="str">
        <f>_xlfn.XLOOKUP(Orders!B2970,Customers!A2970:A3969,Customers!C2970:C3969,"Country not Found",0)</f>
        <v>Country not Found</v>
      </c>
      <c r="G2970" s="7" t="str">
        <f>_xlfn.XLOOKUP(C2970,Products!A2970:A3469,Products!B2970:B3469,"Product Missing",0)</f>
        <v>Product Missing</v>
      </c>
      <c r="H2970" s="7" t="str">
        <f>_xlfn.XLOOKUP(C2970,Products!A2970:A3469,Products!C2970:C3469,"Category Missing",0)</f>
        <v>Category Missing</v>
      </c>
      <c r="I2970" s="11" t="str">
        <f>_xlfn.XLOOKUP(Orders!C2970,Products!A2970:A3469,Products!D2970:D3469,"Price Missing",0)</f>
        <v>Price Missing</v>
      </c>
      <c r="J2970" s="19">
        <f t="shared" si="46"/>
        <v>0</v>
      </c>
    </row>
    <row r="2971" spans="1:10" x14ac:dyDescent="0.35">
      <c r="A2971" s="4" t="s">
        <v>6991</v>
      </c>
      <c r="B2971" s="7" t="s">
        <v>209</v>
      </c>
      <c r="C2971" s="7" t="s">
        <v>3848</v>
      </c>
      <c r="D2971" s="5">
        <v>5</v>
      </c>
      <c r="E2971" s="7" t="str">
        <f>_xlfn.XLOOKUP(B2971,Customers!A2971:A3970,Customers!B2971:B3970,"Customer Not Found",0)</f>
        <v>Customer Not Found</v>
      </c>
      <c r="F2971" s="7" t="str">
        <f>_xlfn.XLOOKUP(Orders!B2971,Customers!A2971:A3970,Customers!C2971:C3970,"Country not Found",0)</f>
        <v>Country not Found</v>
      </c>
      <c r="G2971" s="7" t="str">
        <f>_xlfn.XLOOKUP(C2971,Products!A2971:A3470,Products!B2971:B3470,"Product Missing",0)</f>
        <v>Product Missing</v>
      </c>
      <c r="H2971" s="7" t="str">
        <f>_xlfn.XLOOKUP(C2971,Products!A2971:A3470,Products!C2971:C3470,"Category Missing",0)</f>
        <v>Category Missing</v>
      </c>
      <c r="I2971" s="11" t="str">
        <f>_xlfn.XLOOKUP(Orders!C2971,Products!A2971:A3470,Products!D2971:D3470,"Price Missing",0)</f>
        <v>Price Missing</v>
      </c>
      <c r="J2971" s="19">
        <f t="shared" si="46"/>
        <v>0</v>
      </c>
    </row>
    <row r="2972" spans="1:10" x14ac:dyDescent="0.35">
      <c r="A2972" s="4" t="s">
        <v>6992</v>
      </c>
      <c r="B2972" s="7" t="s">
        <v>314</v>
      </c>
      <c r="C2972" s="7" t="s">
        <v>3236</v>
      </c>
      <c r="D2972" s="5">
        <v>9</v>
      </c>
      <c r="E2972" s="7" t="str">
        <f>_xlfn.XLOOKUP(B2972,Customers!A2972:A3971,Customers!B2972:B3971,"Customer Not Found",0)</f>
        <v>Customer Not Found</v>
      </c>
      <c r="F2972" s="7" t="str">
        <f>_xlfn.XLOOKUP(Orders!B2972,Customers!A2972:A3971,Customers!C2972:C3971,"Country not Found",0)</f>
        <v>Country not Found</v>
      </c>
      <c r="G2972" s="7" t="str">
        <f>_xlfn.XLOOKUP(C2972,Products!A2972:A3471,Products!B2972:B3471,"Product Missing",0)</f>
        <v>Product Missing</v>
      </c>
      <c r="H2972" s="7" t="str">
        <f>_xlfn.XLOOKUP(C2972,Products!A2972:A3471,Products!C2972:C3471,"Category Missing",0)</f>
        <v>Category Missing</v>
      </c>
      <c r="I2972" s="11" t="str">
        <f>_xlfn.XLOOKUP(Orders!C2972,Products!A2972:A3471,Products!D2972:D3471,"Price Missing",0)</f>
        <v>Price Missing</v>
      </c>
      <c r="J2972" s="19">
        <f t="shared" si="46"/>
        <v>0</v>
      </c>
    </row>
    <row r="2973" spans="1:10" x14ac:dyDescent="0.35">
      <c r="A2973" s="4" t="s">
        <v>6993</v>
      </c>
      <c r="B2973" s="7" t="s">
        <v>794</v>
      </c>
      <c r="C2973" s="7" t="s">
        <v>3282</v>
      </c>
      <c r="D2973" s="5">
        <v>3</v>
      </c>
      <c r="E2973" s="7" t="str">
        <f>_xlfn.XLOOKUP(B2973,Customers!A2973:A3972,Customers!B2973:B3972,"Customer Not Found",0)</f>
        <v>Customer Not Found</v>
      </c>
      <c r="F2973" s="7" t="str">
        <f>_xlfn.XLOOKUP(Orders!B2973,Customers!A2973:A3972,Customers!C2973:C3972,"Country not Found",0)</f>
        <v>Country not Found</v>
      </c>
      <c r="G2973" s="7" t="str">
        <f>_xlfn.XLOOKUP(C2973,Products!A2973:A3472,Products!B2973:B3472,"Product Missing",0)</f>
        <v>Product Missing</v>
      </c>
      <c r="H2973" s="7" t="str">
        <f>_xlfn.XLOOKUP(C2973,Products!A2973:A3472,Products!C2973:C3472,"Category Missing",0)</f>
        <v>Category Missing</v>
      </c>
      <c r="I2973" s="11" t="str">
        <f>_xlfn.XLOOKUP(Orders!C2973,Products!A2973:A3472,Products!D2973:D3472,"Price Missing",0)</f>
        <v>Price Missing</v>
      </c>
      <c r="J2973" s="19">
        <f t="shared" si="46"/>
        <v>0</v>
      </c>
    </row>
    <row r="2974" spans="1:10" x14ac:dyDescent="0.35">
      <c r="A2974" s="4" t="s">
        <v>6994</v>
      </c>
      <c r="B2974" s="7" t="s">
        <v>1523</v>
      </c>
      <c r="C2974" s="7" t="s">
        <v>3668</v>
      </c>
      <c r="D2974" s="5">
        <v>10</v>
      </c>
      <c r="E2974" s="7" t="str">
        <f>_xlfn.XLOOKUP(B2974,Customers!A2974:A3973,Customers!B2974:B3973,"Customer Not Found",0)</f>
        <v>Customer Not Found</v>
      </c>
      <c r="F2974" s="7" t="str">
        <f>_xlfn.XLOOKUP(Orders!B2974,Customers!A2974:A3973,Customers!C2974:C3973,"Country not Found",0)</f>
        <v>Country not Found</v>
      </c>
      <c r="G2974" s="7" t="str">
        <f>_xlfn.XLOOKUP(C2974,Products!A2974:A3473,Products!B2974:B3473,"Product Missing",0)</f>
        <v>Product Missing</v>
      </c>
      <c r="H2974" s="7" t="str">
        <f>_xlfn.XLOOKUP(C2974,Products!A2974:A3473,Products!C2974:C3473,"Category Missing",0)</f>
        <v>Category Missing</v>
      </c>
      <c r="I2974" s="11" t="str">
        <f>_xlfn.XLOOKUP(Orders!C2974,Products!A2974:A3473,Products!D2974:D3473,"Price Missing",0)</f>
        <v>Price Missing</v>
      </c>
      <c r="J2974" s="19">
        <f t="shared" si="46"/>
        <v>0</v>
      </c>
    </row>
    <row r="2975" spans="1:10" x14ac:dyDescent="0.35">
      <c r="A2975" s="4" t="s">
        <v>6995</v>
      </c>
      <c r="B2975" s="7" t="s">
        <v>1790</v>
      </c>
      <c r="C2975" s="7" t="s">
        <v>3142</v>
      </c>
      <c r="D2975" s="5">
        <v>10</v>
      </c>
      <c r="E2975" s="7" t="str">
        <f>_xlfn.XLOOKUP(B2975,Customers!A2975:A3974,Customers!B2975:B3974,"Customer Not Found",0)</f>
        <v>Customer Not Found</v>
      </c>
      <c r="F2975" s="7" t="str">
        <f>_xlfn.XLOOKUP(Orders!B2975,Customers!A2975:A3974,Customers!C2975:C3974,"Country not Found",0)</f>
        <v>Country not Found</v>
      </c>
      <c r="G2975" s="7" t="str">
        <f>_xlfn.XLOOKUP(C2975,Products!A2975:A3474,Products!B2975:B3474,"Product Missing",0)</f>
        <v>Product Missing</v>
      </c>
      <c r="H2975" s="7" t="str">
        <f>_xlfn.XLOOKUP(C2975,Products!A2975:A3474,Products!C2975:C3474,"Category Missing",0)</f>
        <v>Category Missing</v>
      </c>
      <c r="I2975" s="11" t="str">
        <f>_xlfn.XLOOKUP(Orders!C2975,Products!A2975:A3474,Products!D2975:D3474,"Price Missing",0)</f>
        <v>Price Missing</v>
      </c>
      <c r="J2975" s="19">
        <f t="shared" si="46"/>
        <v>0</v>
      </c>
    </row>
    <row r="2976" spans="1:10" x14ac:dyDescent="0.35">
      <c r="A2976" s="4" t="s">
        <v>6996</v>
      </c>
      <c r="B2976" s="7" t="s">
        <v>401</v>
      </c>
      <c r="C2976" s="7" t="s">
        <v>3512</v>
      </c>
      <c r="D2976" s="5">
        <v>5</v>
      </c>
      <c r="E2976" s="7" t="str">
        <f>_xlfn.XLOOKUP(B2976,Customers!A2976:A3975,Customers!B2976:B3975,"Customer Not Found",0)</f>
        <v>Customer Not Found</v>
      </c>
      <c r="F2976" s="7" t="str">
        <f>_xlfn.XLOOKUP(Orders!B2976,Customers!A2976:A3975,Customers!C2976:C3975,"Country not Found",0)</f>
        <v>Country not Found</v>
      </c>
      <c r="G2976" s="7" t="str">
        <f>_xlfn.XLOOKUP(C2976,Products!A2976:A3475,Products!B2976:B3475,"Product Missing",0)</f>
        <v>Product Missing</v>
      </c>
      <c r="H2976" s="7" t="str">
        <f>_xlfn.XLOOKUP(C2976,Products!A2976:A3475,Products!C2976:C3475,"Category Missing",0)</f>
        <v>Category Missing</v>
      </c>
      <c r="I2976" s="11" t="str">
        <f>_xlfn.XLOOKUP(Orders!C2976,Products!A2976:A3475,Products!D2976:D3475,"Price Missing",0)</f>
        <v>Price Missing</v>
      </c>
      <c r="J2976" s="19">
        <f t="shared" si="46"/>
        <v>0</v>
      </c>
    </row>
    <row r="2977" spans="1:10" x14ac:dyDescent="0.35">
      <c r="A2977" s="4" t="s">
        <v>6997</v>
      </c>
      <c r="B2977" s="7" t="s">
        <v>1760</v>
      </c>
      <c r="C2977" s="7" t="s">
        <v>3366</v>
      </c>
      <c r="D2977" s="5">
        <v>9</v>
      </c>
      <c r="E2977" s="7" t="str">
        <f>_xlfn.XLOOKUP(B2977,Customers!A2977:A3976,Customers!B2977:B3976,"Customer Not Found",0)</f>
        <v>Customer Not Found</v>
      </c>
      <c r="F2977" s="7" t="str">
        <f>_xlfn.XLOOKUP(Orders!B2977,Customers!A2977:A3976,Customers!C2977:C3976,"Country not Found",0)</f>
        <v>Country not Found</v>
      </c>
      <c r="G2977" s="7" t="str">
        <f>_xlfn.XLOOKUP(C2977,Products!A2977:A3476,Products!B2977:B3476,"Product Missing",0)</f>
        <v>Product Missing</v>
      </c>
      <c r="H2977" s="7" t="str">
        <f>_xlfn.XLOOKUP(C2977,Products!A2977:A3476,Products!C2977:C3476,"Category Missing",0)</f>
        <v>Category Missing</v>
      </c>
      <c r="I2977" s="11" t="str">
        <f>_xlfn.XLOOKUP(Orders!C2977,Products!A2977:A3476,Products!D2977:D3476,"Price Missing",0)</f>
        <v>Price Missing</v>
      </c>
      <c r="J2977" s="19">
        <f t="shared" si="46"/>
        <v>0</v>
      </c>
    </row>
    <row r="2978" spans="1:10" x14ac:dyDescent="0.35">
      <c r="A2978" s="4" t="s">
        <v>6998</v>
      </c>
      <c r="B2978" s="7" t="s">
        <v>887</v>
      </c>
      <c r="C2978" s="7" t="s">
        <v>3844</v>
      </c>
      <c r="D2978" s="5">
        <v>4</v>
      </c>
      <c r="E2978" s="7" t="str">
        <f>_xlfn.XLOOKUP(B2978,Customers!A2978:A3977,Customers!B2978:B3977,"Customer Not Found",0)</f>
        <v>Customer Not Found</v>
      </c>
      <c r="F2978" s="7" t="str">
        <f>_xlfn.XLOOKUP(Orders!B2978,Customers!A2978:A3977,Customers!C2978:C3977,"Country not Found",0)</f>
        <v>Country not Found</v>
      </c>
      <c r="G2978" s="7" t="str">
        <f>_xlfn.XLOOKUP(C2978,Products!A2978:A3477,Products!B2978:B3477,"Product Missing",0)</f>
        <v>Product Missing</v>
      </c>
      <c r="H2978" s="7" t="str">
        <f>_xlfn.XLOOKUP(C2978,Products!A2978:A3477,Products!C2978:C3477,"Category Missing",0)</f>
        <v>Category Missing</v>
      </c>
      <c r="I2978" s="11" t="str">
        <f>_xlfn.XLOOKUP(Orders!C2978,Products!A2978:A3477,Products!D2978:D3477,"Price Missing",0)</f>
        <v>Price Missing</v>
      </c>
      <c r="J2978" s="19">
        <f t="shared" si="46"/>
        <v>0</v>
      </c>
    </row>
    <row r="2979" spans="1:10" x14ac:dyDescent="0.35">
      <c r="A2979" s="4" t="s">
        <v>6999</v>
      </c>
      <c r="B2979" s="7" t="s">
        <v>2555</v>
      </c>
      <c r="C2979" s="7" t="s">
        <v>3132</v>
      </c>
      <c r="D2979" s="5">
        <v>7</v>
      </c>
      <c r="E2979" s="7" t="str">
        <f>_xlfn.XLOOKUP(B2979,Customers!A2979:A3978,Customers!B2979:B3978,"Customer Not Found",0)</f>
        <v>Customer Not Found</v>
      </c>
      <c r="F2979" s="7" t="str">
        <f>_xlfn.XLOOKUP(Orders!B2979,Customers!A2979:A3978,Customers!C2979:C3978,"Country not Found",0)</f>
        <v>Country not Found</v>
      </c>
      <c r="G2979" s="7" t="str">
        <f>_xlfn.XLOOKUP(C2979,Products!A2979:A3478,Products!B2979:B3478,"Product Missing",0)</f>
        <v>Product Missing</v>
      </c>
      <c r="H2979" s="7" t="str">
        <f>_xlfn.XLOOKUP(C2979,Products!A2979:A3478,Products!C2979:C3478,"Category Missing",0)</f>
        <v>Category Missing</v>
      </c>
      <c r="I2979" s="11" t="str">
        <f>_xlfn.XLOOKUP(Orders!C2979,Products!A2979:A3478,Products!D2979:D3478,"Price Missing",0)</f>
        <v>Price Missing</v>
      </c>
      <c r="J2979" s="19">
        <f t="shared" si="46"/>
        <v>0</v>
      </c>
    </row>
    <row r="2980" spans="1:10" x14ac:dyDescent="0.35">
      <c r="A2980" s="4" t="s">
        <v>7000</v>
      </c>
      <c r="B2980" s="7" t="s">
        <v>2135</v>
      </c>
      <c r="C2980" s="7" t="s">
        <v>3152</v>
      </c>
      <c r="D2980" s="5">
        <v>6</v>
      </c>
      <c r="E2980" s="7" t="str">
        <f>_xlfn.XLOOKUP(B2980,Customers!A2980:A3979,Customers!B2980:B3979,"Customer Not Found",0)</f>
        <v>Customer Not Found</v>
      </c>
      <c r="F2980" s="7" t="str">
        <f>_xlfn.XLOOKUP(Orders!B2980,Customers!A2980:A3979,Customers!C2980:C3979,"Country not Found",0)</f>
        <v>Country not Found</v>
      </c>
      <c r="G2980" s="7" t="str">
        <f>_xlfn.XLOOKUP(C2980,Products!A2980:A3479,Products!B2980:B3479,"Product Missing",0)</f>
        <v>Product Missing</v>
      </c>
      <c r="H2980" s="7" t="str">
        <f>_xlfn.XLOOKUP(C2980,Products!A2980:A3479,Products!C2980:C3479,"Category Missing",0)</f>
        <v>Category Missing</v>
      </c>
      <c r="I2980" s="11" t="str">
        <f>_xlfn.XLOOKUP(Orders!C2980,Products!A2980:A3479,Products!D2980:D3479,"Price Missing",0)</f>
        <v>Price Missing</v>
      </c>
      <c r="J2980" s="19">
        <f t="shared" si="46"/>
        <v>0</v>
      </c>
    </row>
    <row r="2981" spans="1:10" x14ac:dyDescent="0.35">
      <c r="A2981" s="4" t="s">
        <v>7001</v>
      </c>
      <c r="B2981" s="7" t="s">
        <v>1232</v>
      </c>
      <c r="C2981" s="7" t="s">
        <v>3696</v>
      </c>
      <c r="D2981" s="5">
        <v>8</v>
      </c>
      <c r="E2981" s="7" t="str">
        <f>_xlfn.XLOOKUP(B2981,Customers!A2981:A3980,Customers!B2981:B3980,"Customer Not Found",0)</f>
        <v>Customer Not Found</v>
      </c>
      <c r="F2981" s="7" t="str">
        <f>_xlfn.XLOOKUP(Orders!B2981,Customers!A2981:A3980,Customers!C2981:C3980,"Country not Found",0)</f>
        <v>Country not Found</v>
      </c>
      <c r="G2981" s="7" t="str">
        <f>_xlfn.XLOOKUP(C2981,Products!A2981:A3480,Products!B2981:B3480,"Product Missing",0)</f>
        <v>Product Missing</v>
      </c>
      <c r="H2981" s="7" t="str">
        <f>_xlfn.XLOOKUP(C2981,Products!A2981:A3480,Products!C2981:C3480,"Category Missing",0)</f>
        <v>Category Missing</v>
      </c>
      <c r="I2981" s="11" t="str">
        <f>_xlfn.XLOOKUP(Orders!C2981,Products!A2981:A3480,Products!D2981:D3480,"Price Missing",0)</f>
        <v>Price Missing</v>
      </c>
      <c r="J2981" s="19">
        <f t="shared" si="46"/>
        <v>0</v>
      </c>
    </row>
    <row r="2982" spans="1:10" x14ac:dyDescent="0.35">
      <c r="A2982" s="4" t="s">
        <v>7002</v>
      </c>
      <c r="B2982" s="7" t="s">
        <v>1739</v>
      </c>
      <c r="C2982" s="7" t="s">
        <v>3484</v>
      </c>
      <c r="D2982" s="5">
        <v>9</v>
      </c>
      <c r="E2982" s="7" t="str">
        <f>_xlfn.XLOOKUP(B2982,Customers!A2982:A3981,Customers!B2982:B3981,"Customer Not Found",0)</f>
        <v>Customer Not Found</v>
      </c>
      <c r="F2982" s="7" t="str">
        <f>_xlfn.XLOOKUP(Orders!B2982,Customers!A2982:A3981,Customers!C2982:C3981,"Country not Found",0)</f>
        <v>Country not Found</v>
      </c>
      <c r="G2982" s="7" t="str">
        <f>_xlfn.XLOOKUP(C2982,Products!A2982:A3481,Products!B2982:B3481,"Product Missing",0)</f>
        <v>Product Missing</v>
      </c>
      <c r="H2982" s="7" t="str">
        <f>_xlfn.XLOOKUP(C2982,Products!A2982:A3481,Products!C2982:C3481,"Category Missing",0)</f>
        <v>Category Missing</v>
      </c>
      <c r="I2982" s="11" t="str">
        <f>_xlfn.XLOOKUP(Orders!C2982,Products!A2982:A3481,Products!D2982:D3481,"Price Missing",0)</f>
        <v>Price Missing</v>
      </c>
      <c r="J2982" s="19">
        <f t="shared" si="46"/>
        <v>0</v>
      </c>
    </row>
    <row r="2983" spans="1:10" x14ac:dyDescent="0.35">
      <c r="A2983" s="4" t="s">
        <v>7003</v>
      </c>
      <c r="B2983" s="7" t="s">
        <v>575</v>
      </c>
      <c r="C2983" s="7" t="s">
        <v>3918</v>
      </c>
      <c r="D2983" s="5">
        <v>6</v>
      </c>
      <c r="E2983" s="7" t="str">
        <f>_xlfn.XLOOKUP(B2983,Customers!A2983:A3982,Customers!B2983:B3982,"Customer Not Found",0)</f>
        <v>Customer Not Found</v>
      </c>
      <c r="F2983" s="7" t="str">
        <f>_xlfn.XLOOKUP(Orders!B2983,Customers!A2983:A3982,Customers!C2983:C3982,"Country not Found",0)</f>
        <v>Country not Found</v>
      </c>
      <c r="G2983" s="7" t="str">
        <f>_xlfn.XLOOKUP(C2983,Products!A2983:A3482,Products!B2983:B3482,"Product Missing",0)</f>
        <v>Product Missing</v>
      </c>
      <c r="H2983" s="7" t="str">
        <f>_xlfn.XLOOKUP(C2983,Products!A2983:A3482,Products!C2983:C3482,"Category Missing",0)</f>
        <v>Category Missing</v>
      </c>
      <c r="I2983" s="11" t="str">
        <f>_xlfn.XLOOKUP(Orders!C2983,Products!A2983:A3482,Products!D2983:D3482,"Price Missing",0)</f>
        <v>Price Missing</v>
      </c>
      <c r="J2983" s="19">
        <f t="shared" si="46"/>
        <v>0</v>
      </c>
    </row>
    <row r="2984" spans="1:10" x14ac:dyDescent="0.35">
      <c r="A2984" s="4" t="s">
        <v>7004</v>
      </c>
      <c r="B2984" s="7" t="s">
        <v>2873</v>
      </c>
      <c r="C2984" s="7" t="s">
        <v>3078</v>
      </c>
      <c r="D2984" s="5">
        <v>4</v>
      </c>
      <c r="E2984" s="7" t="str">
        <f>_xlfn.XLOOKUP(B2984,Customers!A2984:A3983,Customers!B2984:B3983,"Customer Not Found",0)</f>
        <v>Customer Not Found</v>
      </c>
      <c r="F2984" s="7" t="str">
        <f>_xlfn.XLOOKUP(Orders!B2984,Customers!A2984:A3983,Customers!C2984:C3983,"Country not Found",0)</f>
        <v>Country not Found</v>
      </c>
      <c r="G2984" s="7" t="str">
        <f>_xlfn.XLOOKUP(C2984,Products!A2984:A3483,Products!B2984:B3483,"Product Missing",0)</f>
        <v>Product Missing</v>
      </c>
      <c r="H2984" s="7" t="str">
        <f>_xlfn.XLOOKUP(C2984,Products!A2984:A3483,Products!C2984:C3483,"Category Missing",0)</f>
        <v>Category Missing</v>
      </c>
      <c r="I2984" s="11" t="str">
        <f>_xlfn.XLOOKUP(Orders!C2984,Products!A2984:A3483,Products!D2984:D3483,"Price Missing",0)</f>
        <v>Price Missing</v>
      </c>
      <c r="J2984" s="19">
        <f t="shared" si="46"/>
        <v>0</v>
      </c>
    </row>
    <row r="2985" spans="1:10" x14ac:dyDescent="0.35">
      <c r="A2985" s="4" t="s">
        <v>7005</v>
      </c>
      <c r="B2985" s="7" t="s">
        <v>1643</v>
      </c>
      <c r="C2985" s="7" t="s">
        <v>3640</v>
      </c>
      <c r="D2985" s="5">
        <v>5</v>
      </c>
      <c r="E2985" s="7" t="str">
        <f>_xlfn.XLOOKUP(B2985,Customers!A2985:A3984,Customers!B2985:B3984,"Customer Not Found",0)</f>
        <v>Customer Not Found</v>
      </c>
      <c r="F2985" s="7" t="str">
        <f>_xlfn.XLOOKUP(Orders!B2985,Customers!A2985:A3984,Customers!C2985:C3984,"Country not Found",0)</f>
        <v>Country not Found</v>
      </c>
      <c r="G2985" s="7" t="str">
        <f>_xlfn.XLOOKUP(C2985,Products!A2985:A3484,Products!B2985:B3484,"Product Missing",0)</f>
        <v>Product Missing</v>
      </c>
      <c r="H2985" s="7" t="str">
        <f>_xlfn.XLOOKUP(C2985,Products!A2985:A3484,Products!C2985:C3484,"Category Missing",0)</f>
        <v>Category Missing</v>
      </c>
      <c r="I2985" s="11" t="str">
        <f>_xlfn.XLOOKUP(Orders!C2985,Products!A2985:A3484,Products!D2985:D3484,"Price Missing",0)</f>
        <v>Price Missing</v>
      </c>
      <c r="J2985" s="19">
        <f t="shared" si="46"/>
        <v>0</v>
      </c>
    </row>
    <row r="2986" spans="1:10" x14ac:dyDescent="0.35">
      <c r="A2986" s="4" t="s">
        <v>7006</v>
      </c>
      <c r="B2986" s="7" t="s">
        <v>347</v>
      </c>
      <c r="C2986" s="7" t="s">
        <v>3676</v>
      </c>
      <c r="D2986" s="5">
        <v>9</v>
      </c>
      <c r="E2986" s="7" t="str">
        <f>_xlfn.XLOOKUP(B2986,Customers!A2986:A3985,Customers!B2986:B3985,"Customer Not Found",0)</f>
        <v>Customer Not Found</v>
      </c>
      <c r="F2986" s="7" t="str">
        <f>_xlfn.XLOOKUP(Orders!B2986,Customers!A2986:A3985,Customers!C2986:C3985,"Country not Found",0)</f>
        <v>Country not Found</v>
      </c>
      <c r="G2986" s="7" t="str">
        <f>_xlfn.XLOOKUP(C2986,Products!A2986:A3485,Products!B2986:B3485,"Product Missing",0)</f>
        <v>Product Missing</v>
      </c>
      <c r="H2986" s="7" t="str">
        <f>_xlfn.XLOOKUP(C2986,Products!A2986:A3485,Products!C2986:C3485,"Category Missing",0)</f>
        <v>Category Missing</v>
      </c>
      <c r="I2986" s="11" t="str">
        <f>_xlfn.XLOOKUP(Orders!C2986,Products!A2986:A3485,Products!D2986:D3485,"Price Missing",0)</f>
        <v>Price Missing</v>
      </c>
      <c r="J2986" s="19">
        <f t="shared" si="46"/>
        <v>0</v>
      </c>
    </row>
    <row r="2987" spans="1:10" x14ac:dyDescent="0.35">
      <c r="A2987" s="4" t="s">
        <v>7007</v>
      </c>
      <c r="B2987" s="7" t="s">
        <v>1439</v>
      </c>
      <c r="C2987" s="7" t="s">
        <v>3984</v>
      </c>
      <c r="D2987" s="5">
        <v>8</v>
      </c>
      <c r="E2987" s="7" t="str">
        <f>_xlfn.XLOOKUP(B2987,Customers!A2987:A3986,Customers!B2987:B3986,"Customer Not Found",0)</f>
        <v>Customer Not Found</v>
      </c>
      <c r="F2987" s="7" t="str">
        <f>_xlfn.XLOOKUP(Orders!B2987,Customers!A2987:A3986,Customers!C2987:C3986,"Country not Found",0)</f>
        <v>Country not Found</v>
      </c>
      <c r="G2987" s="7" t="str">
        <f>_xlfn.XLOOKUP(C2987,Products!A2987:A3486,Products!B2987:B3486,"Product Missing",0)</f>
        <v>Product Missing</v>
      </c>
      <c r="H2987" s="7" t="str">
        <f>_xlfn.XLOOKUP(C2987,Products!A2987:A3486,Products!C2987:C3486,"Category Missing",0)</f>
        <v>Category Missing</v>
      </c>
      <c r="I2987" s="11" t="str">
        <f>_xlfn.XLOOKUP(Orders!C2987,Products!A2987:A3486,Products!D2987:D3486,"Price Missing",0)</f>
        <v>Price Missing</v>
      </c>
      <c r="J2987" s="19">
        <f t="shared" si="46"/>
        <v>0</v>
      </c>
    </row>
    <row r="2988" spans="1:10" x14ac:dyDescent="0.35">
      <c r="A2988" s="4" t="s">
        <v>7008</v>
      </c>
      <c r="B2988" s="7" t="s">
        <v>122</v>
      </c>
      <c r="C2988" s="7" t="s">
        <v>3564</v>
      </c>
      <c r="D2988" s="5">
        <v>1</v>
      </c>
      <c r="E2988" s="7" t="str">
        <f>_xlfn.XLOOKUP(B2988,Customers!A2988:A3987,Customers!B2988:B3987,"Customer Not Found",0)</f>
        <v>Customer Not Found</v>
      </c>
      <c r="F2988" s="7" t="str">
        <f>_xlfn.XLOOKUP(Orders!B2988,Customers!A2988:A3987,Customers!C2988:C3987,"Country not Found",0)</f>
        <v>Country not Found</v>
      </c>
      <c r="G2988" s="7" t="str">
        <f>_xlfn.XLOOKUP(C2988,Products!A2988:A3487,Products!B2988:B3487,"Product Missing",0)</f>
        <v>Product Missing</v>
      </c>
      <c r="H2988" s="7" t="str">
        <f>_xlfn.XLOOKUP(C2988,Products!A2988:A3487,Products!C2988:C3487,"Category Missing",0)</f>
        <v>Category Missing</v>
      </c>
      <c r="I2988" s="11" t="str">
        <f>_xlfn.XLOOKUP(Orders!C2988,Products!A2988:A3487,Products!D2988:D3487,"Price Missing",0)</f>
        <v>Price Missing</v>
      </c>
      <c r="J2988" s="19">
        <f t="shared" si="46"/>
        <v>0</v>
      </c>
    </row>
    <row r="2989" spans="1:10" x14ac:dyDescent="0.35">
      <c r="A2989" s="4" t="s">
        <v>7009</v>
      </c>
      <c r="B2989" s="7" t="s">
        <v>731</v>
      </c>
      <c r="C2989" s="7" t="s">
        <v>3468</v>
      </c>
      <c r="D2989" s="5">
        <v>10</v>
      </c>
      <c r="E2989" s="7" t="str">
        <f>_xlfn.XLOOKUP(B2989,Customers!A2989:A3988,Customers!B2989:B3988,"Customer Not Found",0)</f>
        <v>Customer Not Found</v>
      </c>
      <c r="F2989" s="7" t="str">
        <f>_xlfn.XLOOKUP(Orders!B2989,Customers!A2989:A3988,Customers!C2989:C3988,"Country not Found",0)</f>
        <v>Country not Found</v>
      </c>
      <c r="G2989" s="7" t="str">
        <f>_xlfn.XLOOKUP(C2989,Products!A2989:A3488,Products!B2989:B3488,"Product Missing",0)</f>
        <v>Product Missing</v>
      </c>
      <c r="H2989" s="7" t="str">
        <f>_xlfn.XLOOKUP(C2989,Products!A2989:A3488,Products!C2989:C3488,"Category Missing",0)</f>
        <v>Category Missing</v>
      </c>
      <c r="I2989" s="11" t="str">
        <f>_xlfn.XLOOKUP(Orders!C2989,Products!A2989:A3488,Products!D2989:D3488,"Price Missing",0)</f>
        <v>Price Missing</v>
      </c>
      <c r="J2989" s="19">
        <f t="shared" si="46"/>
        <v>0</v>
      </c>
    </row>
    <row r="2990" spans="1:10" x14ac:dyDescent="0.35">
      <c r="A2990" s="4" t="s">
        <v>7010</v>
      </c>
      <c r="B2990" s="7" t="s">
        <v>794</v>
      </c>
      <c r="C2990" s="7" t="s">
        <v>3946</v>
      </c>
      <c r="D2990" s="5">
        <v>5</v>
      </c>
      <c r="E2990" s="7" t="str">
        <f>_xlfn.XLOOKUP(B2990,Customers!A2990:A3989,Customers!B2990:B3989,"Customer Not Found",0)</f>
        <v>Customer Not Found</v>
      </c>
      <c r="F2990" s="7" t="str">
        <f>_xlfn.XLOOKUP(Orders!B2990,Customers!A2990:A3989,Customers!C2990:C3989,"Country not Found",0)</f>
        <v>Country not Found</v>
      </c>
      <c r="G2990" s="7" t="str">
        <f>_xlfn.XLOOKUP(C2990,Products!A2990:A3489,Products!B2990:B3489,"Product Missing",0)</f>
        <v>Product Missing</v>
      </c>
      <c r="H2990" s="7" t="str">
        <f>_xlfn.XLOOKUP(C2990,Products!A2990:A3489,Products!C2990:C3489,"Category Missing",0)</f>
        <v>Category Missing</v>
      </c>
      <c r="I2990" s="11" t="str">
        <f>_xlfn.XLOOKUP(Orders!C2990,Products!A2990:A3489,Products!D2990:D3489,"Price Missing",0)</f>
        <v>Price Missing</v>
      </c>
      <c r="J2990" s="19">
        <f t="shared" si="46"/>
        <v>0</v>
      </c>
    </row>
    <row r="2991" spans="1:10" x14ac:dyDescent="0.35">
      <c r="A2991" s="4" t="s">
        <v>7011</v>
      </c>
      <c r="B2991" s="7" t="s">
        <v>671</v>
      </c>
      <c r="C2991" s="7" t="s">
        <v>3720</v>
      </c>
      <c r="D2991" s="5">
        <v>3</v>
      </c>
      <c r="E2991" s="7" t="str">
        <f>_xlfn.XLOOKUP(B2991,Customers!A2991:A3990,Customers!B2991:B3990,"Customer Not Found",0)</f>
        <v>Customer Not Found</v>
      </c>
      <c r="F2991" s="7" t="str">
        <f>_xlfn.XLOOKUP(Orders!B2991,Customers!A2991:A3990,Customers!C2991:C3990,"Country not Found",0)</f>
        <v>Country not Found</v>
      </c>
      <c r="G2991" s="7" t="str">
        <f>_xlfn.XLOOKUP(C2991,Products!A2991:A3490,Products!B2991:B3490,"Product Missing",0)</f>
        <v>Product Missing</v>
      </c>
      <c r="H2991" s="7" t="str">
        <f>_xlfn.XLOOKUP(C2991,Products!A2991:A3490,Products!C2991:C3490,"Category Missing",0)</f>
        <v>Category Missing</v>
      </c>
      <c r="I2991" s="11" t="str">
        <f>_xlfn.XLOOKUP(Orders!C2991,Products!A2991:A3490,Products!D2991:D3490,"Price Missing",0)</f>
        <v>Price Missing</v>
      </c>
      <c r="J2991" s="19">
        <f t="shared" si="46"/>
        <v>0</v>
      </c>
    </row>
    <row r="2992" spans="1:10" x14ac:dyDescent="0.35">
      <c r="A2992" s="4" t="s">
        <v>7012</v>
      </c>
      <c r="B2992" s="7" t="s">
        <v>1352</v>
      </c>
      <c r="C2992" s="7" t="s">
        <v>3868</v>
      </c>
      <c r="D2992" s="5">
        <v>2</v>
      </c>
      <c r="E2992" s="7" t="str">
        <f>_xlfn.XLOOKUP(B2992,Customers!A2992:A3991,Customers!B2992:B3991,"Customer Not Found",0)</f>
        <v>Customer Not Found</v>
      </c>
      <c r="F2992" s="7" t="str">
        <f>_xlfn.XLOOKUP(Orders!B2992,Customers!A2992:A3991,Customers!C2992:C3991,"Country not Found",0)</f>
        <v>Country not Found</v>
      </c>
      <c r="G2992" s="7" t="str">
        <f>_xlfn.XLOOKUP(C2992,Products!A2992:A3491,Products!B2992:B3491,"Product Missing",0)</f>
        <v>Product Missing</v>
      </c>
      <c r="H2992" s="7" t="str">
        <f>_xlfn.XLOOKUP(C2992,Products!A2992:A3491,Products!C2992:C3491,"Category Missing",0)</f>
        <v>Category Missing</v>
      </c>
      <c r="I2992" s="11" t="str">
        <f>_xlfn.XLOOKUP(Orders!C2992,Products!A2992:A3491,Products!D2992:D3491,"Price Missing",0)</f>
        <v>Price Missing</v>
      </c>
      <c r="J2992" s="19">
        <f t="shared" si="46"/>
        <v>0</v>
      </c>
    </row>
    <row r="2993" spans="1:10" x14ac:dyDescent="0.35">
      <c r="A2993" s="4" t="s">
        <v>7013</v>
      </c>
      <c r="B2993" s="7" t="s">
        <v>1295</v>
      </c>
      <c r="C2993" s="7" t="s">
        <v>3410</v>
      </c>
      <c r="D2993" s="5">
        <v>3</v>
      </c>
      <c r="E2993" s="7" t="str">
        <f>_xlfn.XLOOKUP(B2993,Customers!A2993:A3992,Customers!B2993:B3992,"Customer Not Found",0)</f>
        <v>Customer Not Found</v>
      </c>
      <c r="F2993" s="7" t="str">
        <f>_xlfn.XLOOKUP(Orders!B2993,Customers!A2993:A3992,Customers!C2993:C3992,"Country not Found",0)</f>
        <v>Country not Found</v>
      </c>
      <c r="G2993" s="7" t="str">
        <f>_xlfn.XLOOKUP(C2993,Products!A2993:A3492,Products!B2993:B3492,"Product Missing",0)</f>
        <v>Product Missing</v>
      </c>
      <c r="H2993" s="7" t="str">
        <f>_xlfn.XLOOKUP(C2993,Products!A2993:A3492,Products!C2993:C3492,"Category Missing",0)</f>
        <v>Category Missing</v>
      </c>
      <c r="I2993" s="11" t="str">
        <f>_xlfn.XLOOKUP(Orders!C2993,Products!A2993:A3492,Products!D2993:D3492,"Price Missing",0)</f>
        <v>Price Missing</v>
      </c>
      <c r="J2993" s="19">
        <f t="shared" si="46"/>
        <v>0</v>
      </c>
    </row>
    <row r="2994" spans="1:10" x14ac:dyDescent="0.35">
      <c r="A2994" s="4" t="s">
        <v>7014</v>
      </c>
      <c r="B2994" s="7" t="s">
        <v>2696</v>
      </c>
      <c r="C2994" s="7" t="s">
        <v>3918</v>
      </c>
      <c r="D2994" s="5">
        <v>5</v>
      </c>
      <c r="E2994" s="7" t="str">
        <f>_xlfn.XLOOKUP(B2994,Customers!A2994:A3993,Customers!B2994:B3993,"Customer Not Found",0)</f>
        <v>Customer Not Found</v>
      </c>
      <c r="F2994" s="7" t="str">
        <f>_xlfn.XLOOKUP(Orders!B2994,Customers!A2994:A3993,Customers!C2994:C3993,"Country not Found",0)</f>
        <v>Country not Found</v>
      </c>
      <c r="G2994" s="7" t="str">
        <f>_xlfn.XLOOKUP(C2994,Products!A2994:A3493,Products!B2994:B3493,"Product Missing",0)</f>
        <v>Product Missing</v>
      </c>
      <c r="H2994" s="7" t="str">
        <f>_xlfn.XLOOKUP(C2994,Products!A2994:A3493,Products!C2994:C3493,"Category Missing",0)</f>
        <v>Category Missing</v>
      </c>
      <c r="I2994" s="11" t="str">
        <f>_xlfn.XLOOKUP(Orders!C2994,Products!A2994:A3493,Products!D2994:D3493,"Price Missing",0)</f>
        <v>Price Missing</v>
      </c>
      <c r="J2994" s="19">
        <f t="shared" si="46"/>
        <v>0</v>
      </c>
    </row>
    <row r="2995" spans="1:10" x14ac:dyDescent="0.35">
      <c r="A2995" s="4" t="s">
        <v>7015</v>
      </c>
      <c r="B2995" s="7" t="s">
        <v>1196</v>
      </c>
      <c r="C2995" s="7" t="s">
        <v>3045</v>
      </c>
      <c r="D2995" s="5">
        <v>4</v>
      </c>
      <c r="E2995" s="7" t="str">
        <f>_xlfn.XLOOKUP(B2995,Customers!A2995:A3994,Customers!B2995:B3994,"Customer Not Found",0)</f>
        <v>Customer Not Found</v>
      </c>
      <c r="F2995" s="7" t="str">
        <f>_xlfn.XLOOKUP(Orders!B2995,Customers!A2995:A3994,Customers!C2995:C3994,"Country not Found",0)</f>
        <v>Country not Found</v>
      </c>
      <c r="G2995" s="7" t="str">
        <f>_xlfn.XLOOKUP(C2995,Products!A2995:A3494,Products!B2995:B3494,"Product Missing",0)</f>
        <v>Product Missing</v>
      </c>
      <c r="H2995" s="7" t="str">
        <f>_xlfn.XLOOKUP(C2995,Products!A2995:A3494,Products!C2995:C3494,"Category Missing",0)</f>
        <v>Category Missing</v>
      </c>
      <c r="I2995" s="11" t="str">
        <f>_xlfn.XLOOKUP(Orders!C2995,Products!A2995:A3494,Products!D2995:D3494,"Price Missing",0)</f>
        <v>Price Missing</v>
      </c>
      <c r="J2995" s="19">
        <f t="shared" si="46"/>
        <v>0</v>
      </c>
    </row>
    <row r="2996" spans="1:10" x14ac:dyDescent="0.35">
      <c r="A2996" s="4" t="s">
        <v>7016</v>
      </c>
      <c r="B2996" s="7" t="s">
        <v>812</v>
      </c>
      <c r="C2996" s="7" t="s">
        <v>3716</v>
      </c>
      <c r="D2996" s="5">
        <v>3</v>
      </c>
      <c r="E2996" s="7" t="str">
        <f>_xlfn.XLOOKUP(B2996,Customers!A2996:A3995,Customers!B2996:B3995,"Customer Not Found",0)</f>
        <v>Customer Not Found</v>
      </c>
      <c r="F2996" s="7" t="str">
        <f>_xlfn.XLOOKUP(Orders!B2996,Customers!A2996:A3995,Customers!C2996:C3995,"Country not Found",0)</f>
        <v>Country not Found</v>
      </c>
      <c r="G2996" s="7" t="str">
        <f>_xlfn.XLOOKUP(C2996,Products!A2996:A3495,Products!B2996:B3495,"Product Missing",0)</f>
        <v>Product Missing</v>
      </c>
      <c r="H2996" s="7" t="str">
        <f>_xlfn.XLOOKUP(C2996,Products!A2996:A3495,Products!C2996:C3495,"Category Missing",0)</f>
        <v>Category Missing</v>
      </c>
      <c r="I2996" s="11" t="str">
        <f>_xlfn.XLOOKUP(Orders!C2996,Products!A2996:A3495,Products!D2996:D3495,"Price Missing",0)</f>
        <v>Price Missing</v>
      </c>
      <c r="J2996" s="19">
        <f t="shared" si="46"/>
        <v>0</v>
      </c>
    </row>
    <row r="2997" spans="1:10" x14ac:dyDescent="0.35">
      <c r="A2997" s="4" t="s">
        <v>7017</v>
      </c>
      <c r="B2997" s="7" t="s">
        <v>2537</v>
      </c>
      <c r="C2997" s="7" t="s">
        <v>3558</v>
      </c>
      <c r="D2997" s="5">
        <v>8</v>
      </c>
      <c r="E2997" s="7" t="str">
        <f>_xlfn.XLOOKUP(B2997,Customers!A2997:A3996,Customers!B2997:B3996,"Customer Not Found",0)</f>
        <v>Customer Not Found</v>
      </c>
      <c r="F2997" s="7" t="str">
        <f>_xlfn.XLOOKUP(Orders!B2997,Customers!A2997:A3996,Customers!C2997:C3996,"Country not Found",0)</f>
        <v>Country not Found</v>
      </c>
      <c r="G2997" s="7" t="str">
        <f>_xlfn.XLOOKUP(C2997,Products!A2997:A3496,Products!B2997:B3496,"Product Missing",0)</f>
        <v>Product Missing</v>
      </c>
      <c r="H2997" s="7" t="str">
        <f>_xlfn.XLOOKUP(C2997,Products!A2997:A3496,Products!C2997:C3496,"Category Missing",0)</f>
        <v>Category Missing</v>
      </c>
      <c r="I2997" s="11" t="str">
        <f>_xlfn.XLOOKUP(Orders!C2997,Products!A2997:A3496,Products!D2997:D3496,"Price Missing",0)</f>
        <v>Price Missing</v>
      </c>
      <c r="J2997" s="19">
        <f t="shared" si="46"/>
        <v>0</v>
      </c>
    </row>
    <row r="2998" spans="1:10" x14ac:dyDescent="0.35">
      <c r="A2998" s="4" t="s">
        <v>7018</v>
      </c>
      <c r="B2998" s="7" t="s">
        <v>1232</v>
      </c>
      <c r="C2998" s="7" t="s">
        <v>3904</v>
      </c>
      <c r="D2998" s="5">
        <v>6</v>
      </c>
      <c r="E2998" s="7" t="str">
        <f>_xlfn.XLOOKUP(B2998,Customers!A2998:A3997,Customers!B2998:B3997,"Customer Not Found",0)</f>
        <v>Customer Not Found</v>
      </c>
      <c r="F2998" s="7" t="str">
        <f>_xlfn.XLOOKUP(Orders!B2998,Customers!A2998:A3997,Customers!C2998:C3997,"Country not Found",0)</f>
        <v>Country not Found</v>
      </c>
      <c r="G2998" s="7" t="str">
        <f>_xlfn.XLOOKUP(C2998,Products!A2998:A3497,Products!B2998:B3497,"Product Missing",0)</f>
        <v>Product Missing</v>
      </c>
      <c r="H2998" s="7" t="str">
        <f>_xlfn.XLOOKUP(C2998,Products!A2998:A3497,Products!C2998:C3497,"Category Missing",0)</f>
        <v>Category Missing</v>
      </c>
      <c r="I2998" s="11" t="str">
        <f>_xlfn.XLOOKUP(Orders!C2998,Products!A2998:A3497,Products!D2998:D3497,"Price Missing",0)</f>
        <v>Price Missing</v>
      </c>
      <c r="J2998" s="19">
        <f t="shared" si="46"/>
        <v>0</v>
      </c>
    </row>
    <row r="2999" spans="1:10" x14ac:dyDescent="0.35">
      <c r="A2999" s="4" t="s">
        <v>7019</v>
      </c>
      <c r="B2999" s="7" t="s">
        <v>2438</v>
      </c>
      <c r="C2999" s="7" t="s">
        <v>3116</v>
      </c>
      <c r="D2999" s="5">
        <v>10</v>
      </c>
      <c r="E2999" s="7" t="str">
        <f>_xlfn.XLOOKUP(B2999,Customers!A2999:A3998,Customers!B2999:B3998,"Customer Not Found",0)</f>
        <v>Customer Not Found</v>
      </c>
      <c r="F2999" s="7" t="str">
        <f>_xlfn.XLOOKUP(Orders!B2999,Customers!A2999:A3998,Customers!C2999:C3998,"Country not Found",0)</f>
        <v>Country not Found</v>
      </c>
      <c r="G2999" s="7" t="str">
        <f>_xlfn.XLOOKUP(C2999,Products!A2999:A3498,Products!B2999:B3498,"Product Missing",0)</f>
        <v>Product Missing</v>
      </c>
      <c r="H2999" s="7" t="str">
        <f>_xlfn.XLOOKUP(C2999,Products!A2999:A3498,Products!C2999:C3498,"Category Missing",0)</f>
        <v>Category Missing</v>
      </c>
      <c r="I2999" s="11" t="str">
        <f>_xlfn.XLOOKUP(Orders!C2999,Products!A2999:A3498,Products!D2999:D3498,"Price Missing",0)</f>
        <v>Price Missing</v>
      </c>
      <c r="J2999" s="19">
        <f t="shared" si="46"/>
        <v>0</v>
      </c>
    </row>
    <row r="3000" spans="1:10" x14ac:dyDescent="0.35">
      <c r="A3000" s="4" t="s">
        <v>7020</v>
      </c>
      <c r="B3000" s="7" t="s">
        <v>1295</v>
      </c>
      <c r="C3000" s="7" t="s">
        <v>3646</v>
      </c>
      <c r="D3000" s="5">
        <v>10</v>
      </c>
      <c r="E3000" s="7" t="str">
        <f>_xlfn.XLOOKUP(B3000,Customers!A3000:A3999,Customers!B3000:B3999,"Customer Not Found",0)</f>
        <v>Customer Not Found</v>
      </c>
      <c r="F3000" s="7" t="str">
        <f>_xlfn.XLOOKUP(Orders!B3000,Customers!A3000:A3999,Customers!C3000:C3999,"Country not Found",0)</f>
        <v>Country not Found</v>
      </c>
      <c r="G3000" s="7" t="str">
        <f>_xlfn.XLOOKUP(C3000,Products!A3000:A3499,Products!B3000:B3499,"Product Missing",0)</f>
        <v>Product Missing</v>
      </c>
      <c r="H3000" s="7" t="str">
        <f>_xlfn.XLOOKUP(C3000,Products!A3000:A3499,Products!C3000:C3499,"Category Missing",0)</f>
        <v>Category Missing</v>
      </c>
      <c r="I3000" s="11" t="str">
        <f>_xlfn.XLOOKUP(Orders!C3000,Products!A3000:A3499,Products!D3000:D3499,"Price Missing",0)</f>
        <v>Price Missing</v>
      </c>
      <c r="J3000" s="19">
        <f t="shared" si="46"/>
        <v>0</v>
      </c>
    </row>
    <row r="3001" spans="1:10" x14ac:dyDescent="0.35">
      <c r="A3001" s="4" t="s">
        <v>7021</v>
      </c>
      <c r="B3001" s="7" t="s">
        <v>1130</v>
      </c>
      <c r="C3001" s="7" t="s">
        <v>3154</v>
      </c>
      <c r="D3001" s="5">
        <v>6</v>
      </c>
      <c r="E3001" s="7" t="str">
        <f>_xlfn.XLOOKUP(B3001,Customers!A3001:A4000,Customers!B3001:B4000,"Customer Not Found",0)</f>
        <v>Customer Not Found</v>
      </c>
      <c r="F3001" s="7" t="str">
        <f>_xlfn.XLOOKUP(Orders!B3001,Customers!A3001:A4000,Customers!C3001:C4000,"Country not Found",0)</f>
        <v>Country not Found</v>
      </c>
      <c r="G3001" s="7" t="str">
        <f>_xlfn.XLOOKUP(C3001,Products!A3001:A3500,Products!B3001:B3500,"Product Missing",0)</f>
        <v>Product Missing</v>
      </c>
      <c r="H3001" s="7" t="str">
        <f>_xlfn.XLOOKUP(C3001,Products!A3001:A3500,Products!C3001:C3500,"Category Missing",0)</f>
        <v>Category Missing</v>
      </c>
      <c r="I3001" s="11" t="str">
        <f>_xlfn.XLOOKUP(Orders!C3001,Products!A3001:A3500,Products!D3001:D3500,"Price Missing",0)</f>
        <v>Price Missing</v>
      </c>
      <c r="J3001" s="19">
        <f t="shared" si="46"/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3170-E6DD-4BC9-9631-20E8BD5632BC}">
  <dimension ref="A3:J24"/>
  <sheetViews>
    <sheetView workbookViewId="0">
      <selection activeCell="G6" sqref="G3:H14"/>
    </sheetView>
  </sheetViews>
  <sheetFormatPr defaultRowHeight="15" x14ac:dyDescent="0.25"/>
  <cols>
    <col min="1" max="1" width="11.7109375" bestFit="1" customWidth="1"/>
    <col min="2" max="2" width="24.42578125" customWidth="1"/>
    <col min="4" max="4" width="11.28515625" bestFit="1" customWidth="1"/>
    <col min="5" max="5" width="11.5703125" bestFit="1" customWidth="1"/>
    <col min="6" max="6" width="10.5703125" bestFit="1" customWidth="1"/>
    <col min="7" max="8" width="11.7109375" bestFit="1" customWidth="1"/>
    <col min="9" max="9" width="11.85546875" bestFit="1" customWidth="1"/>
    <col min="10" max="10" width="11.5703125" bestFit="1" customWidth="1"/>
    <col min="11" max="12" width="11.7109375" bestFit="1" customWidth="1"/>
    <col min="13" max="13" width="11.28515625" bestFit="1" customWidth="1"/>
  </cols>
  <sheetData>
    <row r="3" spans="1:8" x14ac:dyDescent="0.25">
      <c r="A3" s="16" t="s">
        <v>2</v>
      </c>
      <c r="B3" s="15" t="s">
        <v>7028</v>
      </c>
      <c r="G3" s="16" t="s">
        <v>7027</v>
      </c>
      <c r="H3" s="15" t="s">
        <v>7028</v>
      </c>
    </row>
    <row r="4" spans="1:8" x14ac:dyDescent="0.25">
      <c r="A4" s="17" t="s">
        <v>78</v>
      </c>
      <c r="B4" s="20">
        <v>48925.099999999991</v>
      </c>
      <c r="D4" s="16" t="s">
        <v>7029</v>
      </c>
      <c r="E4" s="15" t="s">
        <v>7028</v>
      </c>
      <c r="G4" s="17" t="s">
        <v>3349</v>
      </c>
      <c r="H4" s="20">
        <v>4915.5</v>
      </c>
    </row>
    <row r="5" spans="1:8" x14ac:dyDescent="0.25">
      <c r="A5" s="17" t="s">
        <v>27</v>
      </c>
      <c r="B5" s="20">
        <v>44921.549999999996</v>
      </c>
      <c r="D5" s="17" t="s">
        <v>3029</v>
      </c>
      <c r="E5" s="20">
        <v>78285.060000000027</v>
      </c>
      <c r="G5" s="17" t="s">
        <v>3527</v>
      </c>
      <c r="H5" s="20">
        <v>6222</v>
      </c>
    </row>
    <row r="6" spans="1:8" x14ac:dyDescent="0.25">
      <c r="A6" s="17" t="s">
        <v>41</v>
      </c>
      <c r="B6" s="20">
        <v>42763.29</v>
      </c>
      <c r="D6" s="17" t="s">
        <v>3020</v>
      </c>
      <c r="E6" s="20">
        <v>71591.78</v>
      </c>
      <c r="G6" s="17" t="s">
        <v>3571</v>
      </c>
      <c r="H6" s="20">
        <v>4446.09</v>
      </c>
    </row>
    <row r="7" spans="1:8" x14ac:dyDescent="0.25">
      <c r="A7" s="17" t="s">
        <v>14</v>
      </c>
      <c r="B7" s="20">
        <v>42235.719999999994</v>
      </c>
      <c r="D7" s="17" t="s">
        <v>3017</v>
      </c>
      <c r="E7" s="20">
        <v>71378.569999999992</v>
      </c>
      <c r="G7" s="17" t="s">
        <v>3615</v>
      </c>
      <c r="H7" s="20">
        <v>4949.76</v>
      </c>
    </row>
    <row r="8" spans="1:8" x14ac:dyDescent="0.25">
      <c r="A8" s="17" t="s">
        <v>6</v>
      </c>
      <c r="B8" s="20">
        <v>42170.630000000005</v>
      </c>
      <c r="D8" s="17" t="s">
        <v>3036</v>
      </c>
      <c r="E8" s="20">
        <v>67757.98</v>
      </c>
      <c r="G8" s="17" t="s">
        <v>3695</v>
      </c>
      <c r="H8" s="20">
        <v>7856.9600000000009</v>
      </c>
    </row>
    <row r="9" spans="1:8" x14ac:dyDescent="0.25">
      <c r="A9" s="17" t="s">
        <v>10</v>
      </c>
      <c r="B9" s="20">
        <v>37524.110000000008</v>
      </c>
      <c r="D9" s="17" t="s">
        <v>3049</v>
      </c>
      <c r="E9" s="20">
        <v>64467.339999999975</v>
      </c>
      <c r="G9" s="17" t="s">
        <v>3717</v>
      </c>
      <c r="H9" s="20">
        <v>7081.3</v>
      </c>
    </row>
    <row r="10" spans="1:8" x14ac:dyDescent="0.25">
      <c r="A10" s="17" t="s">
        <v>31</v>
      </c>
      <c r="B10" s="20">
        <v>34066.26</v>
      </c>
      <c r="D10" s="17" t="s">
        <v>7026</v>
      </c>
      <c r="E10" s="20">
        <v>353480.73</v>
      </c>
      <c r="G10" s="17" t="s">
        <v>3735</v>
      </c>
      <c r="H10" s="20">
        <v>4607.12</v>
      </c>
    </row>
    <row r="11" spans="1:8" x14ac:dyDescent="0.25">
      <c r="A11" s="17" t="s">
        <v>7026</v>
      </c>
      <c r="B11" s="20">
        <v>292606.66000000003</v>
      </c>
      <c r="G11" s="17" t="s">
        <v>3851</v>
      </c>
      <c r="H11" s="20">
        <v>7611.58</v>
      </c>
    </row>
    <row r="12" spans="1:8" x14ac:dyDescent="0.25">
      <c r="G12" s="17" t="s">
        <v>3937</v>
      </c>
      <c r="H12" s="20">
        <v>8437.7799999999988</v>
      </c>
    </row>
    <row r="13" spans="1:8" x14ac:dyDescent="0.25">
      <c r="G13" s="17" t="s">
        <v>4013</v>
      </c>
      <c r="H13" s="20">
        <v>5800.34</v>
      </c>
    </row>
    <row r="14" spans="1:8" x14ac:dyDescent="0.25">
      <c r="G14" s="17" t="s">
        <v>7026</v>
      </c>
      <c r="H14" s="20">
        <v>61928.430000000008</v>
      </c>
    </row>
    <row r="17" spans="2:10" x14ac:dyDescent="0.25">
      <c r="B17" s="16" t="s">
        <v>7028</v>
      </c>
      <c r="C17" s="16" t="s">
        <v>2</v>
      </c>
    </row>
    <row r="18" spans="2:10" x14ac:dyDescent="0.25">
      <c r="B18" s="16" t="s">
        <v>3013</v>
      </c>
      <c r="C18" t="s">
        <v>78</v>
      </c>
      <c r="D18" t="s">
        <v>27</v>
      </c>
      <c r="E18" t="s">
        <v>41</v>
      </c>
      <c r="F18" t="s">
        <v>14</v>
      </c>
      <c r="G18" t="s">
        <v>6</v>
      </c>
      <c r="H18" t="s">
        <v>10</v>
      </c>
      <c r="I18" t="s">
        <v>31</v>
      </c>
      <c r="J18" t="s">
        <v>7026</v>
      </c>
    </row>
    <row r="19" spans="2:10" x14ac:dyDescent="0.25">
      <c r="B19" t="s">
        <v>3017</v>
      </c>
      <c r="C19" s="18">
        <v>0.28493574872611394</v>
      </c>
      <c r="D19" s="18">
        <v>0.13604873384823096</v>
      </c>
      <c r="E19" s="18">
        <v>0.31578814445754755</v>
      </c>
      <c r="F19" s="18">
        <v>5.3004660510108492E-2</v>
      </c>
      <c r="G19" s="18">
        <v>0.24520145893006581</v>
      </c>
      <c r="H19" s="18">
        <v>0.25535848818266443</v>
      </c>
      <c r="I19" s="18">
        <v>0.20340389581950002</v>
      </c>
      <c r="J19" s="18">
        <v>0.21409789510601024</v>
      </c>
    </row>
    <row r="20" spans="2:10" x14ac:dyDescent="0.25">
      <c r="B20" t="s">
        <v>3029</v>
      </c>
      <c r="C20" s="18">
        <v>0.30524740879425893</v>
      </c>
      <c r="D20" s="18">
        <v>0.24459374175646206</v>
      </c>
      <c r="E20" s="18">
        <v>0.16075891260938993</v>
      </c>
      <c r="F20" s="18">
        <v>0.27421575860432823</v>
      </c>
      <c r="G20" s="18">
        <v>0.3712704790039893</v>
      </c>
      <c r="H20" s="18">
        <v>6.2378561410250631E-2</v>
      </c>
      <c r="I20" s="18">
        <v>0.17229569668052791</v>
      </c>
      <c r="J20" s="18">
        <v>0.23323102078401087</v>
      </c>
    </row>
    <row r="21" spans="2:10" x14ac:dyDescent="0.25">
      <c r="B21" t="s">
        <v>3036</v>
      </c>
      <c r="C21" s="18">
        <v>0.21631146384984395</v>
      </c>
      <c r="D21" s="18">
        <v>0.13994708553021881</v>
      </c>
      <c r="E21" s="18">
        <v>0.19479441361971914</v>
      </c>
      <c r="F21" s="18">
        <v>0.25820371950566962</v>
      </c>
      <c r="G21" s="18">
        <v>0.21419670514763475</v>
      </c>
      <c r="H21" s="18">
        <v>0.17708188148899467</v>
      </c>
      <c r="I21" s="18">
        <v>0.22207456879622245</v>
      </c>
      <c r="J21" s="18">
        <v>0.20282542441105064</v>
      </c>
    </row>
    <row r="22" spans="2:10" x14ac:dyDescent="0.25">
      <c r="B22" t="s">
        <v>3020</v>
      </c>
      <c r="C22" s="18">
        <v>0.16533006575357023</v>
      </c>
      <c r="D22" s="18">
        <v>0.22898363925554663</v>
      </c>
      <c r="E22" s="18">
        <v>0.28632549085909903</v>
      </c>
      <c r="F22" s="18">
        <v>0.11774417483589721</v>
      </c>
      <c r="G22" s="18">
        <v>0.11506491603279347</v>
      </c>
      <c r="H22" s="18">
        <v>0.28391905897301761</v>
      </c>
      <c r="I22" s="18">
        <v>0.15524099211360454</v>
      </c>
      <c r="J22" s="18">
        <v>0.19270569576235896</v>
      </c>
    </row>
    <row r="23" spans="2:10" x14ac:dyDescent="0.25">
      <c r="B23" t="s">
        <v>3049</v>
      </c>
      <c r="C23" s="18">
        <v>2.8175312876212822E-2</v>
      </c>
      <c r="D23" s="18">
        <v>0.25042679960954151</v>
      </c>
      <c r="E23" s="18">
        <v>4.2333038454244278E-2</v>
      </c>
      <c r="F23" s="18">
        <v>0.29683168654399639</v>
      </c>
      <c r="G23" s="18">
        <v>5.4266440885516777E-2</v>
      </c>
      <c r="H23" s="18">
        <v>0.22126200994507264</v>
      </c>
      <c r="I23" s="18">
        <v>0.24698484659014519</v>
      </c>
      <c r="J23" s="18">
        <v>0.15713996393656932</v>
      </c>
    </row>
    <row r="24" spans="2:10" x14ac:dyDescent="0.25">
      <c r="B24" t="s">
        <v>7026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1726-A4F3-4985-8034-CA59892CD621}">
  <dimension ref="H5:I18"/>
  <sheetViews>
    <sheetView showGridLines="0" showRowColHeaders="0" tabSelected="1" topLeftCell="F4" zoomScale="220" zoomScaleNormal="220" workbookViewId="0">
      <selection activeCell="F18" sqref="F18"/>
    </sheetView>
  </sheetViews>
  <sheetFormatPr defaultRowHeight="15" x14ac:dyDescent="0.25"/>
  <cols>
    <col min="7" max="7" width="4.140625" customWidth="1"/>
    <col min="8" max="8" width="17.28515625" customWidth="1"/>
    <col min="9" max="9" width="35.7109375" customWidth="1"/>
  </cols>
  <sheetData>
    <row r="5" spans="8:9" x14ac:dyDescent="0.25">
      <c r="H5" s="25" t="s">
        <v>7033</v>
      </c>
      <c r="I5" s="25"/>
    </row>
    <row r="6" spans="8:9" x14ac:dyDescent="0.25">
      <c r="H6" s="25"/>
      <c r="I6" s="25"/>
    </row>
    <row r="7" spans="8:9" x14ac:dyDescent="0.25">
      <c r="H7" s="26" t="s">
        <v>7027</v>
      </c>
      <c r="I7" s="15" t="s">
        <v>7028</v>
      </c>
    </row>
    <row r="8" spans="8:9" x14ac:dyDescent="0.25">
      <c r="H8" s="17" t="s">
        <v>3349</v>
      </c>
      <c r="I8" s="20">
        <v>4915.5</v>
      </c>
    </row>
    <row r="9" spans="8:9" x14ac:dyDescent="0.25">
      <c r="H9" s="17" t="s">
        <v>3527</v>
      </c>
      <c r="I9" s="20">
        <v>6222</v>
      </c>
    </row>
    <row r="10" spans="8:9" x14ac:dyDescent="0.25">
      <c r="H10" s="17" t="s">
        <v>3571</v>
      </c>
      <c r="I10" s="20">
        <v>4446.09</v>
      </c>
    </row>
    <row r="11" spans="8:9" x14ac:dyDescent="0.25">
      <c r="H11" s="17" t="s">
        <v>3615</v>
      </c>
      <c r="I11" s="20">
        <v>4949.76</v>
      </c>
    </row>
    <row r="12" spans="8:9" x14ac:dyDescent="0.25">
      <c r="H12" s="17" t="s">
        <v>3695</v>
      </c>
      <c r="I12" s="20">
        <v>7856.9600000000009</v>
      </c>
    </row>
    <row r="13" spans="8:9" x14ac:dyDescent="0.25">
      <c r="H13" s="17" t="s">
        <v>3717</v>
      </c>
      <c r="I13" s="20">
        <v>7081.3</v>
      </c>
    </row>
    <row r="14" spans="8:9" x14ac:dyDescent="0.25">
      <c r="H14" s="17" t="s">
        <v>3735</v>
      </c>
      <c r="I14" s="20">
        <v>4607.12</v>
      </c>
    </row>
    <row r="15" spans="8:9" x14ac:dyDescent="0.25">
      <c r="H15" s="17" t="s">
        <v>3851</v>
      </c>
      <c r="I15" s="20">
        <v>7611.58</v>
      </c>
    </row>
    <row r="16" spans="8:9" x14ac:dyDescent="0.25">
      <c r="H16" s="17" t="s">
        <v>3937</v>
      </c>
      <c r="I16" s="20">
        <v>8437.7799999999988</v>
      </c>
    </row>
    <row r="17" spans="8:9" x14ac:dyDescent="0.25">
      <c r="H17" s="17" t="s">
        <v>4013</v>
      </c>
      <c r="I17" s="20">
        <v>5800.34</v>
      </c>
    </row>
    <row r="18" spans="8:9" x14ac:dyDescent="0.25">
      <c r="H18" s="17" t="s">
        <v>7026</v>
      </c>
      <c r="I18" s="20">
        <v>61928.430000000008</v>
      </c>
    </row>
  </sheetData>
  <mergeCells count="1">
    <mergeCell ref="H5:I6"/>
  </mergeCells>
  <conditionalFormatting pivot="1" sqref="I8:I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41C6-110F-48C6-B371-8F6A67D99E17}">
  <dimension ref="H5:I13"/>
  <sheetViews>
    <sheetView showGridLines="0" showRowColHeaders="0" topLeftCell="F2" zoomScale="235" zoomScaleNormal="235" workbookViewId="0">
      <selection activeCell="K15" sqref="K15"/>
    </sheetView>
  </sheetViews>
  <sheetFormatPr defaultRowHeight="15" x14ac:dyDescent="0.25"/>
  <cols>
    <col min="7" max="7" width="0.85546875" customWidth="1"/>
    <col min="8" max="8" width="17.140625" customWidth="1"/>
    <col min="9" max="9" width="43.5703125" customWidth="1"/>
  </cols>
  <sheetData>
    <row r="5" spans="8:9" x14ac:dyDescent="0.25">
      <c r="H5" s="25" t="s">
        <v>7032</v>
      </c>
      <c r="I5" s="25"/>
    </row>
    <row r="6" spans="8:9" x14ac:dyDescent="0.25">
      <c r="H6" s="25"/>
      <c r="I6" s="25"/>
    </row>
    <row r="7" spans="8:9" x14ac:dyDescent="0.25">
      <c r="H7" s="16" t="s">
        <v>7029</v>
      </c>
      <c r="I7" s="15" t="s">
        <v>7028</v>
      </c>
    </row>
    <row r="8" spans="8:9" x14ac:dyDescent="0.25">
      <c r="H8" s="17" t="s">
        <v>3029</v>
      </c>
      <c r="I8" s="20">
        <v>78285.060000000027</v>
      </c>
    </row>
    <row r="9" spans="8:9" x14ac:dyDescent="0.25">
      <c r="H9" s="17" t="s">
        <v>3020</v>
      </c>
      <c r="I9" s="20">
        <v>71591.78</v>
      </c>
    </row>
    <row r="10" spans="8:9" x14ac:dyDescent="0.25">
      <c r="H10" s="17" t="s">
        <v>3017</v>
      </c>
      <c r="I10" s="20">
        <v>71378.569999999992</v>
      </c>
    </row>
    <row r="11" spans="8:9" x14ac:dyDescent="0.25">
      <c r="H11" s="17" t="s">
        <v>3036</v>
      </c>
      <c r="I11" s="20">
        <v>67757.98</v>
      </c>
    </row>
    <row r="12" spans="8:9" x14ac:dyDescent="0.25">
      <c r="H12" s="17" t="s">
        <v>3049</v>
      </c>
      <c r="I12" s="20">
        <v>64467.339999999975</v>
      </c>
    </row>
    <row r="13" spans="8:9" x14ac:dyDescent="0.25">
      <c r="H13" s="17" t="s">
        <v>7026</v>
      </c>
      <c r="I13" s="20">
        <v>353480.73</v>
      </c>
    </row>
  </sheetData>
  <mergeCells count="1">
    <mergeCell ref="H5:I6"/>
  </mergeCells>
  <conditionalFormatting pivot="1" sqref="I8:I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41C3-E06F-4A7F-ADB4-D82F257107DB}">
  <dimension ref="G3:I13"/>
  <sheetViews>
    <sheetView showGridLines="0" showRowColHeaders="0" topLeftCell="E2" zoomScale="265" zoomScaleNormal="265" workbookViewId="0">
      <selection activeCell="E6" sqref="E6"/>
    </sheetView>
  </sheetViews>
  <sheetFormatPr defaultRowHeight="15" x14ac:dyDescent="0.25"/>
  <cols>
    <col min="6" max="6" width="3.140625" customWidth="1"/>
    <col min="7" max="7" width="0.5703125" hidden="1" customWidth="1"/>
    <col min="8" max="8" width="18.140625" customWidth="1"/>
    <col min="9" max="10" width="28.28515625" customWidth="1"/>
  </cols>
  <sheetData>
    <row r="3" spans="8:9" x14ac:dyDescent="0.25">
      <c r="H3" s="24" t="s">
        <v>7031</v>
      </c>
      <c r="I3" s="24"/>
    </row>
    <row r="4" spans="8:9" x14ac:dyDescent="0.25">
      <c r="H4" s="24"/>
      <c r="I4" s="24"/>
    </row>
    <row r="5" spans="8:9" x14ac:dyDescent="0.25">
      <c r="H5" s="16" t="s">
        <v>2</v>
      </c>
      <c r="I5" s="15" t="s">
        <v>7028</v>
      </c>
    </row>
    <row r="6" spans="8:9" x14ac:dyDescent="0.25">
      <c r="H6" s="17" t="s">
        <v>78</v>
      </c>
      <c r="I6" s="20">
        <v>48925.099999999991</v>
      </c>
    </row>
    <row r="7" spans="8:9" x14ac:dyDescent="0.25">
      <c r="H7" s="17" t="s">
        <v>27</v>
      </c>
      <c r="I7" s="20">
        <v>44921.549999999996</v>
      </c>
    </row>
    <row r="8" spans="8:9" x14ac:dyDescent="0.25">
      <c r="H8" s="17" t="s">
        <v>41</v>
      </c>
      <c r="I8" s="20">
        <v>42763.29</v>
      </c>
    </row>
    <row r="9" spans="8:9" x14ac:dyDescent="0.25">
      <c r="H9" s="17" t="s">
        <v>14</v>
      </c>
      <c r="I9" s="20">
        <v>42235.719999999994</v>
      </c>
    </row>
    <row r="10" spans="8:9" x14ac:dyDescent="0.25">
      <c r="H10" s="17" t="s">
        <v>6</v>
      </c>
      <c r="I10" s="20">
        <v>42170.630000000005</v>
      </c>
    </row>
    <row r="11" spans="8:9" x14ac:dyDescent="0.25">
      <c r="H11" s="17" t="s">
        <v>10</v>
      </c>
      <c r="I11" s="20">
        <v>37524.110000000008</v>
      </c>
    </row>
    <row r="12" spans="8:9" x14ac:dyDescent="0.25">
      <c r="H12" s="17" t="s">
        <v>31</v>
      </c>
      <c r="I12" s="20">
        <v>34066.26</v>
      </c>
    </row>
    <row r="13" spans="8:9" x14ac:dyDescent="0.25">
      <c r="H13" s="17" t="s">
        <v>7026</v>
      </c>
      <c r="I13" s="20">
        <v>292606.66000000003</v>
      </c>
    </row>
  </sheetData>
  <mergeCells count="1">
    <mergeCell ref="H3:I4"/>
  </mergeCells>
  <conditionalFormatting pivot="1" sqref="I6:I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A207-CCD3-4614-849B-ADD42B67D98F}">
  <dimension ref="F5:O12"/>
  <sheetViews>
    <sheetView showGridLines="0" showRowColHeaders="0" topLeftCell="D1" zoomScale="130" zoomScaleNormal="130" workbookViewId="0">
      <selection activeCell="O1" sqref="O1"/>
    </sheetView>
  </sheetViews>
  <sheetFormatPr defaultRowHeight="15" x14ac:dyDescent="0.25"/>
  <cols>
    <col min="5" max="5" width="3.42578125" customWidth="1"/>
    <col min="6" max="6" width="23" customWidth="1"/>
    <col min="7" max="7" width="10.28515625" bestFit="1" customWidth="1"/>
    <col min="8" max="13" width="11.7109375" bestFit="1" customWidth="1"/>
    <col min="14" max="14" width="11.28515625" bestFit="1" customWidth="1"/>
    <col min="15" max="15" width="14.140625" bestFit="1" customWidth="1"/>
  </cols>
  <sheetData>
    <row r="5" spans="6:15" x14ac:dyDescent="0.25">
      <c r="F5" s="16" t="s">
        <v>7028</v>
      </c>
      <c r="G5" s="16" t="s">
        <v>2</v>
      </c>
      <c r="O5" s="21"/>
    </row>
    <row r="6" spans="6:15" ht="33" customHeight="1" x14ac:dyDescent="0.25">
      <c r="F6" s="16" t="s">
        <v>3013</v>
      </c>
      <c r="G6" t="s">
        <v>78</v>
      </c>
      <c r="H6" t="s">
        <v>27</v>
      </c>
      <c r="I6" t="s">
        <v>41</v>
      </c>
      <c r="J6" t="s">
        <v>14</v>
      </c>
      <c r="K6" t="s">
        <v>6</v>
      </c>
      <c r="L6" t="s">
        <v>10</v>
      </c>
      <c r="M6" t="s">
        <v>31</v>
      </c>
      <c r="N6" t="s">
        <v>7026</v>
      </c>
      <c r="O6" s="22" t="s">
        <v>7030</v>
      </c>
    </row>
    <row r="7" spans="6:15" ht="24" customHeight="1" x14ac:dyDescent="0.25">
      <c r="F7" t="s">
        <v>3017</v>
      </c>
      <c r="G7">
        <v>0.28493574872611394</v>
      </c>
      <c r="H7" s="18">
        <v>0.13604873384823096</v>
      </c>
      <c r="I7" s="18">
        <v>0.31578814445754755</v>
      </c>
      <c r="J7" s="18">
        <v>5.3004660510108492E-2</v>
      </c>
      <c r="K7" s="18">
        <v>0.24520145893006581</v>
      </c>
      <c r="L7" s="18">
        <v>0.25535848818266443</v>
      </c>
      <c r="M7" s="18">
        <v>0.20340389581950002</v>
      </c>
      <c r="N7" s="18">
        <v>0.21409789510601024</v>
      </c>
      <c r="O7" s="23">
        <f>GETPIVOTDATA("Total Sales",$F5,"Category",F7)</f>
        <v>0.21409789510601024</v>
      </c>
    </row>
    <row r="8" spans="6:15" ht="21.75" customHeight="1" x14ac:dyDescent="0.25">
      <c r="F8" t="s">
        <v>3029</v>
      </c>
      <c r="G8" s="18">
        <v>0.30524740879425893</v>
      </c>
      <c r="H8" s="18">
        <v>0.24459374175646206</v>
      </c>
      <c r="I8" s="18">
        <v>0.16075891260938993</v>
      </c>
      <c r="J8" s="18">
        <v>0.27421575860432823</v>
      </c>
      <c r="K8" s="18">
        <v>0.3712704790039893</v>
      </c>
      <c r="L8" s="18">
        <v>6.2378561410250631E-2</v>
      </c>
      <c r="M8" s="18">
        <v>0.17229569668052791</v>
      </c>
      <c r="N8" s="18">
        <v>0.23323102078401087</v>
      </c>
      <c r="O8" s="23">
        <f t="shared" ref="O8:O11" si="0">GETPIVOTDATA("Total Sales",$F6,"Category",F8)</f>
        <v>0.23323102078401087</v>
      </c>
    </row>
    <row r="9" spans="6:15" ht="21" customHeight="1" x14ac:dyDescent="0.25">
      <c r="F9" t="s">
        <v>3036</v>
      </c>
      <c r="G9" s="18">
        <v>0.21631146384984395</v>
      </c>
      <c r="H9" s="18">
        <v>0.13994708553021881</v>
      </c>
      <c r="I9" s="18">
        <v>0.19479441361971914</v>
      </c>
      <c r="J9" s="18">
        <v>0.25820371950566962</v>
      </c>
      <c r="K9" s="18">
        <v>0.21419670514763475</v>
      </c>
      <c r="L9" s="18">
        <v>0.17708188148899467</v>
      </c>
      <c r="M9" s="18">
        <v>0.22207456879622245</v>
      </c>
      <c r="N9" s="18">
        <v>0.20282542441105064</v>
      </c>
      <c r="O9" s="23">
        <f t="shared" si="0"/>
        <v>0.20282542441105064</v>
      </c>
    </row>
    <row r="10" spans="6:15" ht="21.75" customHeight="1" x14ac:dyDescent="0.25">
      <c r="F10" t="s">
        <v>3020</v>
      </c>
      <c r="G10" s="18">
        <v>0.16533006575357023</v>
      </c>
      <c r="H10" s="18">
        <v>0.22898363925554663</v>
      </c>
      <c r="I10" s="18">
        <v>0.28632549085909903</v>
      </c>
      <c r="J10" s="18">
        <v>0.11774417483589721</v>
      </c>
      <c r="K10" s="18">
        <v>0.11506491603279347</v>
      </c>
      <c r="L10" s="18">
        <v>0.28391905897301761</v>
      </c>
      <c r="M10" s="18">
        <v>0.15524099211360454</v>
      </c>
      <c r="N10" s="18">
        <v>0.19270569576235896</v>
      </c>
      <c r="O10" s="23">
        <f t="shared" si="0"/>
        <v>0.19270569576235896</v>
      </c>
    </row>
    <row r="11" spans="6:15" ht="33" customHeight="1" x14ac:dyDescent="0.25">
      <c r="F11" t="s">
        <v>3049</v>
      </c>
      <c r="G11" s="18">
        <v>2.8175312876212822E-2</v>
      </c>
      <c r="H11" s="18">
        <v>0.25042679960954151</v>
      </c>
      <c r="I11" s="18">
        <v>4.2333038454244278E-2</v>
      </c>
      <c r="J11" s="18">
        <v>0.29683168654399639</v>
      </c>
      <c r="K11" s="18">
        <v>5.4266440885516777E-2</v>
      </c>
      <c r="L11" s="18">
        <v>0.22126200994507264</v>
      </c>
      <c r="M11" s="18">
        <v>0.24698484659014519</v>
      </c>
      <c r="N11" s="18">
        <v>0.15713996393656932</v>
      </c>
      <c r="O11" s="23">
        <f t="shared" si="0"/>
        <v>0.15713996393656932</v>
      </c>
    </row>
    <row r="12" spans="6:15" x14ac:dyDescent="0.25">
      <c r="F12" t="s">
        <v>7026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</row>
  </sheetData>
  <conditionalFormatting pivot="1" sqref="G7:N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7:O11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{EA9169FC-6771-4D14-BA91-E28B8FF7A701}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9169FC-6771-4D14-BA91-E28B8FF7A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O7:O11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C344-073D-433E-9FC8-4CA74870C47F}">
  <dimension ref="G16:K27"/>
  <sheetViews>
    <sheetView showGridLines="0" showRowColHeaders="0" zoomScale="118" zoomScaleNormal="118" workbookViewId="0">
      <selection activeCell="H17" sqref="H17:H26"/>
    </sheetView>
  </sheetViews>
  <sheetFormatPr defaultRowHeight="15" x14ac:dyDescent="0.25"/>
  <cols>
    <col min="1" max="6" width="9.140625" style="1"/>
    <col min="7" max="7" width="28.5703125" style="1" bestFit="1" customWidth="1"/>
    <col min="8" max="8" width="34.7109375" style="1" customWidth="1"/>
    <col min="9" max="9" width="9.140625" style="1"/>
    <col min="10" max="11" width="9.140625" style="1" hidden="1" customWidth="1"/>
    <col min="12" max="12" width="28.5703125" style="1" bestFit="1" customWidth="1"/>
    <col min="13" max="13" width="22.7109375" style="1" customWidth="1"/>
    <col min="14" max="16384" width="9.140625" style="1"/>
  </cols>
  <sheetData>
    <row r="16" spans="7:8" x14ac:dyDescent="0.25">
      <c r="G16" s="16" t="s">
        <v>7027</v>
      </c>
      <c r="H16" s="15" t="s">
        <v>7028</v>
      </c>
    </row>
    <row r="17" spans="7:8" x14ac:dyDescent="0.25">
      <c r="G17" s="17" t="s">
        <v>3349</v>
      </c>
      <c r="H17" s="20">
        <v>4915.5</v>
      </c>
    </row>
    <row r="18" spans="7:8" x14ac:dyDescent="0.25">
      <c r="G18" s="17" t="s">
        <v>3527</v>
      </c>
      <c r="H18" s="20">
        <v>6222</v>
      </c>
    </row>
    <row r="19" spans="7:8" x14ac:dyDescent="0.25">
      <c r="G19" s="17" t="s">
        <v>3571</v>
      </c>
      <c r="H19" s="20">
        <v>4446.09</v>
      </c>
    </row>
    <row r="20" spans="7:8" x14ac:dyDescent="0.25">
      <c r="G20" s="17" t="s">
        <v>3615</v>
      </c>
      <c r="H20" s="20">
        <v>4949.76</v>
      </c>
    </row>
    <row r="21" spans="7:8" x14ac:dyDescent="0.25">
      <c r="G21" s="17" t="s">
        <v>3695</v>
      </c>
      <c r="H21" s="20">
        <v>7856.9600000000009</v>
      </c>
    </row>
    <row r="22" spans="7:8" x14ac:dyDescent="0.25">
      <c r="G22" s="17" t="s">
        <v>3717</v>
      </c>
      <c r="H22" s="20">
        <v>7081.3</v>
      </c>
    </row>
    <row r="23" spans="7:8" x14ac:dyDescent="0.25">
      <c r="G23" s="17" t="s">
        <v>3735</v>
      </c>
      <c r="H23" s="20">
        <v>4607.12</v>
      </c>
    </row>
    <row r="24" spans="7:8" x14ac:dyDescent="0.25">
      <c r="G24" s="17" t="s">
        <v>3851</v>
      </c>
      <c r="H24" s="20">
        <v>7611.58</v>
      </c>
    </row>
    <row r="25" spans="7:8" x14ac:dyDescent="0.25">
      <c r="G25" s="17" t="s">
        <v>3937</v>
      </c>
      <c r="H25" s="20">
        <v>8437.7799999999988</v>
      </c>
    </row>
    <row r="26" spans="7:8" x14ac:dyDescent="0.25">
      <c r="G26" s="17" t="s">
        <v>4013</v>
      </c>
      <c r="H26" s="20">
        <v>5800.34</v>
      </c>
    </row>
    <row r="27" spans="7:8" x14ac:dyDescent="0.25">
      <c r="G27" s="17" t="s">
        <v>7026</v>
      </c>
      <c r="H27" s="20">
        <v>61928.430000000008</v>
      </c>
    </row>
  </sheetData>
  <conditionalFormatting pivot="1" sqref="H17: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Products</vt:lpstr>
      <vt:lpstr>Orders</vt:lpstr>
      <vt:lpstr>Pivot table </vt:lpstr>
      <vt:lpstr>TOP 10</vt:lpstr>
      <vt:lpstr>REVENUE BY CATEGORY</vt:lpstr>
      <vt:lpstr>REVENUE BY COUNTRY</vt:lpstr>
      <vt:lpstr>column percentage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Rahman Kassim</cp:lastModifiedBy>
  <dcterms:created xsi:type="dcterms:W3CDTF">2025-12-31T12:08:28Z</dcterms:created>
  <dcterms:modified xsi:type="dcterms:W3CDTF">2025-12-31T17:17:10Z</dcterms:modified>
</cp:coreProperties>
</file>